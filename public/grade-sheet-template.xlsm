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Antz Work.Antz\Desktop\"/>
    </mc:Choice>
  </mc:AlternateContent>
  <xr:revisionPtr revIDLastSave="0" documentId="13_ncr:1_{BFCF2541-3A35-4381-824A-ED96B837EF9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ttings" sheetId="1" r:id="rId1"/>
    <sheet name="Attendance" sheetId="2" r:id="rId2"/>
    <sheet name="Prelim" sheetId="7" r:id="rId3"/>
    <sheet name="Midterm" sheetId="6" r:id="rId4"/>
    <sheet name="SemiFinal" sheetId="5" r:id="rId5"/>
    <sheet name="Final" sheetId="3" r:id="rId6"/>
    <sheet name="Summary" sheetId="4" r:id="rId7"/>
    <sheet name="Month" sheetId="8" r:id="rId8"/>
    <sheet name="TRANSMUTATION_TABLE" sheetId="10" r:id="rId9"/>
  </sheets>
  <definedNames>
    <definedName name="_xlpm.txt" hidden="1" xlm="1">#NAME?</definedName>
    <definedName name="getfirstletters">_xlfn.LAMBDA(_xlpm.txt,IF(TRIM(_xlpm.txt)="","",UPPER(_xlfn.TEXTJOIN("",TRUE,LEFT(_xlfn.TEXTSPLIT(TRIM(_xlpm.txt)," "),1)))))</definedName>
  </definedNames>
  <calcPr calcId="191029" forceFullCalc="1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2JeTZAIu3H5IeS9DgyRW0l8J0r+omi/zW+QoXd5tIFc="/>
    </ext>
  </extLst>
</workbook>
</file>

<file path=xl/sharedStrings.xml><?xml version="1.0" encoding="utf-8"?>
<sst xmlns="http://schemas.openxmlformats.org/spreadsheetml/2006/main" count="419" uniqueCount="91">
  <si>
    <t>School Year:</t>
  </si>
  <si>
    <t>Year:</t>
  </si>
  <si>
    <t>Room No:</t>
  </si>
  <si>
    <t>Semester</t>
  </si>
  <si>
    <t>Time:</t>
  </si>
  <si>
    <t>Days:</t>
  </si>
  <si>
    <t>EDP Code:</t>
  </si>
  <si>
    <t>Section:</t>
  </si>
  <si>
    <t>Subject Code:</t>
  </si>
  <si>
    <t>Teacher Name:</t>
  </si>
  <si>
    <t>Subject Title:</t>
  </si>
  <si>
    <t>Dean:</t>
  </si>
  <si>
    <t>PERCENTAGE DISTRIBUTION PER SCORE ENTRY</t>
  </si>
  <si>
    <t>PRELIM</t>
  </si>
  <si>
    <t>SEMIFINAL</t>
  </si>
  <si>
    <t>Assignment</t>
  </si>
  <si>
    <t>Graded Activity</t>
  </si>
  <si>
    <t>Attendance</t>
  </si>
  <si>
    <t>Total</t>
  </si>
  <si>
    <t>MIDTERM</t>
  </si>
  <si>
    <t>FINAL</t>
  </si>
  <si>
    <t>Room:</t>
  </si>
  <si>
    <t>Male:</t>
  </si>
  <si>
    <t>Subject:</t>
  </si>
  <si>
    <t>Female:</t>
  </si>
  <si>
    <t>Teacher:</t>
  </si>
  <si>
    <t>Code:</t>
  </si>
  <si>
    <t>ATTENDANCE</t>
  </si>
  <si>
    <t>Prelim</t>
  </si>
  <si>
    <t>Midterm</t>
  </si>
  <si>
    <t>Semi-Finals</t>
  </si>
  <si>
    <t>Finals</t>
  </si>
  <si>
    <t>CtrlNo.</t>
  </si>
  <si>
    <t>Gender</t>
  </si>
  <si>
    <t>Student's Name</t>
  </si>
  <si>
    <t>FINALS</t>
  </si>
  <si>
    <t>CLASS RECORD</t>
  </si>
  <si>
    <t>TFG</t>
  </si>
  <si>
    <t>PG</t>
  </si>
  <si>
    <t>MG</t>
  </si>
  <si>
    <t>SFG</t>
  </si>
  <si>
    <t>FG</t>
  </si>
  <si>
    <t>Ave</t>
  </si>
  <si>
    <t>N0.</t>
  </si>
  <si>
    <t xml:space="preserve">  </t>
  </si>
  <si>
    <t>Instructor:</t>
  </si>
  <si>
    <t>Subj:</t>
  </si>
  <si>
    <t>Subj. Title</t>
  </si>
  <si>
    <t>SUMMARY</t>
  </si>
  <si>
    <t>SF</t>
  </si>
  <si>
    <t>Remarks</t>
  </si>
  <si>
    <t>SEMIFINALS</t>
  </si>
  <si>
    <t>TSFG</t>
  </si>
  <si>
    <t>TMG</t>
  </si>
  <si>
    <t>No.</t>
  </si>
  <si>
    <t>TEACHER’S MONTHLY REPORT OF ENROLLMENT AND ATTENDANCE</t>
  </si>
  <si>
    <t xml:space="preserve">FOR THE MONTH OF </t>
  </si>
  <si>
    <t>YEAR:</t>
  </si>
  <si>
    <t xml:space="preserve">Descriptive Title: </t>
  </si>
  <si>
    <t xml:space="preserve">Offering Code: </t>
  </si>
  <si>
    <t xml:space="preserve">Number of Enrolled Student: </t>
  </si>
  <si>
    <t>MR</t>
  </si>
  <si>
    <t>MS</t>
  </si>
  <si>
    <t>Percentage for Male Attendance:</t>
  </si>
  <si>
    <t>Percentage for Female Attendance:</t>
  </si>
  <si>
    <t>DATE</t>
  </si>
  <si>
    <t>TOTAL MONTHLY
ENROLLMENT TO
DATE</t>
  </si>
  <si>
    <t>DAILY ATTENDANCE</t>
  </si>
  <si>
    <t>REMARKS</t>
  </si>
  <si>
    <t>MORNING (AM)</t>
  </si>
  <si>
    <t>AFTERNOON (PM)</t>
  </si>
  <si>
    <t>Male</t>
  </si>
  <si>
    <t>Female</t>
  </si>
  <si>
    <t>TOTAL</t>
  </si>
  <si>
    <t>I certify that this is true and Correct report:</t>
  </si>
  <si>
    <t>TEACHER’S SIGNATURE OVER PRINTED NAME</t>
  </si>
  <si>
    <t>NOTED:</t>
  </si>
  <si>
    <t>DEAN’S SIGNATURE OVER PRINTED NAME</t>
  </si>
  <si>
    <t>Q1</t>
  </si>
  <si>
    <t>Q2</t>
  </si>
  <si>
    <t>A1</t>
  </si>
  <si>
    <t>GA1</t>
  </si>
  <si>
    <t>E1</t>
  </si>
  <si>
    <t>Quiz</t>
  </si>
  <si>
    <t>Exam</t>
  </si>
  <si>
    <t/>
  </si>
  <si>
    <t>AP</t>
  </si>
  <si>
    <t>AM</t>
  </si>
  <si>
    <t>Period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</si>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</sst>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409]dd\-mmm\-yy"/>
    <numFmt numFmtId="165" formatCode="m/d"/>
    <numFmt numFmtId="166" formatCode="0.0"/>
    <numFmt numFmtId="167" formatCode="[$-3409]dd\ mmmm\,\ yyyy"/>
  </numFmts>
  <fonts count="36" x14ac:knownFonts="1">
    <font>
      <sz val="11"/>
      <color theme="1"/>
      <name val="Calibri"/>
      <scheme val="minor"/>
    </font>
    <font>
      <b/>
      <sz val="12"/>
      <color theme="1"/>
      <name val="Candara"/>
    </font>
    <font>
      <sz val="12"/>
      <color theme="1"/>
      <name val="Candara"/>
    </font>
    <font>
      <sz val="11"/>
      <name val="Calibri"/>
    </font>
    <font>
      <b/>
      <sz val="7"/>
      <color theme="1"/>
      <name val="Calibri"/>
    </font>
    <font>
      <sz val="8"/>
      <color theme="1"/>
      <name val="Calibri"/>
    </font>
    <font>
      <b/>
      <sz val="7"/>
      <color theme="1"/>
      <name val="Arial"/>
    </font>
    <font>
      <b/>
      <sz val="8"/>
      <color theme="1"/>
      <name val="Calibri"/>
    </font>
    <font>
      <sz val="9"/>
      <color theme="1"/>
      <name val="Candara"/>
    </font>
    <font>
      <b/>
      <sz val="7"/>
      <color theme="1"/>
      <name val="Candara"/>
    </font>
    <font>
      <sz val="8"/>
      <color theme="1"/>
      <name val="Candara"/>
    </font>
    <font>
      <b/>
      <sz val="9"/>
      <color theme="1"/>
      <name val="Calibri"/>
    </font>
    <font>
      <b/>
      <sz val="12"/>
      <color theme="1"/>
      <name val="Calibri"/>
    </font>
    <font>
      <b/>
      <sz val="8"/>
      <color theme="1"/>
      <name val="Arial"/>
    </font>
    <font>
      <sz val="8"/>
      <color theme="1"/>
      <name val="Arial"/>
    </font>
    <font>
      <sz val="11"/>
      <color theme="1"/>
      <name val="Calibri"/>
    </font>
    <font>
      <b/>
      <sz val="11"/>
      <color theme="1"/>
      <name val="Candara"/>
    </font>
    <font>
      <sz val="11"/>
      <color theme="1"/>
      <name val="Candara"/>
    </font>
    <font>
      <sz val="7"/>
      <color theme="1"/>
      <name val="Candara"/>
    </font>
    <font>
      <b/>
      <sz val="8"/>
      <color theme="1"/>
      <name val="Candara"/>
    </font>
    <font>
      <sz val="14"/>
      <color theme="1"/>
      <name val="Candara"/>
    </font>
    <font>
      <sz val="11"/>
      <color theme="1"/>
      <name val="Calibri"/>
    </font>
    <font>
      <b/>
      <sz val="11"/>
      <color theme="1"/>
      <name val="Arial"/>
    </font>
    <font>
      <b/>
      <sz val="11"/>
      <color theme="1"/>
      <name val="Calibri"/>
    </font>
    <font>
      <b/>
      <sz val="10"/>
      <color theme="1"/>
      <name val="Calibri"/>
    </font>
    <font>
      <sz val="10"/>
      <color theme="1"/>
      <name val="Calibri"/>
    </font>
    <font>
      <b/>
      <sz val="6"/>
      <color theme="1"/>
      <name val="Candara"/>
    </font>
    <font>
      <sz val="12"/>
      <color theme="1"/>
      <name val="Calibri"/>
    </font>
    <font>
      <sz val="8"/>
      <color rgb="FF000000"/>
      <name val="Candara"/>
      <family val="2"/>
    </font>
    <font>
      <sz val="8"/>
      <color theme="1"/>
      <name val="Candara"/>
      <family val="2"/>
    </font>
    <font>
      <sz val="12"/>
      <color theme="1"/>
      <name val="Candara"/>
      <family val="2"/>
    </font>
    <font>
      <b/>
      <sz val="7"/>
      <color theme="1"/>
      <name val="Candara"/>
      <family val="2"/>
    </font>
    <font>
      <b/>
      <sz val="8"/>
      <color theme="1"/>
      <name val="Candara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ndara"/>
      <family val="2"/>
    </font>
  </fonts>
  <fills count="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E5B8B7"/>
        <bgColor rgb="FFE5B8B7"/>
      </patternFill>
    </fill>
    <fill>
      <patternFill patternType="solid">
        <fgColor rgb="FFD8D8D8"/>
        <bgColor rgb="FFD8D8D8"/>
      </patternFill>
    </fill>
    <fill>
      <patternFill patternType="solid">
        <fgColor theme="0" tint="-0.14999847407452621"/>
        <bgColor rgb="FF3F3F3F"/>
      </patternFill>
    </fill>
    <fill>
      <patternFill patternType="solid">
        <fgColor theme="0" tint="-0.249977111117893"/>
        <bgColor indexed="64"/>
      </patternFill>
    </fill>
  </fills>
  <borders count="1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/>
      <bottom style="thin">
        <color rgb="FF40404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dotted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hair">
        <color rgb="FF000000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rgb="FF000000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rgb="FF000000"/>
      </left>
      <right/>
      <top style="hair">
        <color rgb="FF000000"/>
      </top>
      <bottom style="dotted">
        <color indexed="64"/>
      </bottom>
      <diagonal/>
    </border>
    <border>
      <left style="hair">
        <color rgb="FF000000"/>
      </left>
      <right/>
      <top style="dotted">
        <color indexed="64"/>
      </top>
      <bottom style="thin">
        <color rgb="FF000000"/>
      </bottom>
      <diagonal/>
    </border>
    <border>
      <left/>
      <right style="hair">
        <color rgb="FF000000"/>
      </right>
      <top style="dotted">
        <color indexed="64"/>
      </top>
      <bottom style="thin">
        <color rgb="FF404040"/>
      </bottom>
      <diagonal/>
    </border>
    <border>
      <left/>
      <right style="hair">
        <color rgb="FF000000"/>
      </right>
      <top style="thin">
        <color rgb="FF404040"/>
      </top>
      <bottom style="dotted">
        <color indexed="64"/>
      </bottom>
      <diagonal/>
    </border>
    <border>
      <left/>
      <right style="hair">
        <color rgb="FF000000"/>
      </right>
      <top style="thin">
        <color rgb="FF000000"/>
      </top>
      <bottom style="dotted">
        <color indexed="64"/>
      </bottom>
      <diagonal/>
    </border>
    <border>
      <left/>
      <right style="hair">
        <color rgb="FF000000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medium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 style="hair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3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7" xfId="0" applyFont="1" applyBorder="1" applyAlignment="1">
      <alignment horizontal="left"/>
    </xf>
    <xf numFmtId="0" fontId="6" fillId="0" borderId="0" xfId="0" applyFont="1"/>
    <xf numFmtId="0" fontId="6" fillId="0" borderId="7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7" fillId="0" borderId="8" xfId="0" applyFont="1" applyBorder="1" applyAlignment="1">
      <alignment horizontal="left"/>
    </xf>
    <xf numFmtId="0" fontId="10" fillId="0" borderId="9" xfId="0" applyFont="1" applyBorder="1"/>
    <xf numFmtId="0" fontId="7" fillId="0" borderId="7" xfId="0" applyFont="1" applyBorder="1"/>
    <xf numFmtId="0" fontId="5" fillId="0" borderId="7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4" fillId="3" borderId="15" xfId="0" applyFont="1" applyFill="1" applyBorder="1" applyAlignment="1">
      <alignment horizontal="center"/>
    </xf>
    <xf numFmtId="14" fontId="5" fillId="3" borderId="18" xfId="0" applyNumberFormat="1" applyFont="1" applyFill="1" applyBorder="1" applyAlignment="1">
      <alignment horizontal="center" textRotation="90"/>
    </xf>
    <xf numFmtId="14" fontId="5" fillId="3" borderId="19" xfId="0" applyNumberFormat="1" applyFont="1" applyFill="1" applyBorder="1" applyAlignment="1">
      <alignment horizontal="center" textRotation="90"/>
    </xf>
    <xf numFmtId="14" fontId="5" fillId="3" borderId="20" xfId="0" applyNumberFormat="1" applyFont="1" applyFill="1" applyBorder="1" applyAlignment="1">
      <alignment horizontal="center" textRotation="90"/>
    </xf>
    <xf numFmtId="0" fontId="5" fillId="0" borderId="21" xfId="0" applyFont="1" applyBorder="1" applyAlignment="1">
      <alignment horizontal="center"/>
    </xf>
    <xf numFmtId="0" fontId="5" fillId="0" borderId="23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3" borderId="24" xfId="0" applyFont="1" applyFill="1" applyBorder="1"/>
    <xf numFmtId="0" fontId="5" fillId="3" borderId="25" xfId="0" applyFont="1" applyFill="1" applyBorder="1" applyAlignment="1">
      <alignment horizontal="center" vertical="center"/>
    </xf>
    <xf numFmtId="0" fontId="5" fillId="3" borderId="16" xfId="0" applyFont="1" applyFill="1" applyBorder="1"/>
    <xf numFmtId="0" fontId="5" fillId="3" borderId="26" xfId="0" applyFont="1" applyFill="1" applyBorder="1"/>
    <xf numFmtId="0" fontId="5" fillId="3" borderId="23" xfId="0" applyFont="1" applyFill="1" applyBorder="1"/>
    <xf numFmtId="0" fontId="5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9" fillId="0" borderId="7" xfId="0" applyFont="1" applyBorder="1" applyAlignment="1">
      <alignment horizontal="left"/>
    </xf>
    <xf numFmtId="0" fontId="17" fillId="0" borderId="0" xfId="0" applyFont="1"/>
    <xf numFmtId="9" fontId="9" fillId="0" borderId="0" xfId="0" applyNumberFormat="1" applyFont="1" applyAlignment="1">
      <alignment horizontal="center"/>
    </xf>
    <xf numFmtId="0" fontId="19" fillId="6" borderId="53" xfId="0" applyFont="1" applyFill="1" applyBorder="1" applyAlignment="1">
      <alignment horizontal="center"/>
    </xf>
    <xf numFmtId="0" fontId="19" fillId="6" borderId="27" xfId="0" applyFont="1" applyFill="1" applyBorder="1" applyAlignment="1">
      <alignment horizontal="center"/>
    </xf>
    <xf numFmtId="0" fontId="10" fillId="6" borderId="54" xfId="0" applyFont="1" applyFill="1" applyBorder="1" applyAlignment="1">
      <alignment horizontal="center"/>
    </xf>
    <xf numFmtId="166" fontId="10" fillId="6" borderId="55" xfId="0" applyNumberFormat="1" applyFont="1" applyFill="1" applyBorder="1" applyAlignment="1">
      <alignment horizontal="center"/>
    </xf>
    <xf numFmtId="166" fontId="10" fillId="6" borderId="56" xfId="0" applyNumberFormat="1" applyFont="1" applyFill="1" applyBorder="1" applyAlignment="1">
      <alignment horizontal="center"/>
    </xf>
    <xf numFmtId="166" fontId="10" fillId="6" borderId="57" xfId="0" applyNumberFormat="1" applyFont="1" applyFill="1" applyBorder="1" applyAlignment="1">
      <alignment horizontal="center"/>
    </xf>
    <xf numFmtId="166" fontId="10" fillId="6" borderId="58" xfId="0" applyNumberFormat="1" applyFont="1" applyFill="1" applyBorder="1" applyAlignment="1">
      <alignment horizontal="center"/>
    </xf>
    <xf numFmtId="166" fontId="10" fillId="6" borderId="54" xfId="0" applyNumberFormat="1" applyFont="1" applyFill="1" applyBorder="1" applyAlignment="1">
      <alignment horizontal="center"/>
    </xf>
    <xf numFmtId="0" fontId="10" fillId="6" borderId="23" xfId="0" applyFont="1" applyFill="1" applyBorder="1"/>
    <xf numFmtId="166" fontId="10" fillId="6" borderId="59" xfId="0" applyNumberFormat="1" applyFont="1" applyFill="1" applyBorder="1" applyAlignment="1">
      <alignment horizontal="center"/>
    </xf>
    <xf numFmtId="0" fontId="10" fillId="0" borderId="60" xfId="0" applyFont="1" applyBorder="1"/>
    <xf numFmtId="0" fontId="10" fillId="0" borderId="60" xfId="0" applyFont="1" applyBorder="1" applyAlignment="1">
      <alignment horizontal="center"/>
    </xf>
    <xf numFmtId="166" fontId="10" fillId="6" borderId="61" xfId="0" applyNumberFormat="1" applyFont="1" applyFill="1" applyBorder="1" applyAlignment="1">
      <alignment horizontal="center"/>
    </xf>
    <xf numFmtId="0" fontId="10" fillId="6" borderId="16" xfId="0" applyFont="1" applyFill="1" applyBorder="1"/>
    <xf numFmtId="0" fontId="10" fillId="0" borderId="62" xfId="0" applyFont="1" applyBorder="1"/>
    <xf numFmtId="0" fontId="10" fillId="6" borderId="26" xfId="0" applyFont="1" applyFill="1" applyBorder="1"/>
    <xf numFmtId="0" fontId="5" fillId="0" borderId="12" xfId="0" applyFont="1" applyBorder="1"/>
    <xf numFmtId="0" fontId="10" fillId="0" borderId="63" xfId="0" applyFont="1" applyBorder="1"/>
    <xf numFmtId="166" fontId="10" fillId="6" borderId="64" xfId="0" applyNumberFormat="1" applyFont="1" applyFill="1" applyBorder="1" applyAlignment="1">
      <alignment horizontal="center"/>
    </xf>
    <xf numFmtId="0" fontId="10" fillId="0" borderId="65" xfId="0" applyFont="1" applyBorder="1"/>
    <xf numFmtId="0" fontId="10" fillId="6" borderId="24" xfId="0" applyFont="1" applyFill="1" applyBorder="1"/>
    <xf numFmtId="0" fontId="10" fillId="0" borderId="16" xfId="0" applyFont="1" applyBorder="1" applyAlignment="1">
      <alignment vertical="center"/>
    </xf>
    <xf numFmtId="0" fontId="10" fillId="0" borderId="26" xfId="0" applyFont="1" applyBorder="1" applyAlignment="1">
      <alignment vertical="center"/>
    </xf>
    <xf numFmtId="0" fontId="21" fillId="0" borderId="0" xfId="0" applyFont="1" applyAlignment="1">
      <alignment horizontal="right"/>
    </xf>
    <xf numFmtId="0" fontId="11" fillId="0" borderId="7" xfId="0" applyFont="1" applyBorder="1" applyAlignment="1">
      <alignment horizontal="center"/>
    </xf>
    <xf numFmtId="0" fontId="21" fillId="0" borderId="0" xfId="0" applyFont="1"/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left"/>
    </xf>
    <xf numFmtId="0" fontId="23" fillId="0" borderId="0" xfId="0" applyFont="1" applyAlignment="1">
      <alignment horizontal="center" vertical="center"/>
    </xf>
    <xf numFmtId="0" fontId="24" fillId="0" borderId="16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5" fillId="0" borderId="16" xfId="0" applyFont="1" applyBorder="1"/>
    <xf numFmtId="166" fontId="25" fillId="0" borderId="16" xfId="0" applyNumberFormat="1" applyFont="1" applyBorder="1" applyAlignment="1">
      <alignment horizontal="center" vertical="center"/>
    </xf>
    <xf numFmtId="166" fontId="25" fillId="0" borderId="16" xfId="0" applyNumberFormat="1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166" fontId="25" fillId="0" borderId="26" xfId="0" applyNumberFormat="1" applyFont="1" applyBorder="1" applyAlignment="1">
      <alignment horizontal="center" vertical="center"/>
    </xf>
    <xf numFmtId="166" fontId="25" fillId="0" borderId="26" xfId="0" applyNumberFormat="1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166" fontId="25" fillId="0" borderId="21" xfId="0" applyNumberFormat="1" applyFont="1" applyBorder="1" applyAlignment="1">
      <alignment horizontal="center" vertical="center"/>
    </xf>
    <xf numFmtId="166" fontId="25" fillId="0" borderId="21" xfId="0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5" fillId="0" borderId="68" xfId="0" applyFont="1" applyBorder="1" applyAlignment="1">
      <alignment horizontal="center"/>
    </xf>
    <xf numFmtId="166" fontId="10" fillId="6" borderId="69" xfId="0" applyNumberFormat="1" applyFont="1" applyFill="1" applyBorder="1" applyAlignment="1">
      <alignment horizontal="center"/>
    </xf>
    <xf numFmtId="0" fontId="10" fillId="6" borderId="54" xfId="0" applyFont="1" applyFill="1" applyBorder="1" applyAlignment="1">
      <alignment horizontal="center" vertical="center"/>
    </xf>
    <xf numFmtId="166" fontId="10" fillId="6" borderId="72" xfId="0" applyNumberFormat="1" applyFont="1" applyFill="1" applyBorder="1" applyAlignment="1">
      <alignment horizontal="center"/>
    </xf>
    <xf numFmtId="0" fontId="10" fillId="6" borderId="76" xfId="0" applyFont="1" applyFill="1" applyBorder="1" applyAlignment="1">
      <alignment horizontal="center"/>
    </xf>
    <xf numFmtId="166" fontId="10" fillId="6" borderId="27" xfId="0" applyNumberFormat="1" applyFont="1" applyFill="1" applyBorder="1" applyAlignment="1">
      <alignment horizontal="center"/>
    </xf>
    <xf numFmtId="166" fontId="10" fillId="6" borderId="77" xfId="0" applyNumberFormat="1" applyFont="1" applyFill="1" applyBorder="1" applyAlignment="1">
      <alignment horizontal="center"/>
    </xf>
    <xf numFmtId="166" fontId="10" fillId="6" borderId="78" xfId="0" applyNumberFormat="1" applyFont="1" applyFill="1" applyBorder="1" applyAlignment="1">
      <alignment horizontal="center"/>
    </xf>
    <xf numFmtId="166" fontId="10" fillId="6" borderId="79" xfId="0" applyNumberFormat="1" applyFont="1" applyFill="1" applyBorder="1" applyAlignment="1">
      <alignment horizontal="center"/>
    </xf>
    <xf numFmtId="166" fontId="10" fillId="6" borderId="80" xfId="0" applyNumberFormat="1" applyFont="1" applyFill="1" applyBorder="1" applyAlignment="1">
      <alignment horizontal="center"/>
    </xf>
    <xf numFmtId="0" fontId="10" fillId="0" borderId="21" xfId="0" applyFont="1" applyBorder="1" applyAlignment="1">
      <alignment vertical="center"/>
    </xf>
    <xf numFmtId="0" fontId="23" fillId="0" borderId="0" xfId="0" applyFont="1"/>
    <xf numFmtId="0" fontId="21" fillId="0" borderId="1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1" fillId="0" borderId="12" xfId="0" applyFont="1" applyBorder="1"/>
    <xf numFmtId="0" fontId="21" fillId="0" borderId="12" xfId="0" applyFont="1" applyBorder="1" applyAlignment="1">
      <alignment horizontal="center" vertical="center"/>
    </xf>
    <xf numFmtId="9" fontId="21" fillId="0" borderId="12" xfId="0" applyNumberFormat="1" applyFont="1" applyBorder="1" applyAlignment="1">
      <alignment horizontal="center"/>
    </xf>
    <xf numFmtId="0" fontId="23" fillId="0" borderId="1" xfId="0" applyFont="1" applyBorder="1"/>
    <xf numFmtId="167" fontId="21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167" fontId="27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wrapText="1"/>
    </xf>
    <xf numFmtId="0" fontId="21" fillId="0" borderId="1" xfId="0" applyFont="1" applyBorder="1" applyAlignment="1">
      <alignment horizontal="center" vertical="center" wrapText="1"/>
    </xf>
    <xf numFmtId="167" fontId="27" fillId="0" borderId="3" xfId="0" applyNumberFormat="1" applyFont="1" applyBorder="1" applyAlignment="1">
      <alignment horizontal="center"/>
    </xf>
    <xf numFmtId="0" fontId="21" fillId="0" borderId="1" xfId="0" applyFont="1" applyBorder="1"/>
    <xf numFmtId="167" fontId="21" fillId="0" borderId="3" xfId="0" applyNumberFormat="1" applyFont="1" applyBorder="1" applyAlignment="1">
      <alignment horizontal="center"/>
    </xf>
    <xf numFmtId="0" fontId="23" fillId="0" borderId="3" xfId="0" applyFont="1" applyBorder="1"/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/>
    </xf>
    <xf numFmtId="9" fontId="23" fillId="0" borderId="0" xfId="0" applyNumberFormat="1" applyFont="1" applyAlignment="1">
      <alignment horizontal="right"/>
    </xf>
    <xf numFmtId="166" fontId="21" fillId="0" borderId="0" xfId="0" applyNumberFormat="1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25" fillId="0" borderId="80" xfId="0" applyFont="1" applyBorder="1" applyAlignment="1">
      <alignment horizontal="center"/>
    </xf>
    <xf numFmtId="0" fontId="28" fillId="0" borderId="22" xfId="0" applyFont="1" applyBorder="1"/>
    <xf numFmtId="0" fontId="29" fillId="0" borderId="16" xfId="0" applyFont="1" applyBorder="1" applyAlignment="1">
      <alignment vertical="center"/>
    </xf>
    <xf numFmtId="0" fontId="5" fillId="0" borderId="86" xfId="0" applyFont="1" applyBorder="1" applyAlignment="1">
      <alignment horizontal="center"/>
    </xf>
    <xf numFmtId="0" fontId="28" fillId="0" borderId="15" xfId="0" applyFont="1" applyBorder="1"/>
    <xf numFmtId="0" fontId="28" fillId="0" borderId="87" xfId="0" applyFont="1" applyBorder="1"/>
    <xf numFmtId="0" fontId="5" fillId="0" borderId="88" xfId="0" applyFont="1" applyBorder="1" applyAlignment="1">
      <alignment horizontal="center"/>
    </xf>
    <xf numFmtId="0" fontId="29" fillId="0" borderId="64" xfId="0" applyFont="1" applyBorder="1"/>
    <xf numFmtId="0" fontId="5" fillId="0" borderId="2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28" fillId="0" borderId="90" xfId="0" applyFont="1" applyBorder="1"/>
    <xf numFmtId="0" fontId="28" fillId="0" borderId="91" xfId="0" applyFont="1" applyBorder="1"/>
    <xf numFmtId="0" fontId="28" fillId="0" borderId="92" xfId="0" applyFont="1" applyBorder="1"/>
    <xf numFmtId="0" fontId="28" fillId="0" borderId="93" xfId="0" applyFont="1" applyBorder="1"/>
    <xf numFmtId="0" fontId="29" fillId="0" borderId="94" xfId="0" applyFont="1" applyBorder="1"/>
    <xf numFmtId="0" fontId="29" fillId="0" borderId="90" xfId="0" applyFont="1" applyBorder="1" applyAlignment="1">
      <alignment vertical="center"/>
    </xf>
    <xf numFmtId="0" fontId="29" fillId="0" borderId="92" xfId="0" applyFont="1" applyBorder="1" applyAlignment="1">
      <alignment vertical="center"/>
    </xf>
    <xf numFmtId="0" fontId="29" fillId="0" borderId="94" xfId="0" applyFont="1" applyBorder="1" applyAlignment="1">
      <alignment vertical="center"/>
    </xf>
    <xf numFmtId="0" fontId="5" fillId="0" borderId="17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14" fillId="0" borderId="96" xfId="0" applyFont="1" applyBorder="1" applyAlignment="1">
      <alignment horizontal="center"/>
    </xf>
    <xf numFmtId="0" fontId="5" fillId="0" borderId="97" xfId="0" applyFont="1" applyBorder="1" applyAlignment="1">
      <alignment horizontal="center"/>
    </xf>
    <xf numFmtId="0" fontId="5" fillId="0" borderId="99" xfId="0" applyFont="1" applyBorder="1" applyAlignment="1">
      <alignment horizontal="center"/>
    </xf>
    <xf numFmtId="0" fontId="29" fillId="0" borderId="100" xfId="0" applyFont="1" applyBorder="1" applyAlignment="1">
      <alignment vertical="center"/>
    </xf>
    <xf numFmtId="0" fontId="29" fillId="0" borderId="101" xfId="0" applyFont="1" applyBorder="1"/>
    <xf numFmtId="0" fontId="5" fillId="0" borderId="98" xfId="0" applyFont="1" applyBorder="1" applyAlignment="1">
      <alignment horizontal="center"/>
    </xf>
    <xf numFmtId="0" fontId="5" fillId="0" borderId="102" xfId="0" applyFont="1" applyBorder="1" applyAlignment="1">
      <alignment horizontal="center"/>
    </xf>
    <xf numFmtId="0" fontId="5" fillId="0" borderId="95" xfId="0" applyFont="1" applyBorder="1" applyAlignment="1">
      <alignment horizontal="center"/>
    </xf>
    <xf numFmtId="0" fontId="5" fillId="0" borderId="103" xfId="0" applyFont="1" applyBorder="1" applyAlignment="1">
      <alignment horizontal="center"/>
    </xf>
    <xf numFmtId="0" fontId="29" fillId="0" borderId="36" xfId="0" applyFont="1" applyBorder="1" applyAlignment="1">
      <alignment vertical="center"/>
    </xf>
    <xf numFmtId="0" fontId="29" fillId="0" borderId="104" xfId="0" applyFont="1" applyBorder="1" applyAlignment="1">
      <alignment vertical="center"/>
    </xf>
    <xf numFmtId="0" fontId="14" fillId="0" borderId="98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28" fillId="0" borderId="107" xfId="0" applyFont="1" applyBorder="1"/>
    <xf numFmtId="0" fontId="28" fillId="0" borderId="108" xfId="0" applyFont="1" applyBorder="1"/>
    <xf numFmtId="0" fontId="29" fillId="0" borderId="109" xfId="0" applyFont="1" applyBorder="1" applyAlignment="1">
      <alignment vertical="center"/>
    </xf>
    <xf numFmtId="0" fontId="29" fillId="0" borderId="110" xfId="0" applyFont="1" applyBorder="1" applyAlignment="1">
      <alignment vertical="center"/>
    </xf>
    <xf numFmtId="0" fontId="29" fillId="0" borderId="110" xfId="0" applyFont="1" applyBorder="1"/>
    <xf numFmtId="14" fontId="5" fillId="4" borderId="18" xfId="0" applyNumberFormat="1" applyFont="1" applyFill="1" applyBorder="1" applyAlignment="1">
      <alignment horizontal="center" textRotation="90"/>
    </xf>
    <xf numFmtId="14" fontId="5" fillId="3" borderId="86" xfId="0" applyNumberFormat="1" applyFont="1" applyFill="1" applyBorder="1" applyAlignment="1">
      <alignment horizontal="center" textRotation="90"/>
    </xf>
    <xf numFmtId="0" fontId="15" fillId="4" borderId="15" xfId="0" applyFont="1" applyFill="1" applyBorder="1"/>
    <xf numFmtId="0" fontId="5" fillId="3" borderId="44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 vertical="center"/>
    </xf>
    <xf numFmtId="0" fontId="5" fillId="3" borderId="73" xfId="0" applyFont="1" applyFill="1" applyBorder="1" applyAlignment="1">
      <alignment horizontal="center" vertical="center"/>
    </xf>
    <xf numFmtId="0" fontId="5" fillId="3" borderId="46" xfId="0" applyFont="1" applyFill="1" applyBorder="1"/>
    <xf numFmtId="0" fontId="5" fillId="0" borderId="98" xfId="0" applyFont="1" applyBorder="1" applyAlignment="1">
      <alignment horizontal="center" vertical="center"/>
    </xf>
    <xf numFmtId="0" fontId="0" fillId="0" borderId="98" xfId="0" applyBorder="1"/>
    <xf numFmtId="0" fontId="5" fillId="3" borderId="17" xfId="0" applyFont="1" applyFill="1" applyBorder="1" applyAlignment="1">
      <alignment horizontal="center" vertical="center"/>
    </xf>
    <xf numFmtId="0" fontId="5" fillId="3" borderId="86" xfId="0" applyFont="1" applyFill="1" applyBorder="1" applyAlignment="1">
      <alignment horizontal="center" vertical="center"/>
    </xf>
    <xf numFmtId="0" fontId="5" fillId="3" borderId="88" xfId="0" applyFont="1" applyFill="1" applyBorder="1" applyAlignment="1">
      <alignment horizontal="center" vertical="center"/>
    </xf>
    <xf numFmtId="0" fontId="5" fillId="3" borderId="74" xfId="0" applyFont="1" applyFill="1" applyBorder="1" applyAlignment="1">
      <alignment horizontal="center" vertical="center"/>
    </xf>
    <xf numFmtId="0" fontId="5" fillId="3" borderId="88" xfId="0" applyFont="1" applyFill="1" applyBorder="1"/>
    <xf numFmtId="0" fontId="5" fillId="3" borderId="44" xfId="0" applyFont="1" applyFill="1" applyBorder="1"/>
    <xf numFmtId="0" fontId="5" fillId="3" borderId="25" xfId="0" applyFont="1" applyFill="1" applyBorder="1"/>
    <xf numFmtId="0" fontId="5" fillId="3" borderId="73" xfId="0" applyFont="1" applyFill="1" applyBorder="1"/>
    <xf numFmtId="0" fontId="4" fillId="0" borderId="15" xfId="0" applyFont="1" applyBorder="1" applyAlignment="1">
      <alignment horizontal="center"/>
    </xf>
    <xf numFmtId="0" fontId="3" fillId="0" borderId="15" xfId="0" applyFont="1" applyBorder="1"/>
    <xf numFmtId="0" fontId="5" fillId="0" borderId="96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13" fillId="0" borderId="111" xfId="0" applyFont="1" applyBorder="1" applyAlignment="1">
      <alignment horizontal="left" textRotation="90" wrapText="1"/>
    </xf>
    <xf numFmtId="0" fontId="13" fillId="0" borderId="111" xfId="0" applyFont="1" applyBorder="1" applyAlignment="1">
      <alignment horizontal="center" textRotation="90"/>
    </xf>
    <xf numFmtId="0" fontId="13" fillId="0" borderId="111" xfId="0" applyFont="1" applyBorder="1" applyAlignment="1">
      <alignment horizontal="center"/>
    </xf>
    <xf numFmtId="14" fontId="5" fillId="3" borderId="111" xfId="0" applyNumberFormat="1" applyFont="1" applyFill="1" applyBorder="1" applyAlignment="1">
      <alignment horizontal="center" textRotation="90"/>
    </xf>
    <xf numFmtId="164" fontId="5" fillId="0" borderId="111" xfId="0" applyNumberFormat="1" applyFont="1" applyBorder="1" applyAlignment="1">
      <alignment horizontal="center" textRotation="90"/>
    </xf>
    <xf numFmtId="0" fontId="11" fillId="0" borderId="111" xfId="0" applyFont="1" applyBorder="1" applyAlignment="1">
      <alignment horizontal="center" vertical="center" textRotation="90"/>
    </xf>
    <xf numFmtId="0" fontId="1" fillId="0" borderId="111" xfId="0" applyFont="1" applyBorder="1"/>
    <xf numFmtId="0" fontId="2" fillId="0" borderId="111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82" xfId="0" applyFont="1" applyBorder="1" applyAlignment="1">
      <alignment horizontal="left"/>
    </xf>
    <xf numFmtId="0" fontId="2" fillId="0" borderId="5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1" fillId="0" borderId="111" xfId="0" applyFont="1" applyBorder="1" applyAlignment="1">
      <alignment horizontal="center" vertical="center"/>
    </xf>
    <xf numFmtId="0" fontId="2" fillId="0" borderId="111" xfId="0" applyFont="1" applyBorder="1" applyAlignment="1">
      <alignment horizontal="center"/>
    </xf>
    <xf numFmtId="0" fontId="30" fillId="0" borderId="56" xfId="0" applyFont="1" applyBorder="1" applyAlignment="1">
      <alignment horizontal="left"/>
    </xf>
    <xf numFmtId="0" fontId="2" fillId="2" borderId="3" xfId="0" applyFont="1" applyFill="1" applyBorder="1"/>
    <xf numFmtId="0" fontId="2" fillId="0" borderId="15" xfId="0" applyFont="1" applyBorder="1"/>
    <xf numFmtId="0" fontId="2" fillId="0" borderId="3" xfId="0" applyFont="1" applyBorder="1"/>
    <xf numFmtId="0" fontId="2" fillId="2" borderId="111" xfId="0" applyFont="1" applyFill="1" applyBorder="1"/>
    <xf numFmtId="0" fontId="2" fillId="0" borderId="111" xfId="0" applyFont="1" applyBorder="1"/>
    <xf numFmtId="0" fontId="2" fillId="2" borderId="113" xfId="0" applyFont="1" applyFill="1" applyBorder="1"/>
    <xf numFmtId="0" fontId="2" fillId="2" borderId="13" xfId="0" applyFont="1" applyFill="1" applyBorder="1"/>
    <xf numFmtId="1" fontId="2" fillId="0" borderId="15" xfId="0" applyNumberFormat="1" applyFont="1" applyBorder="1"/>
    <xf numFmtId="0" fontId="2" fillId="0" borderId="112" xfId="0" applyFont="1" applyBorder="1"/>
    <xf numFmtId="0" fontId="2" fillId="0" borderId="11" xfId="0" applyFont="1" applyBorder="1"/>
    <xf numFmtId="0" fontId="2" fillId="0" borderId="113" xfId="0" applyFont="1" applyBorder="1"/>
    <xf numFmtId="0" fontId="2" fillId="2" borderId="84" xfId="0" applyFont="1" applyFill="1" applyBorder="1"/>
    <xf numFmtId="0" fontId="2" fillId="2" borderId="114" xfId="0" applyFont="1" applyFill="1" applyBorder="1"/>
    <xf numFmtId="1" fontId="2" fillId="0" borderId="111" xfId="0" applyNumberFormat="1" applyFont="1" applyBorder="1" applyAlignment="1">
      <alignment horizontal="center"/>
    </xf>
    <xf numFmtId="1" fontId="2" fillId="2" borderId="111" xfId="0" applyNumberFormat="1" applyFont="1" applyFill="1" applyBorder="1" applyAlignment="1">
      <alignment horizontal="center"/>
    </xf>
    <xf numFmtId="1" fontId="2" fillId="0" borderId="82" xfId="0" applyNumberFormat="1" applyFont="1" applyBorder="1" applyAlignment="1">
      <alignment horizontal="center"/>
    </xf>
    <xf numFmtId="1" fontId="2" fillId="0" borderId="113" xfId="0" applyNumberFormat="1" applyFont="1" applyBorder="1" applyAlignment="1">
      <alignment horizontal="center"/>
    </xf>
    <xf numFmtId="1" fontId="2" fillId="0" borderId="13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" fontId="2" fillId="2" borderId="4" xfId="0" applyNumberFormat="1" applyFont="1" applyFill="1" applyBorder="1" applyAlignment="1">
      <alignment horizontal="center"/>
    </xf>
    <xf numFmtId="166" fontId="10" fillId="7" borderId="54" xfId="0" applyNumberFormat="1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62" xfId="0" applyFont="1" applyBorder="1" applyAlignment="1">
      <alignment horizontal="center"/>
    </xf>
    <xf numFmtId="0" fontId="10" fillId="0" borderId="63" xfId="0" applyFont="1" applyBorder="1" applyAlignment="1">
      <alignment horizontal="center"/>
    </xf>
    <xf numFmtId="0" fontId="10" fillId="0" borderId="65" xfId="0" applyFont="1" applyBorder="1" applyAlignment="1">
      <alignment horizontal="center"/>
    </xf>
    <xf numFmtId="166" fontId="10" fillId="6" borderId="115" xfId="0" applyNumberFormat="1" applyFont="1" applyFill="1" applyBorder="1" applyAlignment="1">
      <alignment horizontal="center"/>
    </xf>
    <xf numFmtId="166" fontId="10" fillId="6" borderId="68" xfId="0" applyNumberFormat="1" applyFont="1" applyFill="1" applyBorder="1" applyAlignment="1">
      <alignment horizontal="center"/>
    </xf>
    <xf numFmtId="0" fontId="10" fillId="0" borderId="116" xfId="0" applyFont="1" applyBorder="1" applyAlignment="1">
      <alignment horizontal="center"/>
    </xf>
    <xf numFmtId="0" fontId="10" fillId="0" borderId="117" xfId="0" applyFont="1" applyBorder="1" applyAlignment="1">
      <alignment horizontal="center"/>
    </xf>
    <xf numFmtId="166" fontId="10" fillId="6" borderId="118" xfId="0" applyNumberFormat="1" applyFont="1" applyFill="1" applyBorder="1" applyAlignment="1">
      <alignment horizontal="center"/>
    </xf>
    <xf numFmtId="166" fontId="10" fillId="6" borderId="119" xfId="0" applyNumberFormat="1" applyFont="1" applyFill="1" applyBorder="1" applyAlignment="1">
      <alignment horizontal="center"/>
    </xf>
    <xf numFmtId="166" fontId="10" fillId="6" borderId="34" xfId="0" applyNumberFormat="1" applyFont="1" applyFill="1" applyBorder="1" applyAlignment="1">
      <alignment horizontal="center"/>
    </xf>
    <xf numFmtId="166" fontId="10" fillId="6" borderId="120" xfId="0" applyNumberFormat="1" applyFont="1" applyFill="1" applyBorder="1" applyAlignment="1">
      <alignment horizontal="center"/>
    </xf>
    <xf numFmtId="0" fontId="10" fillId="0" borderId="121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89" xfId="0" applyFont="1" applyBorder="1" applyAlignment="1">
      <alignment horizontal="center"/>
    </xf>
    <xf numFmtId="0" fontId="3" fillId="0" borderId="4" xfId="0" applyFont="1" applyBorder="1"/>
    <xf numFmtId="0" fontId="1" fillId="0" borderId="111" xfId="0" applyFont="1" applyBorder="1" applyAlignment="1">
      <alignment horizontal="center"/>
    </xf>
    <xf numFmtId="0" fontId="3" fillId="0" borderId="111" xfId="0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3" fillId="0" borderId="8" xfId="0" applyFont="1" applyBorder="1"/>
    <xf numFmtId="0" fontId="11" fillId="0" borderId="3" xfId="0" applyFont="1" applyBorder="1" applyAlignment="1">
      <alignment horizontal="center" vertical="center"/>
    </xf>
    <xf numFmtId="0" fontId="3" fillId="0" borderId="6" xfId="0" applyFont="1" applyBorder="1"/>
    <xf numFmtId="0" fontId="12" fillId="0" borderId="84" xfId="0" applyFont="1" applyBorder="1" applyAlignment="1">
      <alignment horizontal="center" vertical="center"/>
    </xf>
    <xf numFmtId="0" fontId="3" fillId="0" borderId="15" xfId="0" applyFont="1" applyBorder="1"/>
    <xf numFmtId="0" fontId="3" fillId="0" borderId="85" xfId="0" applyFont="1" applyBorder="1"/>
    <xf numFmtId="0" fontId="10" fillId="0" borderId="0" xfId="0" applyFont="1" applyAlignment="1">
      <alignment horizontal="right"/>
    </xf>
    <xf numFmtId="0" fontId="0" fillId="0" borderId="0" xfId="0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18" fillId="0" borderId="40" xfId="0" applyNumberFormat="1" applyFont="1" applyBorder="1" applyAlignment="1">
      <alignment horizontal="center"/>
    </xf>
    <xf numFmtId="0" fontId="3" fillId="0" borderId="50" xfId="0" applyFont="1" applyBorder="1"/>
    <xf numFmtId="14" fontId="18" fillId="0" borderId="39" xfId="0" applyNumberFormat="1" applyFont="1" applyBorder="1" applyAlignment="1">
      <alignment horizontal="center" vertical="center"/>
    </xf>
    <xf numFmtId="0" fontId="3" fillId="0" borderId="73" xfId="0" applyFont="1" applyBorder="1"/>
    <xf numFmtId="14" fontId="18" fillId="0" borderId="74" xfId="0" applyNumberFormat="1" applyFont="1" applyBorder="1" applyAlignment="1">
      <alignment horizontal="center" vertical="center"/>
    </xf>
    <xf numFmtId="0" fontId="3" fillId="0" borderId="39" xfId="0" applyFont="1" applyBorder="1"/>
    <xf numFmtId="0" fontId="18" fillId="0" borderId="75" xfId="0" applyFont="1" applyBorder="1" applyAlignment="1">
      <alignment horizontal="center" vertical="center"/>
    </xf>
    <xf numFmtId="0" fontId="3" fillId="0" borderId="46" xfId="0" applyFont="1" applyBorder="1"/>
    <xf numFmtId="0" fontId="18" fillId="0" borderId="45" xfId="0" applyFont="1" applyBorder="1" applyAlignment="1">
      <alignment horizontal="center" vertical="center"/>
    </xf>
    <xf numFmtId="14" fontId="18" fillId="0" borderId="37" xfId="0" applyNumberFormat="1" applyFont="1" applyBorder="1" applyAlignment="1">
      <alignment horizontal="center" vertical="center"/>
    </xf>
    <xf numFmtId="0" fontId="18" fillId="0" borderId="47" xfId="0" applyFont="1" applyBorder="1" applyAlignment="1">
      <alignment horizontal="center" vertical="center"/>
    </xf>
    <xf numFmtId="0" fontId="3" fillId="0" borderId="48" xfId="0" applyFont="1" applyBorder="1"/>
    <xf numFmtId="9" fontId="19" fillId="6" borderId="45" xfId="0" applyNumberFormat="1" applyFont="1" applyFill="1" applyBorder="1" applyAlignment="1">
      <alignment horizontal="center" vertical="center"/>
    </xf>
    <xf numFmtId="0" fontId="3" fillId="0" borderId="51" xfId="0" applyFont="1" applyBorder="1"/>
    <xf numFmtId="0" fontId="10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38" xfId="0" applyFont="1" applyBorder="1"/>
    <xf numFmtId="0" fontId="10" fillId="0" borderId="68" xfId="0" applyFont="1" applyBorder="1" applyAlignment="1">
      <alignment horizontal="center"/>
    </xf>
    <xf numFmtId="0" fontId="3" fillId="0" borderId="68" xfId="0" applyFont="1" applyBorder="1"/>
    <xf numFmtId="9" fontId="26" fillId="6" borderId="31" xfId="0" applyNumberFormat="1" applyFont="1" applyFill="1" applyBorder="1" applyAlignment="1">
      <alignment horizontal="center" vertical="center" wrapText="1"/>
    </xf>
    <xf numFmtId="0" fontId="3" fillId="0" borderId="33" xfId="0" applyFont="1" applyBorder="1"/>
    <xf numFmtId="0" fontId="3" fillId="0" borderId="41" xfId="0" applyFont="1" applyBorder="1"/>
    <xf numFmtId="0" fontId="3" fillId="0" borderId="42" xfId="0" applyFont="1" applyBorder="1"/>
    <xf numFmtId="0" fontId="17" fillId="0" borderId="34" xfId="0" applyFont="1" applyBorder="1" applyAlignment="1">
      <alignment horizontal="center"/>
    </xf>
    <xf numFmtId="0" fontId="3" fillId="0" borderId="43" xfId="0" applyFont="1" applyBorder="1"/>
    <xf numFmtId="9" fontId="32" fillId="6" borderId="45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3" fillId="0" borderId="14" xfId="0" applyFont="1" applyBorder="1"/>
    <xf numFmtId="0" fontId="31" fillId="0" borderId="7" xfId="0" applyFont="1" applyBorder="1" applyAlignment="1">
      <alignment horizontal="left"/>
    </xf>
    <xf numFmtId="0" fontId="3" fillId="0" borderId="7" xfId="0" applyFont="1" applyBorder="1"/>
    <xf numFmtId="0" fontId="31" fillId="0" borderId="0" xfId="0" applyFont="1" applyAlignment="1">
      <alignment horizontal="left"/>
    </xf>
    <xf numFmtId="0" fontId="31" fillId="0" borderId="8" xfId="0" applyFont="1" applyBorder="1" applyAlignment="1">
      <alignment horizontal="left"/>
    </xf>
    <xf numFmtId="0" fontId="32" fillId="0" borderId="8" xfId="0" applyFont="1" applyBorder="1" applyAlignment="1">
      <alignment horizontal="left"/>
    </xf>
    <xf numFmtId="165" fontId="18" fillId="0" borderId="70" xfId="0" applyNumberFormat="1" applyFont="1" applyBorder="1" applyAlignment="1">
      <alignment horizontal="center" vertical="center"/>
    </xf>
    <xf numFmtId="0" fontId="3" fillId="0" borderId="71" xfId="0" applyFont="1" applyBorder="1"/>
    <xf numFmtId="165" fontId="18" fillId="0" borderId="31" xfId="0" applyNumberFormat="1" applyFont="1" applyBorder="1" applyAlignment="1">
      <alignment horizontal="center" vertical="center"/>
    </xf>
    <xf numFmtId="0" fontId="3" fillId="0" borderId="32" xfId="0" applyFont="1" applyBorder="1"/>
    <xf numFmtId="0" fontId="20" fillId="0" borderId="29" xfId="0" applyFont="1" applyBorder="1" applyAlignment="1">
      <alignment horizontal="center" vertical="center"/>
    </xf>
    <xf numFmtId="0" fontId="3" fillId="0" borderId="30" xfId="0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17" xfId="0" applyFont="1" applyBorder="1"/>
    <xf numFmtId="0" fontId="3" fillId="0" borderId="44" xfId="0" applyFont="1" applyBorder="1"/>
    <xf numFmtId="0" fontId="18" fillId="0" borderId="45" xfId="0" applyFont="1" applyBorder="1" applyAlignment="1">
      <alignment horizontal="center"/>
    </xf>
    <xf numFmtId="0" fontId="18" fillId="0" borderId="47" xfId="0" applyFont="1" applyBorder="1" applyAlignment="1">
      <alignment horizontal="center"/>
    </xf>
    <xf numFmtId="0" fontId="3" fillId="0" borderId="49" xfId="0" applyFont="1" applyBorder="1"/>
    <xf numFmtId="0" fontId="10" fillId="0" borderId="80" xfId="0" applyFont="1" applyBorder="1" applyAlignment="1">
      <alignment horizontal="center"/>
    </xf>
    <xf numFmtId="9" fontId="9" fillId="6" borderId="31" xfId="0" applyNumberFormat="1" applyFont="1" applyFill="1" applyBorder="1" applyAlignment="1">
      <alignment horizontal="center" vertical="center" wrapText="1"/>
    </xf>
    <xf numFmtId="0" fontId="34" fillId="0" borderId="51" xfId="0" applyFont="1" applyBorder="1"/>
    <xf numFmtId="9" fontId="19" fillId="6" borderId="31" xfId="0" applyNumberFormat="1" applyFont="1" applyFill="1" applyBorder="1" applyAlignment="1">
      <alignment horizontal="center" vertical="center" wrapText="1"/>
    </xf>
    <xf numFmtId="9" fontId="29" fillId="6" borderId="34" xfId="0" applyNumberFormat="1" applyFont="1" applyFill="1" applyBorder="1" applyAlignment="1">
      <alignment horizontal="center" vertical="center" textRotation="90" wrapText="1"/>
    </xf>
    <xf numFmtId="0" fontId="33" fillId="0" borderId="43" xfId="0" applyFont="1" applyBorder="1"/>
    <xf numFmtId="0" fontId="33" fillId="0" borderId="52" xfId="0" applyFont="1" applyBorder="1"/>
    <xf numFmtId="9" fontId="32" fillId="6" borderId="34" xfId="0" applyNumberFormat="1" applyFont="1" applyFill="1" applyBorder="1" applyAlignment="1">
      <alignment horizontal="center" vertical="center" textRotation="90" wrapText="1"/>
    </xf>
    <xf numFmtId="0" fontId="34" fillId="0" borderId="43" xfId="0" applyFont="1" applyBorder="1"/>
    <xf numFmtId="0" fontId="34" fillId="0" borderId="52" xfId="0" applyFont="1" applyBorder="1"/>
    <xf numFmtId="9" fontId="19" fillId="6" borderId="34" xfId="0" applyNumberFormat="1" applyFont="1" applyFill="1" applyBorder="1" applyAlignment="1">
      <alignment horizontal="center" vertical="center" textRotation="90" wrapText="1"/>
    </xf>
    <xf numFmtId="0" fontId="3" fillId="0" borderId="52" xfId="0" applyFont="1" applyBorder="1"/>
    <xf numFmtId="0" fontId="35" fillId="0" borderId="43" xfId="0" applyFont="1" applyBorder="1"/>
    <xf numFmtId="0" fontId="35" fillId="0" borderId="52" xfId="0" applyFont="1" applyBorder="1"/>
    <xf numFmtId="0" fontId="10" fillId="0" borderId="0" xfId="0" applyFont="1" applyAlignment="1">
      <alignment horizontal="center"/>
    </xf>
    <xf numFmtId="0" fontId="25" fillId="0" borderId="80" xfId="0" applyFont="1" applyBorder="1" applyAlignment="1">
      <alignment horizontal="center"/>
    </xf>
    <xf numFmtId="0" fontId="3" fillId="0" borderId="80" xfId="0" applyFont="1" applyBorder="1"/>
    <xf numFmtId="0" fontId="25" fillId="0" borderId="68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22" fillId="6" borderId="66" xfId="0" applyFont="1" applyFill="1" applyBorder="1" applyAlignment="1">
      <alignment horizontal="left"/>
    </xf>
    <xf numFmtId="0" fontId="3" fillId="0" borderId="67" xfId="0" applyFont="1" applyBorder="1"/>
    <xf numFmtId="0" fontId="23" fillId="0" borderId="0" xfId="0" applyFont="1" applyAlignment="1">
      <alignment horizontal="center" vertical="center"/>
    </xf>
    <xf numFmtId="0" fontId="21" fillId="0" borderId="80" xfId="0" applyFont="1" applyBorder="1" applyAlignment="1">
      <alignment horizontal="center"/>
    </xf>
    <xf numFmtId="0" fontId="23" fillId="0" borderId="68" xfId="0" applyFont="1" applyBorder="1" applyAlignment="1">
      <alignment horizontal="center"/>
    </xf>
    <xf numFmtId="0" fontId="23" fillId="0" borderId="68" xfId="0" applyFont="1" applyBorder="1" applyAlignment="1">
      <alignment horizontal="center" vertical="center"/>
    </xf>
    <xf numFmtId="0" fontId="23" fillId="0" borderId="81" xfId="0" applyFont="1" applyBorder="1" applyAlignment="1">
      <alignment horizontal="center" wrapText="1"/>
    </xf>
    <xf numFmtId="0" fontId="3" fillId="0" borderId="82" xfId="0" applyFont="1" applyBorder="1"/>
    <xf numFmtId="0" fontId="3" fillId="0" borderId="84" xfId="0" applyFont="1" applyBorder="1"/>
    <xf numFmtId="0" fontId="3" fillId="0" borderId="11" xfId="0" applyFont="1" applyBorder="1"/>
    <xf numFmtId="0" fontId="3" fillId="0" borderId="13" xfId="0" applyFont="1" applyBorder="1"/>
    <xf numFmtId="0" fontId="23" fillId="0" borderId="3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3" fillId="0" borderId="2" xfId="0" applyFont="1" applyBorder="1" applyAlignment="1">
      <alignment horizontal="center" vertical="center"/>
    </xf>
    <xf numFmtId="0" fontId="3" fillId="0" borderId="83" xfId="0" applyFont="1" applyBorder="1"/>
    <xf numFmtId="0" fontId="3" fillId="0" borderId="5" xfId="0" applyFont="1" applyBorder="1"/>
    <xf numFmtId="0" fontId="23" fillId="0" borderId="81" xfId="0" applyFont="1" applyBorder="1" applyAlignment="1">
      <alignment horizontal="center" vertical="center"/>
    </xf>
    <xf numFmtId="0" fontId="30" fillId="0" borderId="122" xfId="0" applyFont="1" applyBorder="1" applyAlignment="1">
      <alignment horizontal="left"/>
    </xf>
    <xf numFmtId="0" fontId="2" fillId="0" borderId="122" xfId="0" applyFont="1" applyBorder="1" applyAlignment="1">
      <alignment horizontal="left"/>
    </xf>
    <xf numFmtId="0" fontId="2" fillId="8" borderId="111" xfId="0" applyFont="1" applyFill="1" applyBorder="1"/>
  </cellXfs>
  <cellStyles count="1">
    <cellStyle name="Normal" xfId="0" builtinId="0"/>
  </cellStyles>
  <dxfs count="79"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371475</xdr:colOff>
      <xdr:row>0</xdr:row>
      <xdr:rowOff>47625</xdr:rowOff>
    </xdr:from>
    <xdr:ext cx="7515225" cy="10287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63</xdr:row>
      <xdr:rowOff>66675</xdr:rowOff>
    </xdr:from>
    <xdr:ext cx="7515225" cy="102870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126</xdr:row>
      <xdr:rowOff>47625</xdr:rowOff>
    </xdr:from>
    <xdr:ext cx="7515225" cy="1028700"/>
    <xdr:pic>
      <xdr:nvPicPr>
        <xdr:cNvPr id="4" name="image1.png" title="Imag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189</xdr:row>
      <xdr:rowOff>28575</xdr:rowOff>
    </xdr:from>
    <xdr:ext cx="7515225" cy="1028700"/>
    <xdr:pic>
      <xdr:nvPicPr>
        <xdr:cNvPr id="5" name="image1.png" title="Image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251</xdr:row>
      <xdr:rowOff>190500</xdr:rowOff>
    </xdr:from>
    <xdr:ext cx="7515225" cy="1028700"/>
    <xdr:pic>
      <xdr:nvPicPr>
        <xdr:cNvPr id="6" name="image1.png" title="Imag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998"/>
  <sheetViews>
    <sheetView tabSelected="1" workbookViewId="0">
      <selection activeCell="D10" sqref="D10"/>
    </sheetView>
  </sheetViews>
  <sheetFormatPr defaultColWidth="14.44140625" defaultRowHeight="15" customHeight="1" x14ac:dyDescent="0.3"/>
  <cols>
    <col min="1" max="1" width="19" customWidth="1"/>
    <col min="2" max="3" width="26.88671875" customWidth="1"/>
    <col min="4" max="4" width="13.6640625" customWidth="1"/>
    <col min="5" max="5" width="24.5546875" customWidth="1"/>
    <col min="6" max="6" width="12.109375" customWidth="1"/>
    <col min="7" max="7" width="13.44140625" customWidth="1"/>
    <col min="8" max="8" width="26.5546875" customWidth="1"/>
    <col min="9" max="9" width="9.33203125" customWidth="1"/>
    <col min="10" max="27" width="8" customWidth="1"/>
  </cols>
  <sheetData>
    <row r="1" spans="1:27" ht="15.75" customHeight="1" x14ac:dyDescent="0.3">
      <c r="A1" s="183" t="s">
        <v>0</v>
      </c>
      <c r="B1" s="184"/>
      <c r="C1" s="188"/>
      <c r="D1" s="190" t="s">
        <v>1</v>
      </c>
      <c r="E1" s="191"/>
      <c r="G1" s="183" t="s">
        <v>2</v>
      </c>
      <c r="H1" s="184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ht="15.75" customHeight="1" x14ac:dyDescent="0.3">
      <c r="A2" s="183" t="s">
        <v>3</v>
      </c>
      <c r="B2" s="184"/>
      <c r="C2" s="188"/>
      <c r="D2" s="2"/>
      <c r="E2" s="188"/>
      <c r="G2" s="183" t="s">
        <v>4</v>
      </c>
      <c r="H2" s="184"/>
      <c r="I2" s="174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5.75" customHeight="1" x14ac:dyDescent="0.3">
      <c r="A3" s="1"/>
      <c r="B3" s="2"/>
      <c r="C3" s="2"/>
      <c r="D3" s="2"/>
      <c r="E3" s="188"/>
      <c r="G3" s="183" t="s">
        <v>5</v>
      </c>
      <c r="H3" s="189"/>
      <c r="I3" s="2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15.75" customHeight="1" x14ac:dyDescent="0.3">
      <c r="A4" s="183" t="s">
        <v>6</v>
      </c>
      <c r="B4" s="185"/>
      <c r="C4" s="188"/>
      <c r="D4" s="2"/>
      <c r="E4" s="188"/>
      <c r="G4" s="183" t="s">
        <v>7</v>
      </c>
      <c r="H4" s="185"/>
      <c r="I4" s="2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ht="15.75" customHeight="1" x14ac:dyDescent="0.3">
      <c r="A5" s="183" t="s">
        <v>8</v>
      </c>
      <c r="B5" s="186"/>
      <c r="C5" s="188"/>
      <c r="D5" s="2"/>
      <c r="E5" s="2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ht="15.75" customHeight="1" x14ac:dyDescent="0.3">
      <c r="A6" s="183" t="s">
        <v>9</v>
      </c>
      <c r="B6" s="192"/>
      <c r="C6" s="329"/>
      <c r="D6" s="174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ht="15.75" customHeight="1" x14ac:dyDescent="0.3">
      <c r="A7" s="183" t="s">
        <v>10</v>
      </c>
      <c r="B7" s="187"/>
      <c r="C7" s="330"/>
      <c r="D7" s="174"/>
      <c r="E7" s="231" t="s">
        <v>12</v>
      </c>
      <c r="F7" s="232"/>
      <c r="G7" s="232"/>
      <c r="H7" s="232"/>
      <c r="I7" s="232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ht="15.75" customHeight="1" x14ac:dyDescent="0.3">
      <c r="A8" s="183" t="s">
        <v>11</v>
      </c>
      <c r="B8" s="192"/>
      <c r="C8" s="329"/>
      <c r="D8" s="174"/>
      <c r="E8" s="204" t="s">
        <v>13</v>
      </c>
      <c r="F8" s="205"/>
      <c r="G8" s="194"/>
      <c r="H8" s="198" t="s">
        <v>14</v>
      </c>
      <c r="I8" s="199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ht="15.75" customHeight="1" x14ac:dyDescent="0.3">
      <c r="A9" s="3"/>
      <c r="B9" s="3"/>
      <c r="C9" s="3"/>
      <c r="D9" s="3"/>
      <c r="E9" s="197" t="s">
        <v>83</v>
      </c>
      <c r="F9" s="206">
        <v>20</v>
      </c>
      <c r="G9" s="194"/>
      <c r="H9" s="201" t="s">
        <v>83</v>
      </c>
      <c r="I9" s="208">
        <v>20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ht="15.75" customHeight="1" x14ac:dyDescent="0.3">
      <c r="A10" s="3"/>
      <c r="B10" s="3"/>
      <c r="C10" s="3"/>
      <c r="D10" s="3"/>
      <c r="E10" s="197" t="s">
        <v>15</v>
      </c>
      <c r="F10" s="206">
        <v>10</v>
      </c>
      <c r="G10" s="194"/>
      <c r="H10" s="197" t="s">
        <v>15</v>
      </c>
      <c r="I10" s="206">
        <v>10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ht="15.75" customHeight="1" x14ac:dyDescent="0.3">
      <c r="A11" s="331" t="s">
        <v>88</v>
      </c>
      <c r="B11" s="331" t="s">
        <v>89</v>
      </c>
      <c r="C11" s="331" t="s">
        <v>90</v>
      </c>
      <c r="D11" s="3"/>
      <c r="E11" s="197" t="s">
        <v>16</v>
      </c>
      <c r="F11" s="206">
        <v>30</v>
      </c>
      <c r="G11" s="194"/>
      <c r="H11" s="197" t="s">
        <v>16</v>
      </c>
      <c r="I11" s="206">
        <v>30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ht="15.75" customHeight="1" x14ac:dyDescent="0.3">
      <c r="A12" s="197"/>
      <c r="B12" s="197"/>
      <c r="C12" s="197"/>
      <c r="D12" s="3"/>
      <c r="E12" s="197" t="s">
        <v>17</v>
      </c>
      <c r="F12" s="206">
        <v>5</v>
      </c>
      <c r="G12" s="194"/>
      <c r="H12" s="197" t="s">
        <v>17</v>
      </c>
      <c r="I12" s="206">
        <v>5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ht="15.75" customHeight="1" x14ac:dyDescent="0.3">
      <c r="A13" s="197"/>
      <c r="B13" s="197"/>
      <c r="C13" s="197"/>
      <c r="D13" s="3"/>
      <c r="E13" s="197" t="s">
        <v>84</v>
      </c>
      <c r="F13" s="206">
        <v>35</v>
      </c>
      <c r="G13" s="194"/>
      <c r="H13" s="197" t="s">
        <v>84</v>
      </c>
      <c r="I13" s="206">
        <v>35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ht="15.75" customHeight="1" x14ac:dyDescent="0.3">
      <c r="A14" s="197"/>
      <c r="B14" s="197"/>
      <c r="C14" s="197"/>
      <c r="D14" s="3"/>
      <c r="E14" s="196" t="s">
        <v>18</v>
      </c>
      <c r="F14" s="207">
        <f>SUM(F9:F13)</f>
        <v>100</v>
      </c>
      <c r="G14" s="194"/>
      <c r="H14" s="196" t="s">
        <v>18</v>
      </c>
      <c r="I14" s="207">
        <f>SUM(I9:I13)</f>
        <v>100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ht="15.75" customHeight="1" x14ac:dyDescent="0.3">
      <c r="A15" s="197"/>
      <c r="B15" s="197"/>
      <c r="C15" s="197"/>
      <c r="D15" s="3"/>
      <c r="E15" s="194"/>
      <c r="F15" s="200"/>
      <c r="G15" s="194"/>
      <c r="H15" s="194"/>
      <c r="I15" s="194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ht="15.75" customHeight="1" x14ac:dyDescent="0.3">
      <c r="A16" s="197"/>
      <c r="B16" s="197"/>
      <c r="C16" s="197"/>
      <c r="D16" s="3"/>
      <c r="E16" s="196" t="s">
        <v>19</v>
      </c>
      <c r="F16" s="196"/>
      <c r="G16" s="194"/>
      <c r="H16" s="196" t="s">
        <v>20</v>
      </c>
      <c r="I16" s="196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ht="15.75" customHeight="1" x14ac:dyDescent="0.3">
      <c r="A17" s="3"/>
      <c r="B17" s="3"/>
      <c r="C17" s="3"/>
      <c r="D17" s="3"/>
      <c r="E17" s="197" t="s">
        <v>83</v>
      </c>
      <c r="F17" s="206">
        <v>20</v>
      </c>
      <c r="G17" s="194"/>
      <c r="H17" s="197" t="s">
        <v>83</v>
      </c>
      <c r="I17" s="206">
        <v>20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ht="15.75" customHeight="1" x14ac:dyDescent="0.3">
      <c r="A18" s="3"/>
      <c r="B18" s="3"/>
      <c r="C18" s="3"/>
      <c r="D18" s="3"/>
      <c r="E18" s="197" t="s">
        <v>15</v>
      </c>
      <c r="F18" s="206">
        <v>10</v>
      </c>
      <c r="G18" s="194"/>
      <c r="H18" s="203" t="s">
        <v>15</v>
      </c>
      <c r="I18" s="210">
        <v>10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ht="15.75" customHeight="1" x14ac:dyDescent="0.3">
      <c r="A19" s="3"/>
      <c r="B19" s="3"/>
      <c r="C19" s="3"/>
      <c r="D19" s="3"/>
      <c r="E19" s="202" t="s">
        <v>16</v>
      </c>
      <c r="F19" s="209">
        <v>30</v>
      </c>
      <c r="G19" s="194"/>
      <c r="H19" s="197" t="s">
        <v>16</v>
      </c>
      <c r="I19" s="211">
        <v>30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ht="15.75" customHeight="1" x14ac:dyDescent="0.3">
      <c r="A20" s="3"/>
      <c r="B20" s="3"/>
      <c r="C20" s="3"/>
      <c r="D20" s="3"/>
      <c r="E20" s="195" t="s">
        <v>17</v>
      </c>
      <c r="F20" s="206">
        <v>5</v>
      </c>
      <c r="G20" s="194"/>
      <c r="H20" s="197" t="s">
        <v>17</v>
      </c>
      <c r="I20" s="211">
        <v>5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ht="15.75" customHeight="1" x14ac:dyDescent="0.3">
      <c r="A21" s="3"/>
      <c r="B21" s="3"/>
      <c r="C21" s="3"/>
      <c r="D21" s="3"/>
      <c r="E21" s="195" t="s">
        <v>84</v>
      </c>
      <c r="F21" s="206">
        <v>35</v>
      </c>
      <c r="G21" s="194"/>
      <c r="H21" s="197" t="s">
        <v>84</v>
      </c>
      <c r="I21" s="211">
        <v>35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ht="15.75" customHeight="1" x14ac:dyDescent="0.3">
      <c r="A22" s="3"/>
      <c r="B22" s="3"/>
      <c r="C22" s="3"/>
      <c r="D22" s="3"/>
      <c r="E22" s="193" t="s">
        <v>18</v>
      </c>
      <c r="F22" s="207">
        <f>SUM(F17:F21)</f>
        <v>100</v>
      </c>
      <c r="G22" s="194"/>
      <c r="H22" s="196" t="s">
        <v>18</v>
      </c>
      <c r="I22" s="212">
        <f>SUM(I17:I21)</f>
        <v>100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ht="15.75" customHeight="1" x14ac:dyDescent="0.3">
      <c r="A23" s="3"/>
      <c r="B23" s="3"/>
      <c r="C23" s="3"/>
      <c r="D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ht="15.75" customHeight="1" x14ac:dyDescent="0.3">
      <c r="A24" s="3"/>
      <c r="B24" s="3"/>
      <c r="C24" s="3"/>
      <c r="D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ht="15.75" customHeight="1" x14ac:dyDescent="0.3">
      <c r="A25" s="3"/>
      <c r="B25" s="3"/>
      <c r="C25" s="3"/>
      <c r="D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ht="15.75" customHeight="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ht="15.75" customHeigh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</row>
    <row r="28" spans="1:27" ht="15.75" customHeigh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</row>
    <row r="29" spans="1:27" ht="15.75" customHeight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</row>
    <row r="30" spans="1:27" ht="15.75" customHeight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</row>
    <row r="31" spans="1:27" ht="15.75" customHeight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7" ht="15.75" customHeight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ht="15.75" customHeight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ht="15.75" customHeight="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ht="15.75" customHeigh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ht="15.75" customHeight="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ht="15.75" customHeight="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  <row r="38" spans="1:27" ht="15.75" customHeight="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</row>
    <row r="39" spans="1:27" ht="15.75" customHeight="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ht="15.75" customHeigh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ht="15.7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ht="15.7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ht="15.7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ht="15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</row>
    <row r="45" spans="1:27" ht="15.7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</row>
    <row r="46" spans="1:27" ht="15.75" customHeight="1" x14ac:dyDescent="0.3">
      <c r="A46" s="3"/>
      <c r="B46" s="3"/>
      <c r="C46" s="3"/>
      <c r="D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</row>
    <row r="47" spans="1:27" ht="15.75" customHeight="1" x14ac:dyDescent="0.3">
      <c r="A47" s="3"/>
      <c r="B47" s="3"/>
      <c r="C47" s="3"/>
      <c r="D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</row>
    <row r="48" spans="1:27" ht="15.75" customHeight="1" x14ac:dyDescent="0.3">
      <c r="A48" s="3"/>
      <c r="B48" s="3"/>
      <c r="C48" s="3"/>
      <c r="D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</row>
    <row r="49" spans="1:27" ht="15.75" customHeight="1" x14ac:dyDescent="0.3">
      <c r="A49" s="3"/>
      <c r="B49" s="3"/>
      <c r="C49" s="3"/>
      <c r="D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</row>
    <row r="50" spans="1:27" ht="15.75" customHeight="1" x14ac:dyDescent="0.3">
      <c r="A50" s="3"/>
      <c r="B50" s="3"/>
      <c r="C50" s="3"/>
      <c r="D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</row>
    <row r="51" spans="1:27" ht="15.75" customHeight="1" x14ac:dyDescent="0.3">
      <c r="A51" s="3"/>
      <c r="B51" s="3"/>
      <c r="C51" s="3"/>
      <c r="D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</row>
    <row r="52" spans="1:27" ht="15.75" customHeight="1" x14ac:dyDescent="0.3">
      <c r="A52" s="3"/>
      <c r="B52" s="3"/>
      <c r="C52" s="3"/>
      <c r="D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</row>
    <row r="53" spans="1:27" ht="15.75" customHeight="1" x14ac:dyDescent="0.3">
      <c r="A53" s="3"/>
      <c r="B53" s="3"/>
      <c r="C53" s="3"/>
      <c r="D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ht="15.75" customHeight="1" x14ac:dyDescent="0.3">
      <c r="A54" s="3"/>
      <c r="B54" s="3"/>
      <c r="C54" s="3"/>
      <c r="D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ht="15.75" customHeight="1" x14ac:dyDescent="0.3">
      <c r="A55" s="3"/>
      <c r="B55" s="3"/>
      <c r="C55" s="3"/>
      <c r="D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ht="15.75" customHeight="1" x14ac:dyDescent="0.3">
      <c r="A56" s="3"/>
      <c r="B56" s="3"/>
      <c r="C56" s="3"/>
      <c r="D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ht="15.75" customHeight="1" x14ac:dyDescent="0.3">
      <c r="A57" s="3"/>
      <c r="B57" s="3"/>
      <c r="C57" s="3"/>
      <c r="D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ht="15.75" customHeight="1" x14ac:dyDescent="0.3">
      <c r="A58" s="3"/>
      <c r="B58" s="3"/>
      <c r="C58" s="3"/>
      <c r="D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ht="15.75" customHeight="1" x14ac:dyDescent="0.3">
      <c r="A59" s="3"/>
      <c r="B59" s="3"/>
      <c r="C59" s="3"/>
      <c r="D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ht="15.75" customHeight="1" x14ac:dyDescent="0.3">
      <c r="A60" s="3"/>
      <c r="B60" s="3"/>
      <c r="C60" s="3"/>
      <c r="D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ht="15.75" customHeight="1" x14ac:dyDescent="0.3">
      <c r="A61" s="3"/>
      <c r="B61" s="3"/>
      <c r="C61" s="3"/>
      <c r="D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ht="15.7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ht="15.7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ht="15.7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ht="15.75" customHeigh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ht="15.75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ht="15.75" customHeight="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ht="15.75" customHeight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ht="15.75" customHeigh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ht="15.75" customHeight="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ht="15.7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ht="15.7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ht="15.7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ht="15.7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ht="15.7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ht="15.7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ht="15.75" customHeight="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ht="15.75" customHeight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ht="15.75" customHeight="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ht="15.75" customHeight="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ht="15.75" customHeight="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ht="15.7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ht="15.7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ht="15.7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ht="15.7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ht="15.7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ht="15.7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ht="15.7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ht="15.7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ht="15.7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ht="15.7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ht="15.7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ht="15.7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ht="15.7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ht="15.75" customHeight="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ht="15.7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ht="15.7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ht="15.7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ht="15.7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ht="15.7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ht="15.7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ht="15.7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ht="15.7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ht="15.7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ht="15.7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ht="15.7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ht="15.7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ht="15.7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ht="15.7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ht="15.7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ht="15.7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ht="15.7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ht="15.7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ht="15.75" customHeight="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ht="15.75" customHeight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ht="15.75" customHeight="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ht="15.75" customHeight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ht="15.75" customHeight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ht="15.75" customHeight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ht="15.75" customHeight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ht="15.75" customHeight="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ht="15.75" customHeight="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ht="15.75" customHeight="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ht="15.75" customHeight="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ht="15.75" customHeight="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ht="15.75" customHeight="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ht="15.75" customHeight="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ht="15.75" customHeight="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ht="15.75" customHeight="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ht="15.75" customHeight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ht="15.75" customHeight="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ht="15.75" customHeight="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ht="15.75" customHeight="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ht="15.75" customHeight="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ht="15.75" customHeight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ht="15.75" customHeight="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ht="15.75" customHeight="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ht="15.75" customHeight="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ht="15.75" customHeight="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ht="15.75" customHeight="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ht="15.75" customHeight="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ht="15.75" customHeight="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ht="15.75" customHeight="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ht="15.75" customHeight="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ht="15.75" customHeight="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ht="15.75" customHeight="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ht="15.75" customHeight="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ht="15.75" customHeight="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ht="15.75" customHeight="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ht="15.75" customHeight="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ht="15.75" customHeight="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ht="15.75" customHeight="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ht="15.75" customHeight="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ht="15.75" customHeight="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ht="15.75" customHeight="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ht="15.7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ht="15.75" customHeight="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ht="15.75" customHeight="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ht="15.75" customHeight="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ht="15.75" customHeight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ht="15.75" customHeight="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ht="15.75" customHeight="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ht="15.75" customHeight="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ht="15.75" customHeight="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ht="15.75" customHeight="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ht="15.75" customHeight="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ht="15.75" customHeight="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ht="15.75" customHeight="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ht="15.75" customHeight="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ht="15.75" customHeight="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ht="15.75" customHeight="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ht="15.75" customHeight="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ht="15.75" customHeight="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ht="15.75" customHeight="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ht="15.75" customHeight="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ht="15.75" customHeight="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ht="15.75" customHeight="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ht="15.75" customHeight="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ht="15.75" customHeight="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ht="15.75" customHeight="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ht="15.75" customHeight="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ht="15.75" customHeight="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ht="15.75" customHeight="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ht="15.75" customHeight="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ht="15.75" customHeight="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ht="15.75" customHeight="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ht="15.75" customHeight="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ht="15.7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ht="15.75" customHeight="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ht="15.75" customHeight="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ht="15.75" customHeight="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ht="15.7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ht="15.75" customHeight="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ht="15.7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ht="15.75" customHeight="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ht="15.7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ht="15.75" customHeight="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ht="15.7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ht="15.75" customHeight="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ht="15.7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ht="15.75" customHeight="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ht="15.7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ht="15.75" customHeight="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ht="15.7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ht="15.75" customHeight="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ht="15.7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ht="15.75" customHeight="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ht="15.7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ht="15.75" customHeight="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ht="15.7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ht="15.75" customHeight="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ht="15.7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ht="15.75" customHeight="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ht="15.7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ht="15.75" customHeight="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ht="15.75" customHeight="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ht="15.75" customHeight="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ht="15.75" customHeight="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ht="15.75" customHeight="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ht="15.75" customHeight="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ht="15.75" customHeight="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ht="15.75" customHeight="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ht="15.75" customHeight="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ht="15.75" customHeight="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ht="15.75" customHeight="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ht="15.75" customHeight="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ht="15.75" customHeight="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ht="15.75" customHeight="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ht="15.75" customHeight="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ht="15.75" customHeight="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ht="15.75" customHeight="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ht="15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ht="15.75" customHeight="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ht="15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ht="15.7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ht="15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ht="15.7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ht="15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ht="15.75" customHeight="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ht="15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ht="15.75" customHeight="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ht="15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ht="15.75" customHeight="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ht="15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ht="15.75" customHeight="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ht="15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ht="15.75" customHeight="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ht="15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ht="15.75" customHeight="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ht="15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ht="15.75" customHeight="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ht="15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ht="15.75" customHeight="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ht="15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ht="15.75" customHeight="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ht="15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ht="15.75" customHeight="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ht="15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ht="15.75" customHeight="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ht="15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ht="15.75" customHeight="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ht="15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ht="15.75" customHeight="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ht="15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ht="15.75" customHeight="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ht="15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ht="15.75" customHeight="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ht="15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ht="15.75" customHeight="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ht="15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ht="15.75" customHeight="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ht="15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ht="15.75" customHeight="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ht="15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ht="15.75" customHeight="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ht="15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ht="15.75" customHeight="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ht="15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ht="15.75" customHeight="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ht="15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ht="15.75" customHeight="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ht="15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ht="15.75" customHeight="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ht="15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ht="15.75" customHeight="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ht="15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ht="15.75" customHeight="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ht="15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ht="15.75" customHeight="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ht="15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ht="15.75" customHeight="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ht="15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ht="15.75" customHeight="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ht="15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ht="15.75" customHeight="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ht="15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ht="15.75" customHeight="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ht="15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ht="15.75" customHeight="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ht="15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ht="15.75" customHeight="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ht="15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ht="15.75" customHeight="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ht="15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ht="15.75" customHeight="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ht="15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ht="15.75" customHeight="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ht="15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ht="15.75" customHeight="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ht="15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ht="15.75" customHeight="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ht="15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ht="15.75" customHeight="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ht="15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ht="15.75" customHeight="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ht="15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ht="15.75" customHeight="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ht="15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ht="15.75" customHeight="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ht="15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ht="15.75" customHeight="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ht="15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ht="15.75" customHeight="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ht="15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ht="15.75" customHeight="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ht="15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ht="15.75" customHeight="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ht="15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ht="15.75" customHeight="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ht="15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ht="15.75" customHeight="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ht="15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ht="15.75" customHeight="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ht="15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ht="15.75" customHeight="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ht="15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ht="15.75" customHeight="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ht="15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ht="15.75" customHeight="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ht="15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ht="15.75" customHeight="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ht="15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ht="15.75" customHeight="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ht="15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ht="15.75" customHeight="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ht="15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ht="15.75" customHeight="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ht="15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ht="15.75" customHeight="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ht="15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ht="15.75" customHeight="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ht="15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ht="15.75" customHeight="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ht="15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ht="15.75" customHeight="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ht="15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ht="15.75" customHeight="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ht="15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ht="15.75" customHeight="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ht="15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ht="15.75" customHeight="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ht="15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ht="15.75" customHeight="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ht="15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ht="15.75" customHeight="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ht="15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ht="15.75" customHeight="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ht="15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ht="15.75" customHeight="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ht="15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ht="15.75" customHeight="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ht="15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ht="15.75" customHeight="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ht="15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ht="15.75" customHeight="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ht="15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ht="15.75" customHeight="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ht="15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ht="15.75" customHeight="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ht="15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ht="15.75" customHeight="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ht="15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ht="15.75" customHeight="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ht="15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ht="15.75" customHeight="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ht="15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ht="15.75" customHeight="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ht="15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ht="15.75" customHeight="1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ht="15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ht="15.75" customHeight="1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ht="15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ht="15.75" customHeight="1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ht="15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ht="15.75" customHeight="1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ht="15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ht="15.75" customHeight="1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ht="15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ht="15.75" customHeight="1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ht="15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ht="15.75" customHeight="1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ht="15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ht="15.75" customHeight="1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ht="15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ht="15.75" customHeight="1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ht="15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ht="15.75" customHeight="1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ht="15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ht="15.75" customHeight="1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ht="15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ht="15.75" customHeight="1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ht="15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ht="15.75" customHeight="1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ht="15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ht="15.75" customHeight="1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ht="15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ht="15.75" customHeight="1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ht="15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ht="15.75" customHeight="1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ht="15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ht="15.75" customHeight="1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ht="15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ht="15.75" customHeight="1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ht="15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ht="15.75" customHeight="1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ht="15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ht="15.75" customHeight="1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ht="15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ht="15.75" customHeight="1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ht="15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ht="15.75" customHeight="1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ht="15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ht="15.75" customHeight="1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ht="15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ht="15.75" customHeight="1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ht="15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ht="15.75" customHeight="1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ht="15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ht="15.75" customHeight="1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ht="15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ht="15.75" customHeight="1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ht="15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ht="15.75" customHeight="1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ht="15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ht="15.75" customHeight="1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ht="15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ht="15.75" customHeight="1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ht="15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ht="15.75" customHeight="1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ht="15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ht="15.75" customHeight="1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ht="15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ht="15.75" customHeight="1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ht="15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ht="15.75" customHeight="1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ht="15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ht="15.75" customHeight="1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ht="15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ht="15.75" customHeight="1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ht="15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ht="15.75" customHeight="1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ht="15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ht="15.75" customHeight="1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ht="15.75" customHeight="1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ht="15.75" customHeight="1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ht="15.75" customHeight="1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ht="15.75" customHeight="1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ht="15.75" customHeight="1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ht="15.75" customHeight="1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ht="15.75" customHeight="1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ht="15.75" customHeight="1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ht="15.75" customHeight="1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ht="15.75" customHeight="1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ht="15.75" customHeight="1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ht="15.75" customHeight="1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ht="15.75" customHeight="1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ht="15.75" customHeight="1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ht="15.75" customHeight="1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ht="15.75" customHeight="1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ht="15.75" customHeight="1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ht="15.75" customHeight="1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ht="15.75" customHeight="1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ht="15.75" customHeight="1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ht="15.75" customHeight="1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ht="15.75" customHeight="1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ht="15.75" customHeight="1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ht="15.75" customHeight="1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ht="15.75" customHeight="1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ht="15.75" customHeight="1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ht="15.75" customHeight="1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ht="15.75" customHeight="1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ht="15.75" customHeight="1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ht="15.75" customHeight="1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ht="15.75" customHeight="1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ht="15.75" customHeight="1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ht="15.75" customHeight="1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ht="15.75" customHeight="1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ht="15.75" customHeight="1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ht="15.75" customHeight="1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ht="15.75" customHeight="1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ht="15.75" customHeight="1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ht="15.75" customHeight="1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ht="15.75" customHeight="1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ht="15.75" customHeight="1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ht="15.75" customHeight="1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ht="15.75" customHeight="1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ht="15.75" customHeight="1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ht="15.75" customHeight="1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ht="15.75" customHeight="1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ht="15.75" customHeight="1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ht="15.75" customHeight="1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ht="15.75" customHeight="1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ht="15.75" customHeight="1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ht="15.75" customHeight="1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ht="15.75" customHeight="1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ht="15.75" customHeight="1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ht="15.75" customHeight="1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ht="15.75" customHeight="1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ht="15.75" customHeight="1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ht="15.75" customHeight="1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ht="15.75" customHeight="1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ht="15.75" customHeight="1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ht="15.75" customHeight="1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ht="15.75" customHeight="1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ht="15.75" customHeight="1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ht="15.75" customHeight="1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ht="15.75" customHeight="1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ht="15.75" customHeight="1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ht="15.75" customHeight="1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ht="15.75" customHeight="1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ht="15.75" customHeight="1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ht="15.75" customHeight="1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ht="15.75" customHeight="1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ht="15.75" customHeight="1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ht="15.75" customHeight="1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ht="15.75" customHeight="1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ht="15.75" customHeight="1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ht="15.75" customHeight="1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ht="15.75" customHeight="1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ht="15.75" customHeight="1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ht="15.75" customHeight="1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ht="15.75" customHeight="1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ht="15.75" customHeight="1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ht="15.75" customHeight="1" x14ac:dyDescent="0.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ht="15.75" customHeight="1" x14ac:dyDescent="0.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ht="15.75" customHeight="1" x14ac:dyDescent="0.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ht="15.75" customHeight="1" x14ac:dyDescent="0.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ht="15.75" customHeight="1" x14ac:dyDescent="0.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ht="15.75" customHeight="1" x14ac:dyDescent="0.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ht="15.75" customHeight="1" x14ac:dyDescent="0.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ht="15.75" customHeight="1" x14ac:dyDescent="0.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ht="15.75" customHeight="1" x14ac:dyDescent="0.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ht="15.75" customHeight="1" x14ac:dyDescent="0.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ht="15.75" customHeight="1" x14ac:dyDescent="0.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ht="15.75" customHeight="1" x14ac:dyDescent="0.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ht="15.75" customHeight="1" x14ac:dyDescent="0.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ht="15.75" customHeight="1" x14ac:dyDescent="0.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ht="15.75" customHeight="1" x14ac:dyDescent="0.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ht="15.75" customHeight="1" x14ac:dyDescent="0.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ht="15.75" customHeight="1" x14ac:dyDescent="0.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ht="15.75" customHeight="1" x14ac:dyDescent="0.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ht="15.75" customHeight="1" x14ac:dyDescent="0.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ht="15.75" customHeight="1" x14ac:dyDescent="0.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ht="15.75" customHeight="1" x14ac:dyDescent="0.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ht="15.75" customHeight="1" x14ac:dyDescent="0.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ht="15.75" customHeight="1" x14ac:dyDescent="0.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ht="15.75" customHeight="1" x14ac:dyDescent="0.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ht="15.75" customHeight="1" x14ac:dyDescent="0.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ht="15.75" customHeight="1" x14ac:dyDescent="0.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ht="15.75" customHeight="1" x14ac:dyDescent="0.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ht="15.75" customHeight="1" x14ac:dyDescent="0.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ht="15.75" customHeight="1" x14ac:dyDescent="0.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ht="15.75" customHeight="1" x14ac:dyDescent="0.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ht="15.75" customHeight="1" x14ac:dyDescent="0.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ht="15.75" customHeight="1" x14ac:dyDescent="0.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ht="15.75" customHeight="1" x14ac:dyDescent="0.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ht="15.75" customHeight="1" x14ac:dyDescent="0.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ht="15.75" customHeight="1" x14ac:dyDescent="0.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ht="15.75" customHeight="1" x14ac:dyDescent="0.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ht="15.75" customHeight="1" x14ac:dyDescent="0.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ht="15.75" customHeight="1" x14ac:dyDescent="0.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ht="15.75" customHeight="1" x14ac:dyDescent="0.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ht="15.75" customHeight="1" x14ac:dyDescent="0.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ht="15.75" customHeight="1" x14ac:dyDescent="0.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ht="15.75" customHeight="1" x14ac:dyDescent="0.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ht="15.75" customHeight="1" x14ac:dyDescent="0.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ht="15.75" customHeight="1" x14ac:dyDescent="0.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ht="15.75" customHeight="1" x14ac:dyDescent="0.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ht="15.75" customHeight="1" x14ac:dyDescent="0.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ht="15.75" customHeight="1" x14ac:dyDescent="0.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ht="15.75" customHeight="1" x14ac:dyDescent="0.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ht="15.75" customHeight="1" x14ac:dyDescent="0.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ht="15.75" customHeight="1" x14ac:dyDescent="0.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ht="15.75" customHeight="1" x14ac:dyDescent="0.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ht="15.75" customHeight="1" x14ac:dyDescent="0.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ht="15.75" customHeight="1" x14ac:dyDescent="0.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ht="15.75" customHeight="1" x14ac:dyDescent="0.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ht="15.75" customHeight="1" x14ac:dyDescent="0.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ht="15.75" customHeight="1" x14ac:dyDescent="0.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ht="15.75" customHeight="1" x14ac:dyDescent="0.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ht="15.75" customHeight="1" x14ac:dyDescent="0.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ht="15.75" customHeight="1" x14ac:dyDescent="0.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ht="15.75" customHeight="1" x14ac:dyDescent="0.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ht="15.75" customHeight="1" x14ac:dyDescent="0.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ht="15.75" customHeight="1" x14ac:dyDescent="0.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ht="15.75" customHeight="1" x14ac:dyDescent="0.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ht="15.75" customHeight="1" x14ac:dyDescent="0.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ht="15.75" customHeight="1" x14ac:dyDescent="0.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ht="15.75" customHeight="1" x14ac:dyDescent="0.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ht="15.75" customHeight="1" x14ac:dyDescent="0.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ht="15.75" customHeight="1" x14ac:dyDescent="0.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ht="15.75" customHeight="1" x14ac:dyDescent="0.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ht="15.75" customHeight="1" x14ac:dyDescent="0.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ht="15.75" customHeight="1" x14ac:dyDescent="0.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ht="15.75" customHeight="1" x14ac:dyDescent="0.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ht="15.75" customHeight="1" x14ac:dyDescent="0.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ht="15.75" customHeight="1" x14ac:dyDescent="0.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ht="15.75" customHeight="1" x14ac:dyDescent="0.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ht="15.75" customHeight="1" x14ac:dyDescent="0.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ht="15.75" customHeight="1" x14ac:dyDescent="0.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ht="15.75" customHeight="1" x14ac:dyDescent="0.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ht="15.75" customHeight="1" x14ac:dyDescent="0.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ht="15.75" customHeight="1" x14ac:dyDescent="0.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ht="15.75" customHeight="1" x14ac:dyDescent="0.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ht="15.75" customHeight="1" x14ac:dyDescent="0.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ht="15.75" customHeight="1" x14ac:dyDescent="0.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ht="15.75" customHeight="1" x14ac:dyDescent="0.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ht="15.75" customHeight="1" x14ac:dyDescent="0.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ht="15.75" customHeight="1" x14ac:dyDescent="0.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ht="15.75" customHeight="1" x14ac:dyDescent="0.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ht="15.75" customHeight="1" x14ac:dyDescent="0.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ht="15.75" customHeight="1" x14ac:dyDescent="0.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ht="15.75" customHeight="1" x14ac:dyDescent="0.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ht="15.75" customHeight="1" x14ac:dyDescent="0.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ht="15.75" customHeight="1" x14ac:dyDescent="0.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ht="15.75" customHeight="1" x14ac:dyDescent="0.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ht="15.75" customHeight="1" x14ac:dyDescent="0.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ht="15.75" customHeight="1" x14ac:dyDescent="0.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ht="15.75" customHeight="1" x14ac:dyDescent="0.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ht="15.75" customHeight="1" x14ac:dyDescent="0.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ht="15.75" customHeight="1" x14ac:dyDescent="0.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ht="15.75" customHeight="1" x14ac:dyDescent="0.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ht="15.75" customHeight="1" x14ac:dyDescent="0.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ht="15.75" customHeight="1" x14ac:dyDescent="0.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ht="15.75" customHeight="1" x14ac:dyDescent="0.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ht="15.75" customHeight="1" x14ac:dyDescent="0.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ht="15.75" customHeight="1" x14ac:dyDescent="0.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ht="15.75" customHeight="1" x14ac:dyDescent="0.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ht="15.75" customHeight="1" x14ac:dyDescent="0.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ht="15.75" customHeight="1" x14ac:dyDescent="0.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ht="15.75" customHeight="1" x14ac:dyDescent="0.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ht="15.75" customHeight="1" x14ac:dyDescent="0.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ht="15.75" customHeight="1" x14ac:dyDescent="0.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ht="15.75" customHeight="1" x14ac:dyDescent="0.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ht="15.75" customHeight="1" x14ac:dyDescent="0.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ht="15.75" customHeight="1" x14ac:dyDescent="0.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ht="15.75" customHeight="1" x14ac:dyDescent="0.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ht="15.75" customHeight="1" x14ac:dyDescent="0.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ht="15.75" customHeight="1" x14ac:dyDescent="0.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ht="15.75" customHeight="1" x14ac:dyDescent="0.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ht="15.75" customHeight="1" x14ac:dyDescent="0.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ht="15.75" customHeight="1" x14ac:dyDescent="0.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ht="15.75" customHeight="1" x14ac:dyDescent="0.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ht="15.75" customHeight="1" x14ac:dyDescent="0.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ht="15.75" customHeight="1" x14ac:dyDescent="0.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ht="15.75" customHeight="1" x14ac:dyDescent="0.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ht="15.75" customHeight="1" x14ac:dyDescent="0.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ht="15.75" customHeight="1" x14ac:dyDescent="0.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ht="15.75" customHeight="1" x14ac:dyDescent="0.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ht="15.75" customHeight="1" x14ac:dyDescent="0.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ht="15.75" customHeight="1" x14ac:dyDescent="0.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ht="15.75" customHeight="1" x14ac:dyDescent="0.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ht="15.75" customHeight="1" x14ac:dyDescent="0.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ht="15.75" customHeight="1" x14ac:dyDescent="0.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ht="15.75" customHeight="1" x14ac:dyDescent="0.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ht="15.75" customHeight="1" x14ac:dyDescent="0.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ht="15.75" customHeight="1" x14ac:dyDescent="0.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ht="15.75" customHeight="1" x14ac:dyDescent="0.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ht="15.75" customHeight="1" x14ac:dyDescent="0.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ht="15.75" customHeight="1" x14ac:dyDescent="0.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ht="15.75" customHeight="1" x14ac:dyDescent="0.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ht="15.75" customHeight="1" x14ac:dyDescent="0.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ht="15.75" customHeight="1" x14ac:dyDescent="0.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ht="15.75" customHeight="1" x14ac:dyDescent="0.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ht="15.75" customHeight="1" x14ac:dyDescent="0.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ht="15.75" customHeight="1" x14ac:dyDescent="0.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ht="15.75" customHeight="1" x14ac:dyDescent="0.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ht="15.75" customHeight="1" x14ac:dyDescent="0.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ht="15.75" customHeight="1" x14ac:dyDescent="0.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ht="15.75" customHeight="1" x14ac:dyDescent="0.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ht="15.75" customHeight="1" x14ac:dyDescent="0.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ht="15.75" customHeight="1" x14ac:dyDescent="0.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ht="15.75" customHeight="1" x14ac:dyDescent="0.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ht="15.75" customHeight="1" x14ac:dyDescent="0.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ht="15.75" customHeight="1" x14ac:dyDescent="0.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ht="15.75" customHeight="1" x14ac:dyDescent="0.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ht="15.75" customHeight="1" x14ac:dyDescent="0.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ht="15.75" customHeight="1" x14ac:dyDescent="0.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ht="15.75" customHeight="1" x14ac:dyDescent="0.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ht="15.75" customHeight="1" x14ac:dyDescent="0.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ht="15.75" customHeight="1" x14ac:dyDescent="0.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ht="15.75" customHeight="1" x14ac:dyDescent="0.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ht="15.75" customHeight="1" x14ac:dyDescent="0.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ht="15.75" customHeight="1" x14ac:dyDescent="0.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ht="15.75" customHeight="1" x14ac:dyDescent="0.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ht="15.75" customHeight="1" x14ac:dyDescent="0.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ht="15.75" customHeight="1" x14ac:dyDescent="0.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ht="15.75" customHeight="1" x14ac:dyDescent="0.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ht="15.75" customHeight="1" x14ac:dyDescent="0.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ht="15.75" customHeight="1" x14ac:dyDescent="0.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ht="15.75" customHeight="1" x14ac:dyDescent="0.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ht="15.75" customHeight="1" x14ac:dyDescent="0.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ht="15.75" customHeight="1" x14ac:dyDescent="0.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ht="15.75" customHeight="1" x14ac:dyDescent="0.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ht="15.75" customHeight="1" x14ac:dyDescent="0.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ht="15.75" customHeight="1" x14ac:dyDescent="0.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ht="15.75" customHeight="1" x14ac:dyDescent="0.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ht="15.75" customHeight="1" x14ac:dyDescent="0.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ht="15.75" customHeight="1" x14ac:dyDescent="0.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ht="15.75" customHeight="1" x14ac:dyDescent="0.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ht="15.75" customHeight="1" x14ac:dyDescent="0.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ht="15.75" customHeight="1" x14ac:dyDescent="0.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ht="15.75" customHeight="1" x14ac:dyDescent="0.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ht="15.75" customHeight="1" x14ac:dyDescent="0.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ht="15.75" customHeight="1" x14ac:dyDescent="0.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ht="15.75" customHeight="1" x14ac:dyDescent="0.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ht="15.75" customHeight="1" x14ac:dyDescent="0.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ht="15.75" customHeight="1" x14ac:dyDescent="0.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ht="15.75" customHeight="1" x14ac:dyDescent="0.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ht="15.75" customHeight="1" x14ac:dyDescent="0.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ht="15.75" customHeight="1" x14ac:dyDescent="0.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ht="15.75" customHeight="1" x14ac:dyDescent="0.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ht="15.75" customHeight="1" x14ac:dyDescent="0.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ht="15.75" customHeight="1" x14ac:dyDescent="0.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ht="15.75" customHeight="1" x14ac:dyDescent="0.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ht="15.75" customHeight="1" x14ac:dyDescent="0.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ht="15.75" customHeight="1" x14ac:dyDescent="0.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ht="15.75" customHeight="1" x14ac:dyDescent="0.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ht="15.75" customHeight="1" x14ac:dyDescent="0.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ht="15.75" customHeight="1" x14ac:dyDescent="0.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ht="15.75" customHeight="1" x14ac:dyDescent="0.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ht="15.75" customHeight="1" x14ac:dyDescent="0.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ht="15.75" customHeight="1" x14ac:dyDescent="0.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ht="15.75" customHeight="1" x14ac:dyDescent="0.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ht="15.75" customHeight="1" x14ac:dyDescent="0.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ht="15.75" customHeight="1" x14ac:dyDescent="0.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ht="15.75" customHeight="1" x14ac:dyDescent="0.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ht="15.75" customHeight="1" x14ac:dyDescent="0.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ht="15.75" customHeight="1" x14ac:dyDescent="0.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ht="15.75" customHeight="1" x14ac:dyDescent="0.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ht="15.75" customHeight="1" x14ac:dyDescent="0.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ht="15.75" customHeight="1" x14ac:dyDescent="0.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ht="15.75" customHeight="1" x14ac:dyDescent="0.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ht="15.75" customHeight="1" x14ac:dyDescent="0.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ht="15.75" customHeight="1" x14ac:dyDescent="0.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ht="15.75" customHeight="1" x14ac:dyDescent="0.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ht="15.75" customHeight="1" x14ac:dyDescent="0.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ht="15.75" customHeight="1" x14ac:dyDescent="0.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ht="15.75" customHeight="1" x14ac:dyDescent="0.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ht="15.75" customHeight="1" x14ac:dyDescent="0.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ht="15.75" customHeight="1" x14ac:dyDescent="0.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ht="15.75" customHeight="1" x14ac:dyDescent="0.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ht="15.75" customHeight="1" x14ac:dyDescent="0.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ht="15.75" customHeight="1" x14ac:dyDescent="0.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ht="15.75" customHeight="1" x14ac:dyDescent="0.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ht="15.75" customHeight="1" x14ac:dyDescent="0.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ht="15.75" customHeight="1" x14ac:dyDescent="0.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ht="15.75" customHeight="1" x14ac:dyDescent="0.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ht="15.75" customHeight="1" x14ac:dyDescent="0.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ht="15.75" customHeight="1" x14ac:dyDescent="0.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ht="15.75" customHeight="1" x14ac:dyDescent="0.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ht="15.75" customHeight="1" x14ac:dyDescent="0.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ht="15.75" customHeight="1" x14ac:dyDescent="0.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ht="15.75" customHeight="1" x14ac:dyDescent="0.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ht="15.75" customHeight="1" x14ac:dyDescent="0.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ht="15.75" customHeight="1" x14ac:dyDescent="0.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ht="15.75" customHeight="1" x14ac:dyDescent="0.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ht="15.75" customHeight="1" x14ac:dyDescent="0.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ht="15.75" customHeight="1" x14ac:dyDescent="0.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ht="15.75" customHeight="1" x14ac:dyDescent="0.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ht="15.75" customHeight="1" x14ac:dyDescent="0.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ht="15.75" customHeight="1" x14ac:dyDescent="0.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ht="15.75" customHeight="1" x14ac:dyDescent="0.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ht="15.75" customHeight="1" x14ac:dyDescent="0.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ht="15.75" customHeight="1" x14ac:dyDescent="0.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ht="15.75" customHeight="1" x14ac:dyDescent="0.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ht="15.75" customHeight="1" x14ac:dyDescent="0.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ht="15.75" customHeight="1" x14ac:dyDescent="0.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ht="15.75" customHeight="1" x14ac:dyDescent="0.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ht="15.75" customHeight="1" x14ac:dyDescent="0.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ht="15.75" customHeight="1" x14ac:dyDescent="0.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ht="15.75" customHeight="1" x14ac:dyDescent="0.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ht="15.75" customHeight="1" x14ac:dyDescent="0.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ht="15.75" customHeight="1" x14ac:dyDescent="0.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ht="15.75" customHeight="1" x14ac:dyDescent="0.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ht="15.75" customHeight="1" x14ac:dyDescent="0.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ht="15.75" customHeight="1" x14ac:dyDescent="0.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ht="15.75" customHeight="1" x14ac:dyDescent="0.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ht="15.75" customHeight="1" x14ac:dyDescent="0.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ht="15.75" customHeight="1" x14ac:dyDescent="0.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ht="15.75" customHeight="1" x14ac:dyDescent="0.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ht="15.75" customHeight="1" x14ac:dyDescent="0.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ht="15.75" customHeight="1" x14ac:dyDescent="0.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ht="15.75" customHeight="1" x14ac:dyDescent="0.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ht="15.75" customHeight="1" x14ac:dyDescent="0.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ht="15.75" customHeight="1" x14ac:dyDescent="0.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ht="15.75" customHeight="1" x14ac:dyDescent="0.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ht="15.75" customHeight="1" x14ac:dyDescent="0.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ht="15.75" customHeight="1" x14ac:dyDescent="0.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ht="15.75" customHeight="1" x14ac:dyDescent="0.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ht="15.75" customHeight="1" x14ac:dyDescent="0.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ht="15.75" customHeight="1" x14ac:dyDescent="0.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ht="15.75" customHeight="1" x14ac:dyDescent="0.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ht="15.75" customHeight="1" x14ac:dyDescent="0.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ht="15.75" customHeight="1" x14ac:dyDescent="0.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ht="15.75" customHeight="1" x14ac:dyDescent="0.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ht="15.75" customHeight="1" x14ac:dyDescent="0.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ht="15.75" customHeight="1" x14ac:dyDescent="0.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ht="15.75" customHeight="1" x14ac:dyDescent="0.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ht="15.75" customHeight="1" x14ac:dyDescent="0.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ht="15.75" customHeight="1" x14ac:dyDescent="0.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ht="15.75" customHeight="1" x14ac:dyDescent="0.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ht="15.75" customHeight="1" x14ac:dyDescent="0.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ht="15.75" customHeight="1" x14ac:dyDescent="0.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ht="15.75" customHeight="1" x14ac:dyDescent="0.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ht="15.75" customHeight="1" x14ac:dyDescent="0.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ht="15.75" customHeight="1" x14ac:dyDescent="0.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ht="15.75" customHeight="1" x14ac:dyDescent="0.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ht="15.75" customHeight="1" x14ac:dyDescent="0.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ht="15.75" customHeight="1" x14ac:dyDescent="0.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ht="15.75" customHeight="1" x14ac:dyDescent="0.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ht="15.75" customHeight="1" x14ac:dyDescent="0.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ht="15.75" customHeight="1" x14ac:dyDescent="0.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ht="15.75" customHeight="1" x14ac:dyDescent="0.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ht="15.75" customHeight="1" x14ac:dyDescent="0.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ht="15.75" customHeight="1" x14ac:dyDescent="0.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ht="15.75" customHeight="1" x14ac:dyDescent="0.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ht="15.75" customHeight="1" x14ac:dyDescent="0.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ht="15.75" customHeight="1" x14ac:dyDescent="0.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ht="15.75" customHeight="1" x14ac:dyDescent="0.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ht="15.75" customHeight="1" x14ac:dyDescent="0.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ht="15.75" customHeight="1" x14ac:dyDescent="0.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ht="15.75" customHeight="1" x14ac:dyDescent="0.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ht="15.75" customHeight="1" x14ac:dyDescent="0.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ht="15.75" customHeight="1" x14ac:dyDescent="0.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ht="15.75" customHeight="1" x14ac:dyDescent="0.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ht="15.75" customHeight="1" x14ac:dyDescent="0.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ht="15.75" customHeight="1" x14ac:dyDescent="0.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ht="15.75" customHeight="1" x14ac:dyDescent="0.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ht="15.75" customHeight="1" x14ac:dyDescent="0.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ht="15.75" customHeight="1" x14ac:dyDescent="0.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ht="15.75" customHeight="1" x14ac:dyDescent="0.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ht="15.75" customHeight="1" x14ac:dyDescent="0.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ht="15.75" customHeight="1" x14ac:dyDescent="0.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ht="15.75" customHeight="1" x14ac:dyDescent="0.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ht="15.75" customHeight="1" x14ac:dyDescent="0.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ht="15.75" customHeight="1" x14ac:dyDescent="0.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ht="15.75" customHeight="1" x14ac:dyDescent="0.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ht="15.75" customHeight="1" x14ac:dyDescent="0.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ht="15.75" customHeight="1" x14ac:dyDescent="0.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ht="15.75" customHeight="1" x14ac:dyDescent="0.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ht="15.75" customHeight="1" x14ac:dyDescent="0.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ht="15.75" customHeight="1" x14ac:dyDescent="0.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ht="15.75" customHeight="1" x14ac:dyDescent="0.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ht="15.75" customHeight="1" x14ac:dyDescent="0.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ht="15.75" customHeight="1" x14ac:dyDescent="0.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ht="15.75" customHeight="1" x14ac:dyDescent="0.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ht="15.75" customHeight="1" x14ac:dyDescent="0.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ht="15.75" customHeight="1" x14ac:dyDescent="0.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ht="15.75" customHeight="1" x14ac:dyDescent="0.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ht="15.75" customHeight="1" x14ac:dyDescent="0.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ht="15.75" customHeight="1" x14ac:dyDescent="0.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ht="15.75" customHeight="1" x14ac:dyDescent="0.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ht="15.75" customHeight="1" x14ac:dyDescent="0.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ht="15.75" customHeight="1" x14ac:dyDescent="0.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ht="15.75" customHeight="1" x14ac:dyDescent="0.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ht="15.75" customHeight="1" x14ac:dyDescent="0.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ht="15.75" customHeight="1" x14ac:dyDescent="0.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ht="15.75" customHeight="1" x14ac:dyDescent="0.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ht="15.75" customHeight="1" x14ac:dyDescent="0.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ht="15.75" customHeight="1" x14ac:dyDescent="0.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ht="15.75" customHeight="1" x14ac:dyDescent="0.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ht="15.75" customHeight="1" x14ac:dyDescent="0.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ht="15.75" customHeight="1" x14ac:dyDescent="0.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ht="15.75" customHeight="1" x14ac:dyDescent="0.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ht="15.75" customHeight="1" x14ac:dyDescent="0.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ht="15.75" customHeight="1" x14ac:dyDescent="0.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ht="15.75" customHeight="1" x14ac:dyDescent="0.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ht="15.75" customHeight="1" x14ac:dyDescent="0.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ht="15.75" customHeight="1" x14ac:dyDescent="0.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ht="15.75" customHeight="1" x14ac:dyDescent="0.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ht="15.75" customHeight="1" x14ac:dyDescent="0.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ht="15.75" customHeight="1" x14ac:dyDescent="0.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ht="15.75" customHeight="1" x14ac:dyDescent="0.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ht="15.75" customHeight="1" x14ac:dyDescent="0.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ht="15.75" customHeight="1" x14ac:dyDescent="0.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ht="15.75" customHeight="1" x14ac:dyDescent="0.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ht="15.75" customHeight="1" x14ac:dyDescent="0.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ht="15.75" customHeight="1" x14ac:dyDescent="0.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ht="15.75" customHeight="1" x14ac:dyDescent="0.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ht="15.75" customHeight="1" x14ac:dyDescent="0.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ht="15.75" customHeight="1" x14ac:dyDescent="0.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ht="15.75" customHeight="1" x14ac:dyDescent="0.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ht="15.75" customHeight="1" x14ac:dyDescent="0.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ht="15.75" customHeight="1" x14ac:dyDescent="0.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ht="15.75" customHeight="1" x14ac:dyDescent="0.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ht="15.75" customHeight="1" x14ac:dyDescent="0.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ht="15.75" customHeight="1" x14ac:dyDescent="0.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ht="15.75" customHeight="1" x14ac:dyDescent="0.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ht="15.75" customHeight="1" x14ac:dyDescent="0.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ht="15.75" customHeight="1" x14ac:dyDescent="0.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ht="15.75" customHeight="1" x14ac:dyDescent="0.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ht="15.75" customHeight="1" x14ac:dyDescent="0.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ht="15.75" customHeight="1" x14ac:dyDescent="0.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ht="15.75" customHeight="1" x14ac:dyDescent="0.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ht="15.75" customHeight="1" x14ac:dyDescent="0.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ht="15.75" customHeight="1" x14ac:dyDescent="0.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ht="15.75" customHeight="1" x14ac:dyDescent="0.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ht="15.75" customHeight="1" x14ac:dyDescent="0.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ht="15.75" customHeight="1" x14ac:dyDescent="0.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ht="15.75" customHeight="1" x14ac:dyDescent="0.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ht="15.75" customHeight="1" x14ac:dyDescent="0.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ht="15.75" customHeight="1" x14ac:dyDescent="0.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ht="15.75" customHeight="1" x14ac:dyDescent="0.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ht="15.75" customHeight="1" x14ac:dyDescent="0.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ht="15.75" customHeight="1" x14ac:dyDescent="0.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ht="15.75" customHeight="1" x14ac:dyDescent="0.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ht="15.75" customHeight="1" x14ac:dyDescent="0.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ht="15.75" customHeight="1" x14ac:dyDescent="0.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ht="15.75" customHeight="1" x14ac:dyDescent="0.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ht="15.75" customHeight="1" x14ac:dyDescent="0.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ht="15.75" customHeight="1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ht="15.75" customHeight="1" x14ac:dyDescent="0.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ht="15.75" customHeight="1" x14ac:dyDescent="0.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ht="15.75" customHeight="1" x14ac:dyDescent="0.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ht="15.75" customHeight="1" x14ac:dyDescent="0.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ht="15.75" customHeight="1" x14ac:dyDescent="0.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ht="15.75" customHeight="1" x14ac:dyDescent="0.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ht="15.75" customHeight="1" x14ac:dyDescent="0.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ht="15.75" customHeight="1" x14ac:dyDescent="0.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ht="15.75" customHeight="1" x14ac:dyDescent="0.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ht="15.75" customHeight="1" x14ac:dyDescent="0.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ht="15.75" customHeight="1" x14ac:dyDescent="0.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ht="15.75" customHeight="1" x14ac:dyDescent="0.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ht="15.75" customHeight="1" x14ac:dyDescent="0.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ht="15.75" customHeight="1" x14ac:dyDescent="0.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ht="15.75" customHeight="1" x14ac:dyDescent="0.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ht="15.75" customHeight="1" x14ac:dyDescent="0.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ht="15.75" customHeight="1" x14ac:dyDescent="0.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ht="15.75" customHeight="1" x14ac:dyDescent="0.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ht="15.75" customHeight="1" x14ac:dyDescent="0.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ht="15.75" customHeight="1" x14ac:dyDescent="0.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ht="15.75" customHeight="1" x14ac:dyDescent="0.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ht="15.75" customHeight="1" x14ac:dyDescent="0.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ht="15.75" customHeight="1" x14ac:dyDescent="0.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ht="15.75" customHeight="1" x14ac:dyDescent="0.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ht="15.75" customHeight="1" x14ac:dyDescent="0.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ht="15.75" customHeight="1" x14ac:dyDescent="0.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ht="15.75" customHeight="1" x14ac:dyDescent="0.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ht="15.75" customHeight="1" x14ac:dyDescent="0.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ht="15.75" customHeight="1" x14ac:dyDescent="0.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ht="15.75" customHeight="1" x14ac:dyDescent="0.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ht="15.75" customHeight="1" x14ac:dyDescent="0.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ht="15.75" customHeight="1" x14ac:dyDescent="0.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ht="15.75" customHeight="1" x14ac:dyDescent="0.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ht="15.75" customHeight="1" x14ac:dyDescent="0.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ht="15.75" customHeight="1" x14ac:dyDescent="0.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ht="15.75" customHeight="1" x14ac:dyDescent="0.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ht="15.75" customHeight="1" x14ac:dyDescent="0.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ht="15.75" customHeight="1" x14ac:dyDescent="0.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ht="15.75" customHeight="1" x14ac:dyDescent="0.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  <row r="972" spans="1:27" ht="15.75" customHeight="1" x14ac:dyDescent="0.3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</row>
    <row r="973" spans="1:27" ht="15.75" customHeight="1" x14ac:dyDescent="0.3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</row>
    <row r="974" spans="1:27" ht="15.75" customHeight="1" x14ac:dyDescent="0.3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</row>
    <row r="975" spans="1:27" ht="15.75" customHeight="1" x14ac:dyDescent="0.3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</row>
    <row r="976" spans="1:27" ht="15.75" customHeight="1" x14ac:dyDescent="0.3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</row>
    <row r="977" spans="1:27" ht="15.75" customHeight="1" x14ac:dyDescent="0.3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</row>
    <row r="978" spans="1:27" ht="15.75" customHeight="1" x14ac:dyDescent="0.3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</row>
    <row r="979" spans="1:27" ht="15.75" customHeight="1" x14ac:dyDescent="0.3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</row>
    <row r="980" spans="1:27" ht="15.75" customHeight="1" x14ac:dyDescent="0.3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</row>
    <row r="981" spans="1:27" ht="15.75" customHeight="1" x14ac:dyDescent="0.3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</row>
    <row r="982" spans="1:27" ht="15.75" customHeight="1" x14ac:dyDescent="0.3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</row>
    <row r="983" spans="1:27" ht="15.75" customHeight="1" x14ac:dyDescent="0.3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</row>
    <row r="984" spans="1:27" ht="15.75" customHeight="1" x14ac:dyDescent="0.3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</row>
    <row r="985" spans="1:27" ht="15.75" customHeight="1" x14ac:dyDescent="0.3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</row>
    <row r="986" spans="1:27" ht="15.75" customHeight="1" x14ac:dyDescent="0.3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</row>
    <row r="987" spans="1:27" ht="15.75" customHeight="1" x14ac:dyDescent="0.3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</row>
    <row r="988" spans="1:27" ht="15.75" customHeight="1" x14ac:dyDescent="0.3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</row>
    <row r="989" spans="1:27" ht="15.75" customHeight="1" x14ac:dyDescent="0.3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</row>
    <row r="990" spans="1:27" ht="15.75" customHeight="1" x14ac:dyDescent="0.3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</row>
    <row r="991" spans="1:27" ht="15.75" customHeight="1" x14ac:dyDescent="0.3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</row>
    <row r="992" spans="1:27" ht="15.75" customHeight="1" x14ac:dyDescent="0.3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</row>
    <row r="993" spans="1:27" ht="15.75" customHeight="1" x14ac:dyDescent="0.3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</row>
    <row r="994" spans="1:27" ht="15.75" customHeight="1" x14ac:dyDescent="0.3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</row>
    <row r="995" spans="1:27" ht="15.75" customHeight="1" x14ac:dyDescent="0.3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</row>
    <row r="996" spans="1:27" ht="15.75" customHeight="1" x14ac:dyDescent="0.3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</row>
    <row r="997" spans="1:27" ht="15.75" customHeight="1" x14ac:dyDescent="0.3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</row>
    <row r="998" spans="1:27" ht="15.75" customHeight="1" x14ac:dyDescent="0.3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</row>
  </sheetData>
  <mergeCells count="1">
    <mergeCell ref="E7:I7"/>
  </mergeCells>
  <conditionalFormatting sqref="F14">
    <cfRule type="cellIs" dxfId="78" priority="1" operator="greaterThan">
      <formula>100</formula>
    </cfRule>
  </conditionalFormatting>
  <conditionalFormatting sqref="I14">
    <cfRule type="cellIs" dxfId="77" priority="2" operator="greaterThan">
      <formula>100</formula>
    </cfRule>
  </conditionalFormatting>
  <conditionalFormatting sqref="I22">
    <cfRule type="cellIs" dxfId="76" priority="3" operator="greaterThan">
      <formula>100</formula>
    </cfRule>
  </conditionalFormatting>
  <conditionalFormatting sqref="F22">
    <cfRule type="cellIs" dxfId="75" priority="4" operator="greaterThan">
      <formula>100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BX1000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Q7" sqref="AQ7"/>
    </sheetView>
  </sheetViews>
  <sheetFormatPr defaultColWidth="14.44140625" defaultRowHeight="15" customHeight="1" x14ac:dyDescent="0.3"/>
  <cols>
    <col min="1" max="1" width="3.44140625" customWidth="1"/>
    <col min="2" max="2" width="3.109375" customWidth="1"/>
    <col min="3" max="3" width="33.44140625" customWidth="1"/>
    <col min="4" max="4" width="0.77734375" customWidth="1"/>
    <col min="5" max="19" width="3.6640625" customWidth="1"/>
    <col min="20" max="20" width="0.44140625" customWidth="1"/>
    <col min="21" max="21" width="3.6640625" customWidth="1"/>
    <col min="22" max="22" width="0.44140625" customWidth="1"/>
    <col min="23" max="37" width="3.6640625" customWidth="1"/>
    <col min="38" max="38" width="0.44140625" customWidth="1"/>
    <col min="39" max="39" width="3.6640625" customWidth="1"/>
    <col min="40" max="40" width="0.44140625" customWidth="1"/>
    <col min="41" max="55" width="3.6640625" customWidth="1"/>
    <col min="56" max="56" width="0.44140625" customWidth="1"/>
    <col min="57" max="57" width="3.6640625" customWidth="1"/>
    <col min="58" max="58" width="0.44140625" customWidth="1"/>
    <col min="59" max="73" width="3.6640625" customWidth="1"/>
    <col min="74" max="74" width="0.44140625" customWidth="1"/>
    <col min="75" max="75" width="3.6640625" customWidth="1"/>
    <col min="76" max="76" width="0.5546875" customWidth="1"/>
  </cols>
  <sheetData>
    <row r="1" spans="1:76" ht="12" customHeight="1" x14ac:dyDescent="0.3">
      <c r="A1" s="4"/>
      <c r="B1" s="4"/>
      <c r="C1" s="5"/>
      <c r="D1" s="5"/>
      <c r="E1" s="5"/>
      <c r="F1" s="6" t="s">
        <v>21</v>
      </c>
      <c r="G1" s="7" t="str">
        <f>IF(Settings!$H$1&lt;&gt;0,Settings!$H$1,"")</f>
        <v/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5"/>
      <c r="U1" s="5"/>
      <c r="V1" s="5"/>
      <c r="W1" s="8"/>
      <c r="X1" s="242" t="s">
        <v>22</v>
      </c>
      <c r="Y1" s="241"/>
      <c r="Z1" s="9">
        <f>COUNTIF(B6:B66,"M")</f>
        <v>0</v>
      </c>
      <c r="AA1" s="8"/>
      <c r="AB1" s="8"/>
      <c r="AC1" s="243" t="s">
        <v>23</v>
      </c>
      <c r="AD1" s="241"/>
      <c r="AE1" s="244" t="str">
        <f>IF(Settings!$B$7&lt;&gt;0,Settings!$B$7,"")</f>
        <v/>
      </c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</row>
    <row r="2" spans="1:76" ht="12" customHeight="1" x14ac:dyDescent="0.3">
      <c r="A2" s="4"/>
      <c r="B2" s="4"/>
      <c r="C2" s="5"/>
      <c r="D2" s="5"/>
      <c r="E2" s="5"/>
      <c r="F2" s="6" t="s">
        <v>5</v>
      </c>
      <c r="G2" s="11" t="str">
        <f>IF(Settings!$H$3&lt;&gt;0,Settings!$H$3,"")</f>
        <v/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5"/>
      <c r="U2" s="5"/>
      <c r="V2" s="5"/>
      <c r="W2" s="8"/>
      <c r="X2" s="242" t="s">
        <v>24</v>
      </c>
      <c r="Y2" s="241"/>
      <c r="Z2" s="9">
        <f>COUNTIF(B7:B66,"F")</f>
        <v>0</v>
      </c>
      <c r="AA2" s="8"/>
      <c r="AB2" s="8"/>
      <c r="AC2" s="243" t="s">
        <v>4</v>
      </c>
      <c r="AD2" s="241"/>
      <c r="AE2" s="233" t="str">
        <f>IF(Settings!$H$2&lt;&gt;0,Settings!$H$2,"")</f>
        <v/>
      </c>
      <c r="AF2" s="234"/>
      <c r="AG2" s="234"/>
      <c r="AH2" s="234"/>
      <c r="AI2" s="234"/>
      <c r="AJ2" s="234"/>
      <c r="AK2" s="234"/>
      <c r="AL2" s="234"/>
      <c r="AM2" s="234"/>
      <c r="AN2" s="12"/>
      <c r="AO2" s="12"/>
      <c r="AP2" s="12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</row>
    <row r="3" spans="1:76" ht="12" customHeight="1" x14ac:dyDescent="0.3">
      <c r="A3" s="4"/>
      <c r="B3" s="4"/>
      <c r="C3" s="5"/>
      <c r="D3" s="5"/>
      <c r="E3" s="5"/>
      <c r="F3" s="6" t="s">
        <v>25</v>
      </c>
      <c r="G3" s="13" t="str">
        <f>IF(Settings!$B$6&lt;&gt;0,Settings!$B$6,"")</f>
        <v/>
      </c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5"/>
      <c r="U3" s="5"/>
      <c r="V3" s="5"/>
      <c r="W3" s="5"/>
      <c r="X3" s="5"/>
      <c r="Y3" s="5"/>
      <c r="Z3" s="5"/>
      <c r="AA3" s="5"/>
      <c r="AB3" s="5"/>
      <c r="AC3" s="240" t="s">
        <v>26</v>
      </c>
      <c r="AD3" s="241"/>
      <c r="AE3" s="233" t="str">
        <f>IF(Settings!$B$4&lt;&gt;0,Settings!$B$4,"")</f>
        <v/>
      </c>
      <c r="AF3" s="234"/>
      <c r="AG3" s="234"/>
      <c r="AH3" s="234"/>
      <c r="AI3" s="234"/>
      <c r="AJ3" s="234"/>
      <c r="AK3" s="234"/>
      <c r="AL3" s="234"/>
      <c r="AM3" s="234"/>
      <c r="AN3" s="15"/>
      <c r="AO3" s="16"/>
      <c r="AP3" s="16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</row>
    <row r="4" spans="1:76" ht="14.25" customHeight="1" x14ac:dyDescent="0.3">
      <c r="A4" s="235" t="s">
        <v>27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6"/>
      <c r="AK4" s="236"/>
      <c r="AL4" s="236"/>
      <c r="AM4" s="236"/>
      <c r="AN4" s="236"/>
      <c r="AO4" s="236"/>
      <c r="AP4" s="236"/>
      <c r="AQ4" s="236"/>
      <c r="AR4" s="236"/>
      <c r="AS4" s="236"/>
      <c r="AT4" s="236"/>
      <c r="AU4" s="236"/>
      <c r="AV4" s="236"/>
      <c r="AW4" s="236"/>
      <c r="AX4" s="236"/>
      <c r="AY4" s="236"/>
      <c r="AZ4" s="236"/>
      <c r="BA4" s="236"/>
      <c r="BB4" s="236"/>
      <c r="BC4" s="236"/>
      <c r="BD4" s="236"/>
      <c r="BE4" s="236"/>
      <c r="BF4" s="236"/>
      <c r="BG4" s="236"/>
      <c r="BH4" s="236"/>
      <c r="BI4" s="236"/>
      <c r="BJ4" s="236"/>
      <c r="BK4" s="236"/>
      <c r="BL4" s="236"/>
      <c r="BM4" s="236"/>
      <c r="BN4" s="236"/>
      <c r="BO4" s="236"/>
      <c r="BP4" s="236"/>
      <c r="BQ4" s="236"/>
      <c r="BR4" s="236"/>
      <c r="BS4" s="236"/>
      <c r="BT4" s="236"/>
      <c r="BU4" s="236"/>
      <c r="BV4" s="236"/>
      <c r="BW4" s="236"/>
      <c r="BX4" s="230"/>
    </row>
    <row r="5" spans="1:76" ht="21.75" customHeight="1" x14ac:dyDescent="0.3">
      <c r="A5" s="173"/>
      <c r="B5" s="173"/>
      <c r="C5" s="173"/>
      <c r="D5" s="17"/>
      <c r="E5" s="237" t="s">
        <v>28</v>
      </c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9"/>
      <c r="V5" s="17"/>
      <c r="W5" s="237" t="s">
        <v>29</v>
      </c>
      <c r="X5" s="238"/>
      <c r="Y5" s="238"/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8"/>
      <c r="AK5" s="238"/>
      <c r="AL5" s="238"/>
      <c r="AM5" s="239"/>
      <c r="AN5" s="17"/>
      <c r="AO5" s="237" t="s">
        <v>30</v>
      </c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9"/>
      <c r="BF5" s="17"/>
      <c r="BG5" s="237" t="s">
        <v>31</v>
      </c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9"/>
      <c r="BX5" s="17"/>
    </row>
    <row r="6" spans="1:76" ht="45.75" customHeight="1" x14ac:dyDescent="0.3">
      <c r="A6" s="177" t="s">
        <v>32</v>
      </c>
      <c r="B6" s="178" t="s">
        <v>33</v>
      </c>
      <c r="C6" s="179" t="s">
        <v>34</v>
      </c>
      <c r="D6" s="180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0"/>
      <c r="U6" s="182">
        <f xml:space="preserve"> COUNTIF(E6:S6, "&lt;&gt;")</f>
        <v>0</v>
      </c>
      <c r="V6" s="180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0"/>
      <c r="AM6" s="182">
        <f>COUNTIF(W6:AK6, "&lt;&gt;")</f>
        <v>0</v>
      </c>
      <c r="AN6" s="180"/>
      <c r="AO6" s="181"/>
      <c r="AP6" s="181"/>
      <c r="AQ6" s="181"/>
      <c r="AR6" s="181"/>
      <c r="AS6" s="181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0"/>
      <c r="BE6" s="182">
        <f>COUNTIF(AO6:BC6, "&lt;&gt;")</f>
        <v>0</v>
      </c>
      <c r="BF6" s="180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81"/>
      <c r="BR6" s="181"/>
      <c r="BS6" s="181"/>
      <c r="BT6" s="181"/>
      <c r="BU6" s="181"/>
      <c r="BV6" s="180"/>
      <c r="BW6" s="182">
        <f>COUNTIF(BG6:BU6, "&lt;&gt;")</f>
        <v>0</v>
      </c>
      <c r="BX6" s="20"/>
    </row>
    <row r="7" spans="1:76" ht="11.55" customHeight="1" x14ac:dyDescent="0.3">
      <c r="A7" s="134"/>
      <c r="B7" s="137"/>
      <c r="C7" s="127"/>
      <c r="D7" s="19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59"/>
      <c r="U7" s="176">
        <f t="shared" ref="U7:U66" si="0">SUM(E7:S7)</f>
        <v>0</v>
      </c>
      <c r="V7" s="16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59"/>
      <c r="AM7" s="176">
        <f t="shared" ref="AM7:AM66" si="1">SUM(W7:AK7)</f>
        <v>0</v>
      </c>
      <c r="AN7" s="16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59"/>
      <c r="BE7" s="176">
        <f t="shared" ref="BE7:BE66" si="2">SUM(AO7:BC7)</f>
        <v>0</v>
      </c>
      <c r="BF7" s="16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0"/>
      <c r="BW7" s="123">
        <f t="shared" ref="BW7:BW66" si="3">SUM(BG7:BU7)</f>
        <v>0</v>
      </c>
      <c r="BX7" s="24"/>
    </row>
    <row r="8" spans="1:76" ht="11.55" customHeight="1" x14ac:dyDescent="0.3">
      <c r="A8" s="118"/>
      <c r="B8" s="142"/>
      <c r="C8" s="119"/>
      <c r="D8" s="18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25"/>
      <c r="U8" s="23">
        <f t="shared" si="0"/>
        <v>0</v>
      </c>
      <c r="V8" s="166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25"/>
      <c r="AM8" s="23">
        <f t="shared" si="1"/>
        <v>0</v>
      </c>
      <c r="AN8" s="166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25"/>
      <c r="BE8" s="23">
        <f t="shared" si="2"/>
        <v>0</v>
      </c>
      <c r="BF8" s="166"/>
      <c r="BG8" s="163"/>
      <c r="BH8" s="163"/>
      <c r="BI8" s="163"/>
      <c r="BJ8" s="163"/>
      <c r="BK8" s="163"/>
      <c r="BL8" s="163"/>
      <c r="BM8" s="163"/>
      <c r="BN8" s="163"/>
      <c r="BO8" s="163"/>
      <c r="BP8" s="163"/>
      <c r="BQ8" s="163"/>
      <c r="BR8" s="163"/>
      <c r="BS8" s="163"/>
      <c r="BT8" s="163"/>
      <c r="BU8" s="163"/>
      <c r="BV8" s="171"/>
      <c r="BW8" s="21">
        <f t="shared" si="3"/>
        <v>0</v>
      </c>
      <c r="BX8" s="26"/>
    </row>
    <row r="9" spans="1:76" ht="11.55" customHeight="1" x14ac:dyDescent="0.3">
      <c r="A9" s="118"/>
      <c r="B9" s="142"/>
      <c r="C9" s="126"/>
      <c r="D9" s="18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25"/>
      <c r="U9" s="23">
        <f t="shared" si="0"/>
        <v>0</v>
      </c>
      <c r="V9" s="166"/>
      <c r="W9" s="163"/>
      <c r="X9" s="163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25"/>
      <c r="AM9" s="23">
        <f t="shared" si="1"/>
        <v>0</v>
      </c>
      <c r="AN9" s="166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25"/>
      <c r="BE9" s="23">
        <f t="shared" si="2"/>
        <v>0</v>
      </c>
      <c r="BF9" s="166"/>
      <c r="BG9" s="163"/>
      <c r="BH9" s="163"/>
      <c r="BI9" s="163"/>
      <c r="BJ9" s="163"/>
      <c r="BK9" s="163"/>
      <c r="BL9" s="163"/>
      <c r="BM9" s="163"/>
      <c r="BN9" s="163"/>
      <c r="BO9" s="163"/>
      <c r="BP9" s="163"/>
      <c r="BQ9" s="163"/>
      <c r="BR9" s="163"/>
      <c r="BS9" s="163"/>
      <c r="BT9" s="163"/>
      <c r="BU9" s="163"/>
      <c r="BV9" s="171"/>
      <c r="BW9" s="21">
        <f t="shared" si="3"/>
        <v>0</v>
      </c>
      <c r="BX9" s="26"/>
    </row>
    <row r="10" spans="1:76" ht="11.55" customHeight="1" x14ac:dyDescent="0.3">
      <c r="A10" s="118"/>
      <c r="B10" s="142"/>
      <c r="C10" s="128"/>
      <c r="D10" s="18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25"/>
      <c r="U10" s="23">
        <f t="shared" si="0"/>
        <v>0</v>
      </c>
      <c r="V10" s="166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25"/>
      <c r="AM10" s="23">
        <f t="shared" si="1"/>
        <v>0</v>
      </c>
      <c r="AN10" s="166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25"/>
      <c r="BE10" s="23">
        <f t="shared" si="2"/>
        <v>0</v>
      </c>
      <c r="BF10" s="166"/>
      <c r="BG10" s="163"/>
      <c r="BH10" s="163"/>
      <c r="BI10" s="163"/>
      <c r="BJ10" s="163"/>
      <c r="BK10" s="163"/>
      <c r="BL10" s="163"/>
      <c r="BM10" s="163"/>
      <c r="BN10" s="163"/>
      <c r="BO10" s="163"/>
      <c r="BP10" s="163"/>
      <c r="BQ10" s="163"/>
      <c r="BR10" s="163"/>
      <c r="BS10" s="163"/>
      <c r="BT10" s="163"/>
      <c r="BU10" s="163"/>
      <c r="BV10" s="171"/>
      <c r="BW10" s="21">
        <f t="shared" si="3"/>
        <v>0</v>
      </c>
      <c r="BX10" s="26"/>
    </row>
    <row r="11" spans="1:76" ht="11.55" customHeight="1" x14ac:dyDescent="0.3">
      <c r="A11" s="121"/>
      <c r="B11" s="142"/>
      <c r="C11" s="120"/>
      <c r="D11" s="18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0"/>
      <c r="U11" s="23">
        <f t="shared" si="0"/>
        <v>0</v>
      </c>
      <c r="V11" s="167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0"/>
      <c r="AM11" s="23">
        <f t="shared" si="1"/>
        <v>0</v>
      </c>
      <c r="AN11" s="167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0"/>
      <c r="BE11" s="23">
        <f t="shared" si="2"/>
        <v>0</v>
      </c>
      <c r="BF11" s="167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2"/>
      <c r="BW11" s="21">
        <f t="shared" si="3"/>
        <v>0</v>
      </c>
      <c r="BX11" s="27"/>
    </row>
    <row r="12" spans="1:76" ht="11.55" customHeight="1" x14ac:dyDescent="0.3">
      <c r="A12" s="134"/>
      <c r="B12" s="142"/>
      <c r="C12" s="129"/>
      <c r="D12" s="18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1"/>
      <c r="U12" s="23">
        <f t="shared" si="0"/>
        <v>0</v>
      </c>
      <c r="V12" s="168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1"/>
      <c r="AM12" s="23">
        <f t="shared" si="1"/>
        <v>0</v>
      </c>
      <c r="AN12" s="168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1"/>
      <c r="BE12" s="23">
        <f t="shared" si="2"/>
        <v>0</v>
      </c>
      <c r="BF12" s="168"/>
      <c r="BG12" s="163"/>
      <c r="BH12" s="163"/>
      <c r="BI12" s="163"/>
      <c r="BJ12" s="163"/>
      <c r="BK12" s="163"/>
      <c r="BL12" s="163"/>
      <c r="BM12" s="163"/>
      <c r="BN12" s="163"/>
      <c r="BO12" s="163"/>
      <c r="BP12" s="163"/>
      <c r="BQ12" s="163"/>
      <c r="BR12" s="163"/>
      <c r="BS12" s="163"/>
      <c r="BT12" s="163"/>
      <c r="BU12" s="163"/>
      <c r="BV12" s="172"/>
      <c r="BW12" s="21">
        <f t="shared" si="3"/>
        <v>0</v>
      </c>
      <c r="BX12" s="28"/>
    </row>
    <row r="13" spans="1:76" ht="11.55" customHeight="1" x14ac:dyDescent="0.3">
      <c r="A13" s="118"/>
      <c r="B13" s="142"/>
      <c r="C13" s="128"/>
      <c r="D13" s="18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25"/>
      <c r="U13" s="23">
        <f t="shared" si="0"/>
        <v>0</v>
      </c>
      <c r="V13" s="166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25"/>
      <c r="AM13" s="23">
        <f t="shared" si="1"/>
        <v>0</v>
      </c>
      <c r="AN13" s="166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25"/>
      <c r="BE13" s="23">
        <f t="shared" si="2"/>
        <v>0</v>
      </c>
      <c r="BF13" s="166"/>
      <c r="BG13" s="163"/>
      <c r="BH13" s="163"/>
      <c r="BI13" s="163"/>
      <c r="BJ13" s="163"/>
      <c r="BK13" s="163"/>
      <c r="BL13" s="163"/>
      <c r="BM13" s="163"/>
      <c r="BN13" s="163"/>
      <c r="BO13" s="163"/>
      <c r="BP13" s="163"/>
      <c r="BQ13" s="163"/>
      <c r="BR13" s="163"/>
      <c r="BS13" s="163"/>
      <c r="BT13" s="163"/>
      <c r="BU13" s="163"/>
      <c r="BV13" s="171"/>
      <c r="BW13" s="21">
        <f t="shared" si="3"/>
        <v>0</v>
      </c>
      <c r="BX13" s="26"/>
    </row>
    <row r="14" spans="1:76" ht="11.55" customHeight="1" x14ac:dyDescent="0.3">
      <c r="A14" s="118"/>
      <c r="B14" s="142"/>
      <c r="C14" s="128"/>
      <c r="D14" s="156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25"/>
      <c r="U14" s="23">
        <f t="shared" si="0"/>
        <v>0</v>
      </c>
      <c r="V14" s="166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25"/>
      <c r="AM14" s="23">
        <f t="shared" si="1"/>
        <v>0</v>
      </c>
      <c r="AN14" s="166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25"/>
      <c r="BE14" s="23">
        <f t="shared" si="2"/>
        <v>0</v>
      </c>
      <c r="BF14" s="166"/>
      <c r="BG14" s="163"/>
      <c r="BH14" s="163"/>
      <c r="BI14" s="163"/>
      <c r="BJ14" s="163"/>
      <c r="BK14" s="163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71"/>
      <c r="BW14" s="21">
        <f t="shared" si="3"/>
        <v>0</v>
      </c>
      <c r="BX14" s="26"/>
    </row>
    <row r="15" spans="1:76" ht="11.55" customHeight="1" x14ac:dyDescent="0.3">
      <c r="A15" s="118"/>
      <c r="B15" s="142"/>
      <c r="C15" s="119"/>
      <c r="D15" s="18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25"/>
      <c r="U15" s="23">
        <f t="shared" si="0"/>
        <v>0</v>
      </c>
      <c r="V15" s="166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25"/>
      <c r="AM15" s="23">
        <f t="shared" si="1"/>
        <v>0</v>
      </c>
      <c r="AN15" s="166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25"/>
      <c r="BE15" s="23">
        <f t="shared" si="2"/>
        <v>0</v>
      </c>
      <c r="BF15" s="166"/>
      <c r="BG15" s="163"/>
      <c r="BH15" s="163"/>
      <c r="BI15" s="163"/>
      <c r="BJ15" s="163"/>
      <c r="BK15" s="163"/>
      <c r="BL15" s="163"/>
      <c r="BM15" s="163"/>
      <c r="BN15" s="163"/>
      <c r="BO15" s="163"/>
      <c r="BP15" s="163"/>
      <c r="BQ15" s="163"/>
      <c r="BR15" s="163"/>
      <c r="BS15" s="163"/>
      <c r="BT15" s="163"/>
      <c r="BU15" s="163"/>
      <c r="BV15" s="171"/>
      <c r="BW15" s="21">
        <f t="shared" si="3"/>
        <v>0</v>
      </c>
      <c r="BX15" s="26"/>
    </row>
    <row r="16" spans="1:76" ht="11.55" customHeight="1" x14ac:dyDescent="0.3">
      <c r="A16" s="121"/>
      <c r="B16" s="142"/>
      <c r="C16" s="151"/>
      <c r="D16" s="157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0"/>
      <c r="U16" s="23">
        <f t="shared" si="0"/>
        <v>0</v>
      </c>
      <c r="V16" s="167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0"/>
      <c r="AM16" s="23">
        <f t="shared" si="1"/>
        <v>0</v>
      </c>
      <c r="AN16" s="167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0"/>
      <c r="BE16" s="23">
        <f t="shared" si="2"/>
        <v>0</v>
      </c>
      <c r="BF16" s="167"/>
      <c r="BG16" s="163"/>
      <c r="BH16" s="163"/>
      <c r="BI16" s="163"/>
      <c r="BJ16" s="163"/>
      <c r="BK16" s="163"/>
      <c r="BL16" s="163"/>
      <c r="BM16" s="163"/>
      <c r="BN16" s="163"/>
      <c r="BO16" s="163"/>
      <c r="BP16" s="163"/>
      <c r="BQ16" s="163"/>
      <c r="BR16" s="163"/>
      <c r="BS16" s="163"/>
      <c r="BT16" s="163"/>
      <c r="BU16" s="163"/>
      <c r="BV16" s="162"/>
      <c r="BW16" s="21">
        <f t="shared" si="3"/>
        <v>0</v>
      </c>
      <c r="BX16" s="27"/>
    </row>
    <row r="17" spans="1:76" ht="11.55" customHeight="1" x14ac:dyDescent="0.3">
      <c r="A17" s="134"/>
      <c r="B17" s="142"/>
      <c r="C17" s="152"/>
      <c r="D17" s="157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1"/>
      <c r="U17" s="23">
        <f t="shared" si="0"/>
        <v>0</v>
      </c>
      <c r="V17" s="168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1"/>
      <c r="AM17" s="23">
        <f t="shared" si="1"/>
        <v>0</v>
      </c>
      <c r="AN17" s="168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1"/>
      <c r="BE17" s="23">
        <f t="shared" si="2"/>
        <v>0</v>
      </c>
      <c r="BF17" s="168"/>
      <c r="BG17" s="163"/>
      <c r="BH17" s="163"/>
      <c r="BI17" s="163"/>
      <c r="BJ17" s="163"/>
      <c r="BK17" s="163"/>
      <c r="BL17" s="163"/>
      <c r="BM17" s="163"/>
      <c r="BN17" s="163"/>
      <c r="BO17" s="163"/>
      <c r="BP17" s="163"/>
      <c r="BQ17" s="163"/>
      <c r="BR17" s="163"/>
      <c r="BS17" s="163"/>
      <c r="BT17" s="163"/>
      <c r="BU17" s="163"/>
      <c r="BV17" s="172"/>
      <c r="BW17" s="21">
        <f t="shared" si="3"/>
        <v>0</v>
      </c>
      <c r="BX17" s="28"/>
    </row>
    <row r="18" spans="1:76" ht="11.55" customHeight="1" x14ac:dyDescent="0.3">
      <c r="A18" s="118"/>
      <c r="B18" s="142"/>
      <c r="C18" s="128"/>
      <c r="D18" s="18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25"/>
      <c r="U18" s="23">
        <f t="shared" si="0"/>
        <v>0</v>
      </c>
      <c r="V18" s="166"/>
      <c r="W18" s="163"/>
      <c r="X18" s="163"/>
      <c r="Y18" s="163"/>
      <c r="Z18" s="163"/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25"/>
      <c r="AM18" s="23">
        <f t="shared" si="1"/>
        <v>0</v>
      </c>
      <c r="AN18" s="166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25"/>
      <c r="BE18" s="23">
        <f t="shared" si="2"/>
        <v>0</v>
      </c>
      <c r="BF18" s="166"/>
      <c r="BG18" s="163"/>
      <c r="BH18" s="163"/>
      <c r="BI18" s="163"/>
      <c r="BJ18" s="163"/>
      <c r="BK18" s="163"/>
      <c r="BL18" s="163"/>
      <c r="BM18" s="163"/>
      <c r="BN18" s="163"/>
      <c r="BO18" s="163"/>
      <c r="BP18" s="163"/>
      <c r="BQ18" s="163"/>
      <c r="BR18" s="163"/>
      <c r="BS18" s="163"/>
      <c r="BT18" s="163"/>
      <c r="BU18" s="163"/>
      <c r="BV18" s="171"/>
      <c r="BW18" s="21">
        <f t="shared" si="3"/>
        <v>0</v>
      </c>
      <c r="BX18" s="26"/>
    </row>
    <row r="19" spans="1:76" ht="11.55" customHeight="1" x14ac:dyDescent="0.3">
      <c r="A19" s="118"/>
      <c r="B19" s="142"/>
      <c r="C19" s="128"/>
      <c r="D19" s="18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25"/>
      <c r="U19" s="23">
        <f t="shared" si="0"/>
        <v>0</v>
      </c>
      <c r="V19" s="166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25"/>
      <c r="AM19" s="23">
        <f t="shared" si="1"/>
        <v>0</v>
      </c>
      <c r="AN19" s="166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25"/>
      <c r="BE19" s="23">
        <f t="shared" si="2"/>
        <v>0</v>
      </c>
      <c r="BF19" s="166"/>
      <c r="BG19" s="163"/>
      <c r="BH19" s="163"/>
      <c r="BI19" s="163"/>
      <c r="BJ19" s="163"/>
      <c r="BK19" s="163"/>
      <c r="BL19" s="163"/>
      <c r="BM19" s="163"/>
      <c r="BN19" s="163"/>
      <c r="BO19" s="163"/>
      <c r="BP19" s="163"/>
      <c r="BQ19" s="163"/>
      <c r="BR19" s="163"/>
      <c r="BS19" s="163"/>
      <c r="BT19" s="163"/>
      <c r="BU19" s="163"/>
      <c r="BV19" s="171"/>
      <c r="BW19" s="21">
        <f t="shared" si="3"/>
        <v>0</v>
      </c>
      <c r="BX19" s="26"/>
    </row>
    <row r="20" spans="1:76" ht="11.55" customHeight="1" x14ac:dyDescent="0.3">
      <c r="A20" s="118"/>
      <c r="B20" s="142"/>
      <c r="C20" s="119"/>
      <c r="D20" s="18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25"/>
      <c r="U20" s="23">
        <f t="shared" si="0"/>
        <v>0</v>
      </c>
      <c r="V20" s="166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25"/>
      <c r="AM20" s="23">
        <f t="shared" si="1"/>
        <v>0</v>
      </c>
      <c r="AN20" s="166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25"/>
      <c r="BE20" s="23">
        <f t="shared" si="2"/>
        <v>0</v>
      </c>
      <c r="BF20" s="166"/>
      <c r="BG20" s="163"/>
      <c r="BH20" s="163"/>
      <c r="BI20" s="163"/>
      <c r="BJ20" s="163"/>
      <c r="BK20" s="163"/>
      <c r="BL20" s="163"/>
      <c r="BM20" s="163"/>
      <c r="BN20" s="163"/>
      <c r="BO20" s="163"/>
      <c r="BP20" s="163"/>
      <c r="BQ20" s="163"/>
      <c r="BR20" s="163"/>
      <c r="BS20" s="163"/>
      <c r="BT20" s="163"/>
      <c r="BU20" s="163"/>
      <c r="BV20" s="171"/>
      <c r="BW20" s="21">
        <f t="shared" si="3"/>
        <v>0</v>
      </c>
      <c r="BX20" s="26"/>
    </row>
    <row r="21" spans="1:76" ht="11.55" customHeight="1" x14ac:dyDescent="0.3">
      <c r="A21" s="121"/>
      <c r="B21" s="142"/>
      <c r="C21" s="151"/>
      <c r="D21" s="157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0"/>
      <c r="U21" s="23">
        <f t="shared" si="0"/>
        <v>0</v>
      </c>
      <c r="V21" s="167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0"/>
      <c r="AM21" s="23">
        <f t="shared" si="1"/>
        <v>0</v>
      </c>
      <c r="AN21" s="167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0"/>
      <c r="BE21" s="23">
        <f t="shared" si="2"/>
        <v>0</v>
      </c>
      <c r="BF21" s="167"/>
      <c r="BG21" s="163"/>
      <c r="BH21" s="163"/>
      <c r="BI21" s="163"/>
      <c r="BJ21" s="163"/>
      <c r="BK21" s="163"/>
      <c r="BL21" s="163"/>
      <c r="BM21" s="163"/>
      <c r="BN21" s="163"/>
      <c r="BO21" s="163"/>
      <c r="BP21" s="163"/>
      <c r="BQ21" s="163"/>
      <c r="BR21" s="163"/>
      <c r="BS21" s="163"/>
      <c r="BT21" s="163"/>
      <c r="BU21" s="163"/>
      <c r="BV21" s="162"/>
      <c r="BW21" s="21">
        <f t="shared" si="3"/>
        <v>0</v>
      </c>
      <c r="BX21" s="27"/>
    </row>
    <row r="22" spans="1:76" ht="11.55" customHeight="1" x14ac:dyDescent="0.3">
      <c r="A22" s="134"/>
      <c r="B22" s="142"/>
      <c r="C22" s="119"/>
      <c r="D22" s="157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1"/>
      <c r="U22" s="23">
        <f t="shared" si="0"/>
        <v>0</v>
      </c>
      <c r="V22" s="168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1"/>
      <c r="AM22" s="23">
        <f t="shared" si="1"/>
        <v>0</v>
      </c>
      <c r="AN22" s="168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1"/>
      <c r="BE22" s="23">
        <f t="shared" si="2"/>
        <v>0</v>
      </c>
      <c r="BF22" s="168"/>
      <c r="BG22" s="163"/>
      <c r="BH22" s="163"/>
      <c r="BI22" s="163"/>
      <c r="BJ22" s="163"/>
      <c r="BK22" s="163"/>
      <c r="BL22" s="163"/>
      <c r="BM22" s="163"/>
      <c r="BN22" s="163"/>
      <c r="BO22" s="163"/>
      <c r="BP22" s="163"/>
      <c r="BQ22" s="163"/>
      <c r="BR22" s="163"/>
      <c r="BS22" s="163"/>
      <c r="BT22" s="163"/>
      <c r="BU22" s="163"/>
      <c r="BV22" s="172"/>
      <c r="BW22" s="21">
        <f t="shared" si="3"/>
        <v>0</v>
      </c>
      <c r="BX22" s="28"/>
    </row>
    <row r="23" spans="1:76" ht="11.55" customHeight="1" x14ac:dyDescent="0.3">
      <c r="A23" s="118"/>
      <c r="B23" s="142"/>
      <c r="C23" s="128"/>
      <c r="D23" s="18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25"/>
      <c r="U23" s="23">
        <f t="shared" si="0"/>
        <v>0</v>
      </c>
      <c r="V23" s="166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25"/>
      <c r="AM23" s="23">
        <f t="shared" si="1"/>
        <v>0</v>
      </c>
      <c r="AN23" s="166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25"/>
      <c r="BE23" s="23">
        <f t="shared" si="2"/>
        <v>0</v>
      </c>
      <c r="BF23" s="166"/>
      <c r="BG23" s="163"/>
      <c r="BH23" s="163"/>
      <c r="BI23" s="163"/>
      <c r="BJ23" s="163"/>
      <c r="BK23" s="163"/>
      <c r="BL23" s="163"/>
      <c r="BM23" s="163"/>
      <c r="BN23" s="163"/>
      <c r="BO23" s="163"/>
      <c r="BP23" s="163"/>
      <c r="BQ23" s="163"/>
      <c r="BR23" s="163"/>
      <c r="BS23" s="163"/>
      <c r="BT23" s="163"/>
      <c r="BU23" s="163"/>
      <c r="BV23" s="171"/>
      <c r="BW23" s="21">
        <f t="shared" si="3"/>
        <v>0</v>
      </c>
      <c r="BX23" s="26"/>
    </row>
    <row r="24" spans="1:76" ht="11.55" customHeight="1" x14ac:dyDescent="0.3">
      <c r="A24" s="118"/>
      <c r="B24" s="142"/>
      <c r="C24" s="128"/>
      <c r="D24" s="18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25"/>
      <c r="U24" s="23">
        <f t="shared" si="0"/>
        <v>0</v>
      </c>
      <c r="V24" s="166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25"/>
      <c r="AM24" s="23">
        <f t="shared" si="1"/>
        <v>0</v>
      </c>
      <c r="AN24" s="166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25"/>
      <c r="BE24" s="23">
        <f t="shared" si="2"/>
        <v>0</v>
      </c>
      <c r="BF24" s="166"/>
      <c r="BG24" s="163"/>
      <c r="BH24" s="163"/>
      <c r="BI24" s="163"/>
      <c r="BJ24" s="163"/>
      <c r="BK24" s="163"/>
      <c r="BL24" s="163"/>
      <c r="BM24" s="163"/>
      <c r="BN24" s="163"/>
      <c r="BO24" s="163"/>
      <c r="BP24" s="163"/>
      <c r="BQ24" s="163"/>
      <c r="BR24" s="163"/>
      <c r="BS24" s="163"/>
      <c r="BT24" s="163"/>
      <c r="BU24" s="163"/>
      <c r="BV24" s="171"/>
      <c r="BW24" s="21">
        <f t="shared" si="3"/>
        <v>0</v>
      </c>
      <c r="BX24" s="26"/>
    </row>
    <row r="25" spans="1:76" ht="11.55" customHeight="1" x14ac:dyDescent="0.3">
      <c r="A25" s="118"/>
      <c r="B25" s="142"/>
      <c r="C25" s="128"/>
      <c r="D25" s="18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25"/>
      <c r="U25" s="23">
        <f t="shared" si="0"/>
        <v>0</v>
      </c>
      <c r="V25" s="166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25"/>
      <c r="AM25" s="23">
        <f t="shared" si="1"/>
        <v>0</v>
      </c>
      <c r="AN25" s="166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25"/>
      <c r="BE25" s="23">
        <f t="shared" si="2"/>
        <v>0</v>
      </c>
      <c r="BF25" s="166"/>
      <c r="BG25" s="163"/>
      <c r="BH25" s="163"/>
      <c r="BI25" s="163"/>
      <c r="BJ25" s="163"/>
      <c r="BK25" s="163"/>
      <c r="BL25" s="163"/>
      <c r="BM25" s="163"/>
      <c r="BN25" s="163"/>
      <c r="BO25" s="163"/>
      <c r="BP25" s="163"/>
      <c r="BQ25" s="163"/>
      <c r="BR25" s="163"/>
      <c r="BS25" s="163"/>
      <c r="BT25" s="163"/>
      <c r="BU25" s="163"/>
      <c r="BV25" s="171"/>
      <c r="BW25" s="21">
        <f t="shared" si="3"/>
        <v>0</v>
      </c>
      <c r="BX25" s="26"/>
    </row>
    <row r="26" spans="1:76" ht="11.55" customHeight="1" x14ac:dyDescent="0.3">
      <c r="A26" s="121"/>
      <c r="B26" s="142"/>
      <c r="C26" s="116"/>
      <c r="D26" s="157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0"/>
      <c r="U26" s="23">
        <f t="shared" si="0"/>
        <v>0</v>
      </c>
      <c r="V26" s="167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0"/>
      <c r="AM26" s="23">
        <f t="shared" si="1"/>
        <v>0</v>
      </c>
      <c r="AN26" s="167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0"/>
      <c r="BE26" s="23">
        <f t="shared" si="2"/>
        <v>0</v>
      </c>
      <c r="BF26" s="167"/>
      <c r="BG26" s="163"/>
      <c r="BH26" s="163"/>
      <c r="BI26" s="163"/>
      <c r="BJ26" s="163"/>
      <c r="BK26" s="163"/>
      <c r="BL26" s="163"/>
      <c r="BM26" s="163"/>
      <c r="BN26" s="163"/>
      <c r="BO26" s="163"/>
      <c r="BP26" s="163"/>
      <c r="BQ26" s="163"/>
      <c r="BR26" s="163"/>
      <c r="BS26" s="163"/>
      <c r="BT26" s="163"/>
      <c r="BU26" s="163"/>
      <c r="BV26" s="162"/>
      <c r="BW26" s="21">
        <f t="shared" si="3"/>
        <v>0</v>
      </c>
      <c r="BX26" s="27"/>
    </row>
    <row r="27" spans="1:76" ht="11.55" customHeight="1" x14ac:dyDescent="0.3">
      <c r="A27" s="134"/>
      <c r="B27" s="142"/>
      <c r="C27" s="119"/>
      <c r="D27" s="157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1"/>
      <c r="U27" s="23">
        <f t="shared" si="0"/>
        <v>0</v>
      </c>
      <c r="V27" s="168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1"/>
      <c r="AM27" s="23">
        <f t="shared" si="1"/>
        <v>0</v>
      </c>
      <c r="AN27" s="168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1"/>
      <c r="BE27" s="23">
        <f t="shared" si="2"/>
        <v>0</v>
      </c>
      <c r="BF27" s="168"/>
      <c r="BG27" s="163"/>
      <c r="BH27" s="163"/>
      <c r="BI27" s="163"/>
      <c r="BJ27" s="163"/>
      <c r="BK27" s="163"/>
      <c r="BL27" s="163"/>
      <c r="BM27" s="163"/>
      <c r="BN27" s="163"/>
      <c r="BO27" s="163"/>
      <c r="BP27" s="163"/>
      <c r="BQ27" s="163"/>
      <c r="BR27" s="163"/>
      <c r="BS27" s="163"/>
      <c r="BT27" s="163"/>
      <c r="BU27" s="163"/>
      <c r="BV27" s="172"/>
      <c r="BW27" s="21">
        <f t="shared" si="3"/>
        <v>0</v>
      </c>
      <c r="BX27" s="28"/>
    </row>
    <row r="28" spans="1:76" ht="11.55" customHeight="1" x14ac:dyDescent="0.3">
      <c r="A28" s="118"/>
      <c r="B28" s="142"/>
      <c r="C28" s="128"/>
      <c r="D28" s="18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25"/>
      <c r="U28" s="23">
        <f t="shared" si="0"/>
        <v>0</v>
      </c>
      <c r="V28" s="166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25"/>
      <c r="AM28" s="23">
        <f t="shared" si="1"/>
        <v>0</v>
      </c>
      <c r="AN28" s="166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25"/>
      <c r="BE28" s="23">
        <f t="shared" si="2"/>
        <v>0</v>
      </c>
      <c r="BF28" s="166"/>
      <c r="BG28" s="163"/>
      <c r="BH28" s="163"/>
      <c r="BI28" s="163"/>
      <c r="BJ28" s="163"/>
      <c r="BK28" s="163"/>
      <c r="BL28" s="163"/>
      <c r="BM28" s="163"/>
      <c r="BN28" s="163"/>
      <c r="BO28" s="163"/>
      <c r="BP28" s="163"/>
      <c r="BQ28" s="163"/>
      <c r="BR28" s="163"/>
      <c r="BS28" s="163"/>
      <c r="BT28" s="163"/>
      <c r="BU28" s="163"/>
      <c r="BV28" s="171"/>
      <c r="BW28" s="21">
        <f t="shared" si="3"/>
        <v>0</v>
      </c>
      <c r="BX28" s="26"/>
    </row>
    <row r="29" spans="1:76" ht="11.55" customHeight="1" x14ac:dyDescent="0.3">
      <c r="A29" s="118"/>
      <c r="B29" s="142"/>
      <c r="C29" s="128"/>
      <c r="D29" s="18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25"/>
      <c r="U29" s="23">
        <f t="shared" si="0"/>
        <v>0</v>
      </c>
      <c r="V29" s="166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25"/>
      <c r="AM29" s="23">
        <f t="shared" si="1"/>
        <v>0</v>
      </c>
      <c r="AN29" s="166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25"/>
      <c r="BE29" s="23">
        <f t="shared" si="2"/>
        <v>0</v>
      </c>
      <c r="BF29" s="166"/>
      <c r="BG29" s="163"/>
      <c r="BH29" s="163"/>
      <c r="BI29" s="163"/>
      <c r="BJ29" s="163"/>
      <c r="BK29" s="163"/>
      <c r="BL29" s="163"/>
      <c r="BM29" s="163"/>
      <c r="BN29" s="163"/>
      <c r="BO29" s="163"/>
      <c r="BP29" s="163"/>
      <c r="BQ29" s="163"/>
      <c r="BR29" s="163"/>
      <c r="BS29" s="163"/>
      <c r="BT29" s="163"/>
      <c r="BU29" s="163"/>
      <c r="BV29" s="171"/>
      <c r="BW29" s="21">
        <f t="shared" si="3"/>
        <v>0</v>
      </c>
      <c r="BX29" s="26"/>
    </row>
    <row r="30" spans="1:76" ht="11.55" customHeight="1" x14ac:dyDescent="0.3">
      <c r="A30" s="118"/>
      <c r="B30" s="142"/>
      <c r="C30" s="128"/>
      <c r="D30" s="18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25"/>
      <c r="U30" s="23">
        <f t="shared" si="0"/>
        <v>0</v>
      </c>
      <c r="V30" s="166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25"/>
      <c r="AM30" s="23">
        <f t="shared" si="1"/>
        <v>0</v>
      </c>
      <c r="AN30" s="166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25"/>
      <c r="BE30" s="23">
        <f t="shared" si="2"/>
        <v>0</v>
      </c>
      <c r="BF30" s="166"/>
      <c r="BG30" s="163"/>
      <c r="BH30" s="163"/>
      <c r="BI30" s="163"/>
      <c r="BJ30" s="163"/>
      <c r="BK30" s="163"/>
      <c r="BL30" s="163"/>
      <c r="BM30" s="163"/>
      <c r="BN30" s="163"/>
      <c r="BO30" s="163"/>
      <c r="BP30" s="163"/>
      <c r="BQ30" s="163"/>
      <c r="BR30" s="163"/>
      <c r="BS30" s="163"/>
      <c r="BT30" s="163"/>
      <c r="BU30" s="163"/>
      <c r="BV30" s="171"/>
      <c r="BW30" s="21">
        <f t="shared" si="3"/>
        <v>0</v>
      </c>
      <c r="BX30" s="26"/>
    </row>
    <row r="31" spans="1:76" ht="11.55" customHeight="1" x14ac:dyDescent="0.3">
      <c r="A31" s="121"/>
      <c r="B31" s="142"/>
      <c r="C31" s="116"/>
      <c r="D31" s="157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0"/>
      <c r="U31" s="23">
        <f t="shared" si="0"/>
        <v>0</v>
      </c>
      <c r="V31" s="167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0"/>
      <c r="AM31" s="23">
        <f t="shared" si="1"/>
        <v>0</v>
      </c>
      <c r="AN31" s="167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0"/>
      <c r="BE31" s="23">
        <f t="shared" si="2"/>
        <v>0</v>
      </c>
      <c r="BF31" s="167"/>
      <c r="BG31" s="163"/>
      <c r="BH31" s="163"/>
      <c r="BI31" s="163"/>
      <c r="BJ31" s="163"/>
      <c r="BK31" s="163"/>
      <c r="BL31" s="163"/>
      <c r="BM31" s="163"/>
      <c r="BN31" s="163"/>
      <c r="BO31" s="163"/>
      <c r="BP31" s="163"/>
      <c r="BQ31" s="163"/>
      <c r="BR31" s="163"/>
      <c r="BS31" s="163"/>
      <c r="BT31" s="163"/>
      <c r="BU31" s="163"/>
      <c r="BV31" s="162"/>
      <c r="BW31" s="21">
        <f t="shared" si="3"/>
        <v>0</v>
      </c>
      <c r="BX31" s="27"/>
    </row>
    <row r="32" spans="1:76" ht="11.55" customHeight="1" x14ac:dyDescent="0.3">
      <c r="A32" s="134"/>
      <c r="B32" s="142"/>
      <c r="C32" s="119"/>
      <c r="D32" s="157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1"/>
      <c r="U32" s="23">
        <f t="shared" si="0"/>
        <v>0</v>
      </c>
      <c r="V32" s="168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1"/>
      <c r="AM32" s="23">
        <f t="shared" si="1"/>
        <v>0</v>
      </c>
      <c r="AN32" s="168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1"/>
      <c r="BE32" s="23">
        <f t="shared" si="2"/>
        <v>0</v>
      </c>
      <c r="BF32" s="168"/>
      <c r="BG32" s="163"/>
      <c r="BH32" s="163"/>
      <c r="BI32" s="163"/>
      <c r="BJ32" s="163"/>
      <c r="BK32" s="163"/>
      <c r="BL32" s="163"/>
      <c r="BM32" s="163"/>
      <c r="BN32" s="163"/>
      <c r="BO32" s="163"/>
      <c r="BP32" s="163"/>
      <c r="BQ32" s="163"/>
      <c r="BR32" s="163"/>
      <c r="BS32" s="163"/>
      <c r="BT32" s="163"/>
      <c r="BU32" s="163"/>
      <c r="BV32" s="172"/>
      <c r="BW32" s="21">
        <f t="shared" si="3"/>
        <v>0</v>
      </c>
      <c r="BX32" s="28"/>
    </row>
    <row r="33" spans="1:76" ht="11.55" customHeight="1" x14ac:dyDescent="0.3">
      <c r="A33" s="118"/>
      <c r="B33" s="142"/>
      <c r="C33" s="128"/>
      <c r="D33" s="18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25"/>
      <c r="U33" s="23">
        <f t="shared" si="0"/>
        <v>0</v>
      </c>
      <c r="V33" s="166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25"/>
      <c r="AM33" s="23">
        <f t="shared" si="1"/>
        <v>0</v>
      </c>
      <c r="AN33" s="166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25"/>
      <c r="BE33" s="23">
        <f t="shared" si="2"/>
        <v>0</v>
      </c>
      <c r="BF33" s="166"/>
      <c r="BG33" s="163"/>
      <c r="BH33" s="163"/>
      <c r="BI33" s="163"/>
      <c r="BJ33" s="163"/>
      <c r="BK33" s="163"/>
      <c r="BL33" s="163"/>
      <c r="BM33" s="163"/>
      <c r="BN33" s="163"/>
      <c r="BO33" s="163"/>
      <c r="BP33" s="163"/>
      <c r="BQ33" s="163"/>
      <c r="BR33" s="163"/>
      <c r="BS33" s="163"/>
      <c r="BT33" s="163"/>
      <c r="BU33" s="163"/>
      <c r="BV33" s="171"/>
      <c r="BW33" s="21">
        <f t="shared" si="3"/>
        <v>0</v>
      </c>
      <c r="BX33" s="26"/>
    </row>
    <row r="34" spans="1:76" ht="11.55" customHeight="1" x14ac:dyDescent="0.3">
      <c r="A34" s="118"/>
      <c r="B34" s="142"/>
      <c r="C34" s="119"/>
      <c r="D34" s="18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25"/>
      <c r="U34" s="23">
        <f t="shared" si="0"/>
        <v>0</v>
      </c>
      <c r="V34" s="166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25"/>
      <c r="AM34" s="23">
        <f t="shared" si="1"/>
        <v>0</v>
      </c>
      <c r="AN34" s="166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25"/>
      <c r="BE34" s="23">
        <f t="shared" si="2"/>
        <v>0</v>
      </c>
      <c r="BF34" s="166"/>
      <c r="BG34" s="163"/>
      <c r="BH34" s="163"/>
      <c r="BI34" s="163"/>
      <c r="BJ34" s="163"/>
      <c r="BK34" s="163"/>
      <c r="BL34" s="163"/>
      <c r="BM34" s="163"/>
      <c r="BN34" s="163"/>
      <c r="BO34" s="163"/>
      <c r="BP34" s="163"/>
      <c r="BQ34" s="163"/>
      <c r="BR34" s="163"/>
      <c r="BS34" s="163"/>
      <c r="BT34" s="163"/>
      <c r="BU34" s="163"/>
      <c r="BV34" s="171"/>
      <c r="BW34" s="21">
        <f t="shared" si="3"/>
        <v>0</v>
      </c>
      <c r="BX34" s="26"/>
    </row>
    <row r="35" spans="1:76" ht="11.55" customHeight="1" x14ac:dyDescent="0.3">
      <c r="A35" s="118"/>
      <c r="B35" s="142"/>
      <c r="C35" s="126"/>
      <c r="D35" s="18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25"/>
      <c r="U35" s="23">
        <f t="shared" si="0"/>
        <v>0</v>
      </c>
      <c r="V35" s="166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25"/>
      <c r="AM35" s="23">
        <f t="shared" si="1"/>
        <v>0</v>
      </c>
      <c r="AN35" s="166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25"/>
      <c r="BE35" s="23">
        <f t="shared" si="2"/>
        <v>0</v>
      </c>
      <c r="BF35" s="166"/>
      <c r="BG35" s="163"/>
      <c r="BH35" s="163"/>
      <c r="BI35" s="163"/>
      <c r="BJ35" s="163"/>
      <c r="BK35" s="163"/>
      <c r="BL35" s="163"/>
      <c r="BM35" s="163"/>
      <c r="BN35" s="163"/>
      <c r="BO35" s="163"/>
      <c r="BP35" s="163"/>
      <c r="BQ35" s="163"/>
      <c r="BR35" s="163"/>
      <c r="BS35" s="163"/>
      <c r="BT35" s="163"/>
      <c r="BU35" s="163"/>
      <c r="BV35" s="171"/>
      <c r="BW35" s="21">
        <f t="shared" si="3"/>
        <v>0</v>
      </c>
      <c r="BX35" s="26"/>
    </row>
    <row r="36" spans="1:76" ht="11.55" customHeight="1" x14ac:dyDescent="0.3">
      <c r="A36" s="121"/>
      <c r="B36" s="142"/>
      <c r="C36" s="151"/>
      <c r="D36" s="157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0"/>
      <c r="U36" s="23">
        <f t="shared" si="0"/>
        <v>0</v>
      </c>
      <c r="V36" s="167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0"/>
      <c r="AM36" s="23">
        <f t="shared" si="1"/>
        <v>0</v>
      </c>
      <c r="AN36" s="167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0"/>
      <c r="BE36" s="23">
        <f t="shared" si="2"/>
        <v>0</v>
      </c>
      <c r="BF36" s="167"/>
      <c r="BG36" s="163"/>
      <c r="BH36" s="163"/>
      <c r="BI36" s="163"/>
      <c r="BJ36" s="163"/>
      <c r="BK36" s="163"/>
      <c r="BL36" s="163"/>
      <c r="BM36" s="163"/>
      <c r="BN36" s="163"/>
      <c r="BO36" s="163"/>
      <c r="BP36" s="163"/>
      <c r="BQ36" s="163"/>
      <c r="BR36" s="163"/>
      <c r="BS36" s="163"/>
      <c r="BT36" s="163"/>
      <c r="BU36" s="163"/>
      <c r="BV36" s="162"/>
      <c r="BW36" s="21">
        <f t="shared" si="3"/>
        <v>0</v>
      </c>
      <c r="BX36" s="27"/>
    </row>
    <row r="37" spans="1:76" ht="11.55" customHeight="1" x14ac:dyDescent="0.3">
      <c r="A37" s="134"/>
      <c r="B37" s="142"/>
      <c r="C37" s="119"/>
      <c r="D37" s="157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1"/>
      <c r="U37" s="23">
        <f t="shared" si="0"/>
        <v>0</v>
      </c>
      <c r="V37" s="168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1"/>
      <c r="AM37" s="23">
        <f t="shared" si="1"/>
        <v>0</v>
      </c>
      <c r="AN37" s="168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1"/>
      <c r="BE37" s="23">
        <f t="shared" si="2"/>
        <v>0</v>
      </c>
      <c r="BF37" s="168"/>
      <c r="BG37" s="163"/>
      <c r="BH37" s="163"/>
      <c r="BI37" s="163"/>
      <c r="BJ37" s="163"/>
      <c r="BK37" s="163"/>
      <c r="BL37" s="163"/>
      <c r="BM37" s="163"/>
      <c r="BN37" s="163"/>
      <c r="BO37" s="163"/>
      <c r="BP37" s="163"/>
      <c r="BQ37" s="163"/>
      <c r="BR37" s="163"/>
      <c r="BS37" s="163"/>
      <c r="BT37" s="163"/>
      <c r="BU37" s="163"/>
      <c r="BV37" s="172"/>
      <c r="BW37" s="21">
        <f t="shared" si="3"/>
        <v>0</v>
      </c>
      <c r="BX37" s="28"/>
    </row>
    <row r="38" spans="1:76" ht="11.55" customHeight="1" x14ac:dyDescent="0.3">
      <c r="A38" s="118"/>
      <c r="B38" s="142"/>
      <c r="C38" s="126"/>
      <c r="D38" s="156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25"/>
      <c r="U38" s="23">
        <f t="shared" si="0"/>
        <v>0</v>
      </c>
      <c r="V38" s="166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25"/>
      <c r="AM38" s="23">
        <f t="shared" si="1"/>
        <v>0</v>
      </c>
      <c r="AN38" s="166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25"/>
      <c r="BE38" s="23">
        <f t="shared" si="2"/>
        <v>0</v>
      </c>
      <c r="BF38" s="166"/>
      <c r="BG38" s="163"/>
      <c r="BH38" s="163"/>
      <c r="BI38" s="163"/>
      <c r="BJ38" s="163"/>
      <c r="BK38" s="163"/>
      <c r="BL38" s="163"/>
      <c r="BM38" s="163"/>
      <c r="BN38" s="163"/>
      <c r="BO38" s="163"/>
      <c r="BP38" s="163"/>
      <c r="BQ38" s="163"/>
      <c r="BR38" s="163"/>
      <c r="BS38" s="163"/>
      <c r="BT38" s="163"/>
      <c r="BU38" s="163"/>
      <c r="BV38" s="171"/>
      <c r="BW38" s="21">
        <f t="shared" si="3"/>
        <v>0</v>
      </c>
      <c r="BX38" s="26"/>
    </row>
    <row r="39" spans="1:76" ht="11.55" customHeight="1" x14ac:dyDescent="0.3">
      <c r="A39" s="118"/>
      <c r="B39" s="142"/>
      <c r="C39" s="126"/>
      <c r="D39" s="156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25"/>
      <c r="U39" s="23">
        <f t="shared" si="0"/>
        <v>0</v>
      </c>
      <c r="V39" s="166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25"/>
      <c r="AM39" s="23">
        <f t="shared" si="1"/>
        <v>0</v>
      </c>
      <c r="AN39" s="166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25"/>
      <c r="BE39" s="23">
        <f t="shared" si="2"/>
        <v>0</v>
      </c>
      <c r="BF39" s="166"/>
      <c r="BG39" s="163"/>
      <c r="BH39" s="163"/>
      <c r="BI39" s="163"/>
      <c r="BJ39" s="163"/>
      <c r="BK39" s="163"/>
      <c r="BL39" s="163"/>
      <c r="BM39" s="163"/>
      <c r="BN39" s="163"/>
      <c r="BO39" s="163"/>
      <c r="BP39" s="163"/>
      <c r="BQ39" s="163"/>
      <c r="BR39" s="163"/>
      <c r="BS39" s="163"/>
      <c r="BT39" s="163"/>
      <c r="BU39" s="163"/>
      <c r="BV39" s="171"/>
      <c r="BW39" s="21">
        <f t="shared" si="3"/>
        <v>0</v>
      </c>
      <c r="BX39" s="26"/>
    </row>
    <row r="40" spans="1:76" ht="11.55" customHeight="1" x14ac:dyDescent="0.3">
      <c r="A40" s="118"/>
      <c r="B40" s="142"/>
      <c r="C40" s="126"/>
      <c r="D40" s="18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25"/>
      <c r="U40" s="23">
        <f t="shared" si="0"/>
        <v>0</v>
      </c>
      <c r="V40" s="166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25"/>
      <c r="AM40" s="23">
        <f t="shared" si="1"/>
        <v>0</v>
      </c>
      <c r="AN40" s="166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25"/>
      <c r="BE40" s="23">
        <f t="shared" si="2"/>
        <v>0</v>
      </c>
      <c r="BF40" s="166"/>
      <c r="BG40" s="163"/>
      <c r="BH40" s="163"/>
      <c r="BI40" s="163"/>
      <c r="BJ40" s="163"/>
      <c r="BK40" s="163"/>
      <c r="BL40" s="163"/>
      <c r="BM40" s="163"/>
      <c r="BN40" s="163"/>
      <c r="BO40" s="163"/>
      <c r="BP40" s="163"/>
      <c r="BQ40" s="163"/>
      <c r="BR40" s="163"/>
      <c r="BS40" s="163"/>
      <c r="BT40" s="163"/>
      <c r="BU40" s="163"/>
      <c r="BV40" s="171"/>
      <c r="BW40" s="21">
        <f t="shared" si="3"/>
        <v>0</v>
      </c>
      <c r="BX40" s="26"/>
    </row>
    <row r="41" spans="1:76" ht="11.55" customHeight="1" x14ac:dyDescent="0.3">
      <c r="A41" s="121"/>
      <c r="B41" s="142"/>
      <c r="C41" s="151"/>
      <c r="D41" s="157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0"/>
      <c r="U41" s="23">
        <f t="shared" si="0"/>
        <v>0</v>
      </c>
      <c r="V41" s="167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0"/>
      <c r="AM41" s="23">
        <f t="shared" si="1"/>
        <v>0</v>
      </c>
      <c r="AN41" s="167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0"/>
      <c r="BE41" s="23">
        <f t="shared" si="2"/>
        <v>0</v>
      </c>
      <c r="BF41" s="167"/>
      <c r="BG41" s="163"/>
      <c r="BH41" s="163"/>
      <c r="BI41" s="163"/>
      <c r="BJ41" s="163"/>
      <c r="BK41" s="163"/>
      <c r="BL41" s="163"/>
      <c r="BM41" s="163"/>
      <c r="BN41" s="163"/>
      <c r="BO41" s="163"/>
      <c r="BP41" s="163"/>
      <c r="BQ41" s="163"/>
      <c r="BR41" s="163"/>
      <c r="BS41" s="163"/>
      <c r="BT41" s="163"/>
      <c r="BU41" s="163"/>
      <c r="BV41" s="162"/>
      <c r="BW41" s="21">
        <f t="shared" si="3"/>
        <v>0</v>
      </c>
      <c r="BX41" s="27"/>
    </row>
    <row r="42" spans="1:76" ht="11.55" customHeight="1" x14ac:dyDescent="0.3">
      <c r="A42" s="134"/>
      <c r="B42" s="142"/>
      <c r="C42" s="119"/>
      <c r="D42" s="157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1"/>
      <c r="U42" s="23">
        <f t="shared" si="0"/>
        <v>0</v>
      </c>
      <c r="V42" s="168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1"/>
      <c r="AM42" s="23">
        <f t="shared" si="1"/>
        <v>0</v>
      </c>
      <c r="AN42" s="168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1"/>
      <c r="BE42" s="23">
        <f t="shared" si="2"/>
        <v>0</v>
      </c>
      <c r="BF42" s="168"/>
      <c r="BG42" s="163"/>
      <c r="BH42" s="163"/>
      <c r="BI42" s="163"/>
      <c r="BJ42" s="163"/>
      <c r="BK42" s="163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  <c r="BV42" s="172"/>
      <c r="BW42" s="21">
        <f t="shared" si="3"/>
        <v>0</v>
      </c>
      <c r="BX42" s="28"/>
    </row>
    <row r="43" spans="1:76" ht="11.55" customHeight="1" x14ac:dyDescent="0.3">
      <c r="A43" s="118"/>
      <c r="B43" s="142"/>
      <c r="C43" s="126"/>
      <c r="D43" s="18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25"/>
      <c r="U43" s="23">
        <f t="shared" si="0"/>
        <v>0</v>
      </c>
      <c r="V43" s="166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25"/>
      <c r="AM43" s="23">
        <f t="shared" si="1"/>
        <v>0</v>
      </c>
      <c r="AN43" s="166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25"/>
      <c r="BE43" s="23">
        <f t="shared" si="2"/>
        <v>0</v>
      </c>
      <c r="BF43" s="166"/>
      <c r="BG43" s="163"/>
      <c r="BH43" s="163"/>
      <c r="BI43" s="163"/>
      <c r="BJ43" s="163"/>
      <c r="BK43" s="163"/>
      <c r="BL43" s="163"/>
      <c r="BM43" s="163"/>
      <c r="BN43" s="163"/>
      <c r="BO43" s="163"/>
      <c r="BP43" s="163"/>
      <c r="BQ43" s="163"/>
      <c r="BR43" s="163"/>
      <c r="BS43" s="163"/>
      <c r="BT43" s="163"/>
      <c r="BU43" s="163"/>
      <c r="BV43" s="171"/>
      <c r="BW43" s="21">
        <f t="shared" si="3"/>
        <v>0</v>
      </c>
      <c r="BX43" s="26"/>
    </row>
    <row r="44" spans="1:76" ht="11.55" customHeight="1" x14ac:dyDescent="0.3">
      <c r="A44" s="118"/>
      <c r="B44" s="142"/>
      <c r="C44" s="126"/>
      <c r="D44" s="18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25"/>
      <c r="U44" s="23">
        <f t="shared" si="0"/>
        <v>0</v>
      </c>
      <c r="V44" s="166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25"/>
      <c r="AM44" s="23">
        <f t="shared" si="1"/>
        <v>0</v>
      </c>
      <c r="AN44" s="166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25"/>
      <c r="BE44" s="23">
        <f t="shared" si="2"/>
        <v>0</v>
      </c>
      <c r="BF44" s="166"/>
      <c r="BG44" s="163"/>
      <c r="BH44" s="163"/>
      <c r="BI44" s="163"/>
      <c r="BJ44" s="163"/>
      <c r="BK44" s="163"/>
      <c r="BL44" s="163"/>
      <c r="BM44" s="163"/>
      <c r="BN44" s="163"/>
      <c r="BO44" s="163"/>
      <c r="BP44" s="163"/>
      <c r="BQ44" s="163"/>
      <c r="BR44" s="163"/>
      <c r="BS44" s="163"/>
      <c r="BT44" s="163"/>
      <c r="BU44" s="163"/>
      <c r="BV44" s="171"/>
      <c r="BW44" s="21">
        <f t="shared" si="3"/>
        <v>0</v>
      </c>
      <c r="BX44" s="26"/>
    </row>
    <row r="45" spans="1:76" ht="11.55" customHeight="1" x14ac:dyDescent="0.3">
      <c r="A45" s="118"/>
      <c r="B45" s="142"/>
      <c r="C45" s="128"/>
      <c r="D45" s="18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25"/>
      <c r="U45" s="23">
        <f t="shared" si="0"/>
        <v>0</v>
      </c>
      <c r="V45" s="166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25"/>
      <c r="AM45" s="23">
        <f t="shared" si="1"/>
        <v>0</v>
      </c>
      <c r="AN45" s="166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25"/>
      <c r="BE45" s="23">
        <f t="shared" si="2"/>
        <v>0</v>
      </c>
      <c r="BF45" s="166"/>
      <c r="BG45" s="163"/>
      <c r="BH45" s="163"/>
      <c r="BI45" s="163"/>
      <c r="BJ45" s="163"/>
      <c r="BK45" s="163"/>
      <c r="BL45" s="163"/>
      <c r="BM45" s="163"/>
      <c r="BN45" s="163"/>
      <c r="BO45" s="163"/>
      <c r="BP45" s="163"/>
      <c r="BQ45" s="163"/>
      <c r="BR45" s="163"/>
      <c r="BS45" s="163"/>
      <c r="BT45" s="163"/>
      <c r="BU45" s="163"/>
      <c r="BV45" s="171"/>
      <c r="BW45" s="21">
        <f t="shared" si="3"/>
        <v>0</v>
      </c>
      <c r="BX45" s="26"/>
    </row>
    <row r="46" spans="1:76" ht="11.55" customHeight="1" x14ac:dyDescent="0.3">
      <c r="A46" s="121"/>
      <c r="B46" s="142"/>
      <c r="C46" s="116"/>
      <c r="D46" s="157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0"/>
      <c r="U46" s="23">
        <f t="shared" si="0"/>
        <v>0</v>
      </c>
      <c r="V46" s="167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0"/>
      <c r="AM46" s="23">
        <f t="shared" si="1"/>
        <v>0</v>
      </c>
      <c r="AN46" s="167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0"/>
      <c r="BE46" s="23">
        <f t="shared" si="2"/>
        <v>0</v>
      </c>
      <c r="BF46" s="167"/>
      <c r="BG46" s="163"/>
      <c r="BH46" s="163"/>
      <c r="BI46" s="163"/>
      <c r="BJ46" s="163"/>
      <c r="BK46" s="163"/>
      <c r="BL46" s="163"/>
      <c r="BM46" s="163"/>
      <c r="BN46" s="163"/>
      <c r="BO46" s="163"/>
      <c r="BP46" s="163"/>
      <c r="BQ46" s="163"/>
      <c r="BR46" s="163"/>
      <c r="BS46" s="163"/>
      <c r="BT46" s="163"/>
      <c r="BU46" s="163"/>
      <c r="BV46" s="162"/>
      <c r="BW46" s="21">
        <f t="shared" si="3"/>
        <v>0</v>
      </c>
      <c r="BX46" s="27"/>
    </row>
    <row r="47" spans="1:76" ht="11.55" customHeight="1" x14ac:dyDescent="0.3">
      <c r="A47" s="134"/>
      <c r="B47" s="142"/>
      <c r="C47" s="119"/>
      <c r="D47" s="157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1"/>
      <c r="U47" s="23">
        <f t="shared" si="0"/>
        <v>0</v>
      </c>
      <c r="V47" s="168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1"/>
      <c r="AM47" s="23">
        <f t="shared" si="1"/>
        <v>0</v>
      </c>
      <c r="AN47" s="168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1"/>
      <c r="BE47" s="23">
        <f t="shared" si="2"/>
        <v>0</v>
      </c>
      <c r="BF47" s="168"/>
      <c r="BG47" s="163"/>
      <c r="BH47" s="163"/>
      <c r="BI47" s="163"/>
      <c r="BJ47" s="163"/>
      <c r="BK47" s="163"/>
      <c r="BL47" s="163"/>
      <c r="BM47" s="163"/>
      <c r="BN47" s="163"/>
      <c r="BO47" s="163"/>
      <c r="BP47" s="163"/>
      <c r="BQ47" s="163"/>
      <c r="BR47" s="163"/>
      <c r="BS47" s="163"/>
      <c r="BT47" s="163"/>
      <c r="BU47" s="163"/>
      <c r="BV47" s="172"/>
      <c r="BW47" s="21">
        <f t="shared" si="3"/>
        <v>0</v>
      </c>
      <c r="BX47" s="28"/>
    </row>
    <row r="48" spans="1:76" ht="11.55" customHeight="1" x14ac:dyDescent="0.3">
      <c r="A48" s="118"/>
      <c r="B48" s="142"/>
      <c r="C48" s="126"/>
      <c r="D48" s="18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25"/>
      <c r="U48" s="23">
        <f t="shared" si="0"/>
        <v>0</v>
      </c>
      <c r="V48" s="166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25"/>
      <c r="AM48" s="23">
        <f t="shared" si="1"/>
        <v>0</v>
      </c>
      <c r="AN48" s="166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25"/>
      <c r="BE48" s="23">
        <f t="shared" si="2"/>
        <v>0</v>
      </c>
      <c r="BF48" s="166"/>
      <c r="BG48" s="163"/>
      <c r="BH48" s="163"/>
      <c r="BI48" s="163"/>
      <c r="BJ48" s="163"/>
      <c r="BK48" s="163"/>
      <c r="BL48" s="163"/>
      <c r="BM48" s="163"/>
      <c r="BN48" s="163"/>
      <c r="BO48" s="163"/>
      <c r="BP48" s="163"/>
      <c r="BQ48" s="163"/>
      <c r="BR48" s="163"/>
      <c r="BS48" s="163"/>
      <c r="BT48" s="163"/>
      <c r="BU48" s="163"/>
      <c r="BV48" s="171"/>
      <c r="BW48" s="21">
        <f t="shared" si="3"/>
        <v>0</v>
      </c>
      <c r="BX48" s="26"/>
    </row>
    <row r="49" spans="1:76" ht="11.55" customHeight="1" x14ac:dyDescent="0.3">
      <c r="A49" s="118"/>
      <c r="B49" s="142"/>
      <c r="C49" s="126"/>
      <c r="D49" s="18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25"/>
      <c r="U49" s="23">
        <f t="shared" si="0"/>
        <v>0</v>
      </c>
      <c r="V49" s="166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25"/>
      <c r="AM49" s="23">
        <f t="shared" si="1"/>
        <v>0</v>
      </c>
      <c r="AN49" s="166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25"/>
      <c r="BE49" s="23">
        <f t="shared" si="2"/>
        <v>0</v>
      </c>
      <c r="BF49" s="166"/>
      <c r="BG49" s="163"/>
      <c r="BH49" s="163"/>
      <c r="BI49" s="163"/>
      <c r="BJ49" s="163"/>
      <c r="BK49" s="163"/>
      <c r="BL49" s="163"/>
      <c r="BM49" s="163"/>
      <c r="BN49" s="163"/>
      <c r="BO49" s="163"/>
      <c r="BP49" s="163"/>
      <c r="BQ49" s="163"/>
      <c r="BR49" s="163"/>
      <c r="BS49" s="163"/>
      <c r="BT49" s="163"/>
      <c r="BU49" s="163"/>
      <c r="BV49" s="171"/>
      <c r="BW49" s="21">
        <f t="shared" si="3"/>
        <v>0</v>
      </c>
      <c r="BX49" s="26"/>
    </row>
    <row r="50" spans="1:76" ht="11.55" customHeight="1" x14ac:dyDescent="0.3">
      <c r="A50" s="118"/>
      <c r="B50" s="142"/>
      <c r="C50" s="126"/>
      <c r="D50" s="18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25"/>
      <c r="U50" s="23">
        <f t="shared" si="0"/>
        <v>0</v>
      </c>
      <c r="V50" s="166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25"/>
      <c r="AM50" s="23">
        <f t="shared" si="1"/>
        <v>0</v>
      </c>
      <c r="AN50" s="166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25"/>
      <c r="BE50" s="23">
        <f t="shared" si="2"/>
        <v>0</v>
      </c>
      <c r="BF50" s="166"/>
      <c r="BG50" s="163"/>
      <c r="BH50" s="163"/>
      <c r="BI50" s="163"/>
      <c r="BJ50" s="163"/>
      <c r="BK50" s="163"/>
      <c r="BL50" s="163"/>
      <c r="BM50" s="163"/>
      <c r="BN50" s="163"/>
      <c r="BO50" s="163"/>
      <c r="BP50" s="163"/>
      <c r="BQ50" s="163"/>
      <c r="BR50" s="163"/>
      <c r="BS50" s="163"/>
      <c r="BT50" s="163"/>
      <c r="BU50" s="163"/>
      <c r="BV50" s="171"/>
      <c r="BW50" s="21">
        <f t="shared" si="3"/>
        <v>0</v>
      </c>
      <c r="BX50" s="26"/>
    </row>
    <row r="51" spans="1:76" ht="11.55" customHeight="1" x14ac:dyDescent="0.3">
      <c r="A51" s="121"/>
      <c r="B51" s="142"/>
      <c r="C51" s="151"/>
      <c r="D51" s="157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0"/>
      <c r="U51" s="23">
        <f t="shared" si="0"/>
        <v>0</v>
      </c>
      <c r="V51" s="167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0"/>
      <c r="AM51" s="23">
        <f t="shared" si="1"/>
        <v>0</v>
      </c>
      <c r="AN51" s="167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0"/>
      <c r="BE51" s="23">
        <f t="shared" si="2"/>
        <v>0</v>
      </c>
      <c r="BF51" s="167"/>
      <c r="BG51" s="163"/>
      <c r="BH51" s="163"/>
      <c r="BI51" s="163"/>
      <c r="BJ51" s="163"/>
      <c r="BK51" s="163"/>
      <c r="BL51" s="163"/>
      <c r="BM51" s="163"/>
      <c r="BN51" s="163"/>
      <c r="BO51" s="163"/>
      <c r="BP51" s="163"/>
      <c r="BQ51" s="163"/>
      <c r="BR51" s="163"/>
      <c r="BS51" s="163"/>
      <c r="BT51" s="163"/>
      <c r="BU51" s="163"/>
      <c r="BV51" s="162"/>
      <c r="BW51" s="21">
        <f t="shared" si="3"/>
        <v>0</v>
      </c>
      <c r="BX51" s="27"/>
    </row>
    <row r="52" spans="1:76" ht="11.55" customHeight="1" x14ac:dyDescent="0.3">
      <c r="A52" s="134"/>
      <c r="B52" s="142"/>
      <c r="C52" s="119"/>
      <c r="D52" s="157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1"/>
      <c r="U52" s="23">
        <f t="shared" si="0"/>
        <v>0</v>
      </c>
      <c r="V52" s="168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1"/>
      <c r="AM52" s="23">
        <f t="shared" si="1"/>
        <v>0</v>
      </c>
      <c r="AN52" s="168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1"/>
      <c r="BE52" s="23">
        <f t="shared" si="2"/>
        <v>0</v>
      </c>
      <c r="BF52" s="168"/>
      <c r="BG52" s="163"/>
      <c r="BH52" s="163"/>
      <c r="BI52" s="163"/>
      <c r="BJ52" s="163"/>
      <c r="BK52" s="163"/>
      <c r="BL52" s="163"/>
      <c r="BM52" s="163"/>
      <c r="BN52" s="163"/>
      <c r="BO52" s="163"/>
      <c r="BP52" s="163"/>
      <c r="BQ52" s="163"/>
      <c r="BR52" s="163"/>
      <c r="BS52" s="163"/>
      <c r="BT52" s="163"/>
      <c r="BU52" s="163"/>
      <c r="BV52" s="172"/>
      <c r="BW52" s="21">
        <f t="shared" si="3"/>
        <v>0</v>
      </c>
      <c r="BX52" s="28"/>
    </row>
    <row r="53" spans="1:76" ht="11.55" customHeight="1" x14ac:dyDescent="0.3">
      <c r="A53" s="118"/>
      <c r="B53" s="142"/>
      <c r="C53" s="126"/>
      <c r="D53" s="18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5"/>
      <c r="U53" s="23">
        <f t="shared" si="0"/>
        <v>0</v>
      </c>
      <c r="V53" s="166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25"/>
      <c r="AM53" s="23">
        <f t="shared" si="1"/>
        <v>0</v>
      </c>
      <c r="AN53" s="166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25"/>
      <c r="BE53" s="23">
        <f t="shared" si="2"/>
        <v>0</v>
      </c>
      <c r="BF53" s="166"/>
      <c r="BG53" s="163"/>
      <c r="BH53" s="163"/>
      <c r="BI53" s="163"/>
      <c r="BJ53" s="163"/>
      <c r="BK53" s="163"/>
      <c r="BL53" s="163"/>
      <c r="BM53" s="163"/>
      <c r="BN53" s="163"/>
      <c r="BO53" s="163"/>
      <c r="BP53" s="163"/>
      <c r="BQ53" s="163"/>
      <c r="BR53" s="163"/>
      <c r="BS53" s="163"/>
      <c r="BT53" s="163"/>
      <c r="BU53" s="163"/>
      <c r="BV53" s="171"/>
      <c r="BW53" s="21">
        <f t="shared" si="3"/>
        <v>0</v>
      </c>
      <c r="BX53" s="26"/>
    </row>
    <row r="54" spans="1:76" ht="11.55" customHeight="1" x14ac:dyDescent="0.3">
      <c r="A54" s="118"/>
      <c r="B54" s="142"/>
      <c r="C54" s="128"/>
      <c r="D54" s="18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5"/>
      <c r="U54" s="23">
        <f t="shared" si="0"/>
        <v>0</v>
      </c>
      <c r="V54" s="166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25"/>
      <c r="AM54" s="23">
        <f t="shared" si="1"/>
        <v>0</v>
      </c>
      <c r="AN54" s="166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25"/>
      <c r="BE54" s="23">
        <f t="shared" si="2"/>
        <v>0</v>
      </c>
      <c r="BF54" s="166"/>
      <c r="BG54" s="163"/>
      <c r="BH54" s="163"/>
      <c r="BI54" s="163"/>
      <c r="BJ54" s="163"/>
      <c r="BK54" s="163"/>
      <c r="BL54" s="163"/>
      <c r="BM54" s="163"/>
      <c r="BN54" s="163"/>
      <c r="BO54" s="163"/>
      <c r="BP54" s="163"/>
      <c r="BQ54" s="163"/>
      <c r="BR54" s="163"/>
      <c r="BS54" s="163"/>
      <c r="BT54" s="163"/>
      <c r="BU54" s="163"/>
      <c r="BV54" s="171"/>
      <c r="BW54" s="21">
        <f t="shared" si="3"/>
        <v>0</v>
      </c>
      <c r="BX54" s="26"/>
    </row>
    <row r="55" spans="1:76" ht="11.55" customHeight="1" x14ac:dyDescent="0.3">
      <c r="A55" s="118"/>
      <c r="B55" s="142"/>
      <c r="C55" s="119"/>
      <c r="D55" s="18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25"/>
      <c r="U55" s="23">
        <f t="shared" si="0"/>
        <v>0</v>
      </c>
      <c r="V55" s="166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25"/>
      <c r="AM55" s="23">
        <f t="shared" si="1"/>
        <v>0</v>
      </c>
      <c r="AN55" s="166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25"/>
      <c r="BE55" s="23">
        <f t="shared" si="2"/>
        <v>0</v>
      </c>
      <c r="BF55" s="166"/>
      <c r="BG55" s="163"/>
      <c r="BH55" s="163"/>
      <c r="BI55" s="163"/>
      <c r="BJ55" s="163"/>
      <c r="BK55" s="163"/>
      <c r="BL55" s="163"/>
      <c r="BM55" s="163"/>
      <c r="BN55" s="163"/>
      <c r="BO55" s="163"/>
      <c r="BP55" s="163"/>
      <c r="BQ55" s="163"/>
      <c r="BR55" s="163"/>
      <c r="BS55" s="163"/>
      <c r="BT55" s="163"/>
      <c r="BU55" s="163"/>
      <c r="BV55" s="171"/>
      <c r="BW55" s="21">
        <f t="shared" si="3"/>
        <v>0</v>
      </c>
      <c r="BX55" s="26"/>
    </row>
    <row r="56" spans="1:76" ht="11.55" customHeight="1" x14ac:dyDescent="0.3">
      <c r="A56" s="121"/>
      <c r="B56" s="142"/>
      <c r="C56" s="151"/>
      <c r="D56" s="157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2"/>
      <c r="U56" s="23">
        <f t="shared" si="0"/>
        <v>0</v>
      </c>
      <c r="V56" s="169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2"/>
      <c r="AM56" s="29">
        <f t="shared" si="1"/>
        <v>0</v>
      </c>
      <c r="AN56" s="169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2"/>
      <c r="BE56" s="29">
        <f t="shared" si="2"/>
        <v>0</v>
      </c>
      <c r="BF56" s="169"/>
      <c r="BG56" s="163"/>
      <c r="BH56" s="163"/>
      <c r="BI56" s="163"/>
      <c r="BJ56" s="163"/>
      <c r="BK56" s="163"/>
      <c r="BL56" s="163"/>
      <c r="BM56" s="163"/>
      <c r="BN56" s="163"/>
      <c r="BO56" s="163"/>
      <c r="BP56" s="163"/>
      <c r="BQ56" s="163"/>
      <c r="BR56" s="163"/>
      <c r="BS56" s="163"/>
      <c r="BT56" s="163"/>
      <c r="BU56" s="163"/>
      <c r="BV56" s="162"/>
      <c r="BW56" s="30">
        <f t="shared" si="3"/>
        <v>0</v>
      </c>
      <c r="BX56" s="27"/>
    </row>
    <row r="57" spans="1:76" ht="11.55" customHeight="1" x14ac:dyDescent="0.3">
      <c r="A57" s="134"/>
      <c r="B57" s="148"/>
      <c r="C57" s="119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1"/>
      <c r="U57" s="23">
        <f t="shared" si="0"/>
        <v>0</v>
      </c>
      <c r="V57" s="168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1"/>
      <c r="AM57" s="23">
        <f t="shared" si="1"/>
        <v>0</v>
      </c>
      <c r="AN57" s="168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1"/>
      <c r="BE57" s="23">
        <f t="shared" si="2"/>
        <v>0</v>
      </c>
      <c r="BF57" s="168"/>
      <c r="BG57" s="163"/>
      <c r="BH57" s="163"/>
      <c r="BI57" s="163"/>
      <c r="BJ57" s="163"/>
      <c r="BK57" s="163"/>
      <c r="BL57" s="163"/>
      <c r="BM57" s="163"/>
      <c r="BN57" s="163"/>
      <c r="BO57" s="163"/>
      <c r="BP57" s="163"/>
      <c r="BQ57" s="163"/>
      <c r="BR57" s="163"/>
      <c r="BS57" s="163"/>
      <c r="BT57" s="163"/>
      <c r="BU57" s="163"/>
      <c r="BV57" s="172"/>
      <c r="BW57" s="21">
        <f t="shared" si="3"/>
        <v>0</v>
      </c>
      <c r="BX57" s="27"/>
    </row>
    <row r="58" spans="1:76" ht="11.55" customHeight="1" x14ac:dyDescent="0.3">
      <c r="A58" s="149"/>
      <c r="B58" s="148"/>
      <c r="C58" s="128"/>
      <c r="D58" s="18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25"/>
      <c r="U58" s="23">
        <f t="shared" si="0"/>
        <v>0</v>
      </c>
      <c r="V58" s="166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25"/>
      <c r="AM58" s="23">
        <f t="shared" si="1"/>
        <v>0</v>
      </c>
      <c r="AN58" s="166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25"/>
      <c r="BE58" s="23">
        <f t="shared" si="2"/>
        <v>0</v>
      </c>
      <c r="BF58" s="166"/>
      <c r="BG58" s="163"/>
      <c r="BH58" s="163"/>
      <c r="BI58" s="163"/>
      <c r="BJ58" s="163"/>
      <c r="BK58" s="163"/>
      <c r="BL58" s="163"/>
      <c r="BM58" s="163"/>
      <c r="BN58" s="163"/>
      <c r="BO58" s="163"/>
      <c r="BP58" s="163"/>
      <c r="BQ58" s="163"/>
      <c r="BR58" s="163"/>
      <c r="BS58" s="163"/>
      <c r="BT58" s="163"/>
      <c r="BU58" s="163"/>
      <c r="BV58" s="171"/>
      <c r="BW58" s="21">
        <f t="shared" si="3"/>
        <v>0</v>
      </c>
      <c r="BX58" s="27"/>
    </row>
    <row r="59" spans="1:76" ht="11.55" customHeight="1" x14ac:dyDescent="0.3">
      <c r="A59" s="136"/>
      <c r="B59" s="148"/>
      <c r="C59" s="128"/>
      <c r="D59" s="18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25"/>
      <c r="U59" s="23">
        <f t="shared" si="0"/>
        <v>0</v>
      </c>
      <c r="V59" s="166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25"/>
      <c r="AM59" s="23">
        <f t="shared" si="1"/>
        <v>0</v>
      </c>
      <c r="AN59" s="166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25"/>
      <c r="BE59" s="23">
        <f t="shared" si="2"/>
        <v>0</v>
      </c>
      <c r="BF59" s="166"/>
      <c r="BG59" s="163"/>
      <c r="BH59" s="163"/>
      <c r="BI59" s="163"/>
      <c r="BJ59" s="163"/>
      <c r="BK59" s="163"/>
      <c r="BL59" s="163"/>
      <c r="BM59" s="163"/>
      <c r="BN59" s="163"/>
      <c r="BO59" s="163"/>
      <c r="BP59" s="163"/>
      <c r="BQ59" s="163"/>
      <c r="BR59" s="163"/>
      <c r="BS59" s="163"/>
      <c r="BT59" s="163"/>
      <c r="BU59" s="163"/>
      <c r="BV59" s="171"/>
      <c r="BW59" s="21">
        <f t="shared" si="3"/>
        <v>0</v>
      </c>
      <c r="BX59" s="27"/>
    </row>
    <row r="60" spans="1:76" ht="11.55" customHeight="1" x14ac:dyDescent="0.3">
      <c r="A60" s="138"/>
      <c r="B60" s="148"/>
      <c r="C60" s="146"/>
      <c r="D60" s="157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25"/>
      <c r="U60" s="23">
        <f t="shared" si="0"/>
        <v>0</v>
      </c>
      <c r="V60" s="166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25"/>
      <c r="AM60" s="23">
        <f t="shared" si="1"/>
        <v>0</v>
      </c>
      <c r="AN60" s="166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25"/>
      <c r="BE60" s="23">
        <f t="shared" si="2"/>
        <v>0</v>
      </c>
      <c r="BF60" s="166"/>
      <c r="BG60" s="163"/>
      <c r="BH60" s="163"/>
      <c r="BI60" s="163"/>
      <c r="BJ60" s="163"/>
      <c r="BK60" s="163"/>
      <c r="BL60" s="163"/>
      <c r="BM60" s="163"/>
      <c r="BN60" s="163"/>
      <c r="BO60" s="163"/>
      <c r="BP60" s="163"/>
      <c r="BQ60" s="163"/>
      <c r="BR60" s="163"/>
      <c r="BS60" s="163"/>
      <c r="BT60" s="163"/>
      <c r="BU60" s="163"/>
      <c r="BV60" s="171"/>
      <c r="BW60" s="21">
        <f t="shared" si="3"/>
        <v>0</v>
      </c>
      <c r="BX60" s="27"/>
    </row>
    <row r="61" spans="1:76" ht="11.55" customHeight="1" x14ac:dyDescent="0.3">
      <c r="A61" s="150"/>
      <c r="B61" s="148"/>
      <c r="C61" s="130"/>
      <c r="D61" s="158"/>
      <c r="E61" s="164"/>
      <c r="F61" s="164"/>
      <c r="G61" s="164"/>
      <c r="H61" s="164"/>
      <c r="I61" s="164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0"/>
      <c r="U61" s="23">
        <f t="shared" si="0"/>
        <v>0</v>
      </c>
      <c r="V61" s="167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0"/>
      <c r="AM61" s="23">
        <f t="shared" si="1"/>
        <v>0</v>
      </c>
      <c r="AN61" s="167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0"/>
      <c r="BE61" s="23">
        <f t="shared" si="2"/>
        <v>0</v>
      </c>
      <c r="BF61" s="167"/>
      <c r="BG61" s="163"/>
      <c r="BH61" s="163"/>
      <c r="BI61" s="163"/>
      <c r="BJ61" s="163"/>
      <c r="BK61" s="163"/>
      <c r="BL61" s="163"/>
      <c r="BM61" s="163"/>
      <c r="BN61" s="163"/>
      <c r="BO61" s="163"/>
      <c r="BP61" s="163"/>
      <c r="BQ61" s="163"/>
      <c r="BR61" s="163"/>
      <c r="BS61" s="163"/>
      <c r="BT61" s="163"/>
      <c r="BU61" s="163"/>
      <c r="BV61" s="162"/>
      <c r="BW61" s="21">
        <f t="shared" si="3"/>
        <v>0</v>
      </c>
      <c r="BX61" s="27"/>
    </row>
    <row r="62" spans="1:76" ht="11.55" customHeight="1" x14ac:dyDescent="0.3">
      <c r="A62" s="134"/>
      <c r="B62" s="148"/>
      <c r="C62" s="146"/>
      <c r="D62" s="157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1"/>
      <c r="U62" s="23">
        <f t="shared" si="0"/>
        <v>0</v>
      </c>
      <c r="V62" s="168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1"/>
      <c r="AM62" s="23">
        <f t="shared" si="1"/>
        <v>0</v>
      </c>
      <c r="AN62" s="168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1"/>
      <c r="BE62" s="23">
        <f t="shared" si="2"/>
        <v>0</v>
      </c>
      <c r="BF62" s="168"/>
      <c r="BG62" s="163"/>
      <c r="BH62" s="163"/>
      <c r="BI62" s="163"/>
      <c r="BJ62" s="163"/>
      <c r="BK62" s="163"/>
      <c r="BL62" s="163"/>
      <c r="BM62" s="163"/>
      <c r="BN62" s="163"/>
      <c r="BO62" s="163"/>
      <c r="BP62" s="163"/>
      <c r="BQ62" s="163"/>
      <c r="BR62" s="163"/>
      <c r="BS62" s="163"/>
      <c r="BT62" s="163"/>
      <c r="BU62" s="163"/>
      <c r="BV62" s="172"/>
      <c r="BW62" s="21">
        <f t="shared" si="3"/>
        <v>0</v>
      </c>
      <c r="BX62" s="27"/>
    </row>
    <row r="63" spans="1:76" ht="11.55" customHeight="1" x14ac:dyDescent="0.3">
      <c r="A63" s="118"/>
      <c r="B63" s="148"/>
      <c r="C63" s="131"/>
      <c r="D63" s="18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25"/>
      <c r="U63" s="23">
        <f t="shared" si="0"/>
        <v>0</v>
      </c>
      <c r="V63" s="166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25"/>
      <c r="AM63" s="23">
        <f t="shared" si="1"/>
        <v>0</v>
      </c>
      <c r="AN63" s="166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25"/>
      <c r="BE63" s="23">
        <f t="shared" si="2"/>
        <v>0</v>
      </c>
      <c r="BF63" s="166"/>
      <c r="BG63" s="163"/>
      <c r="BH63" s="163"/>
      <c r="BI63" s="163"/>
      <c r="BJ63" s="163"/>
      <c r="BK63" s="163"/>
      <c r="BL63" s="163"/>
      <c r="BM63" s="163"/>
      <c r="BN63" s="163"/>
      <c r="BO63" s="163"/>
      <c r="BP63" s="163"/>
      <c r="BQ63" s="163"/>
      <c r="BR63" s="163"/>
      <c r="BS63" s="163"/>
      <c r="BT63" s="163"/>
      <c r="BU63" s="163"/>
      <c r="BV63" s="171"/>
      <c r="BW63" s="21">
        <f t="shared" si="3"/>
        <v>0</v>
      </c>
      <c r="BX63" s="27"/>
    </row>
    <row r="64" spans="1:76" ht="11.55" customHeight="1" x14ac:dyDescent="0.3">
      <c r="A64" s="118"/>
      <c r="B64" s="148"/>
      <c r="C64" s="132"/>
      <c r="D64" s="18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25"/>
      <c r="U64" s="23">
        <f t="shared" si="0"/>
        <v>0</v>
      </c>
      <c r="V64" s="166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25"/>
      <c r="AM64" s="23">
        <f t="shared" si="1"/>
        <v>0</v>
      </c>
      <c r="AN64" s="166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25"/>
      <c r="BE64" s="23">
        <f t="shared" si="2"/>
        <v>0</v>
      </c>
      <c r="BF64" s="166"/>
      <c r="BG64" s="163"/>
      <c r="BH64" s="163"/>
      <c r="BI64" s="163"/>
      <c r="BJ64" s="163"/>
      <c r="BK64" s="163"/>
      <c r="BL64" s="163"/>
      <c r="BM64" s="163"/>
      <c r="BN64" s="163"/>
      <c r="BO64" s="163"/>
      <c r="BP64" s="163"/>
      <c r="BQ64" s="163"/>
      <c r="BR64" s="163"/>
      <c r="BS64" s="163"/>
      <c r="BT64" s="163"/>
      <c r="BU64" s="163"/>
      <c r="BV64" s="171"/>
      <c r="BW64" s="21">
        <f t="shared" si="3"/>
        <v>0</v>
      </c>
      <c r="BX64" s="27"/>
    </row>
    <row r="65" spans="1:76" ht="11.55" customHeight="1" x14ac:dyDescent="0.3">
      <c r="A65" s="118"/>
      <c r="B65" s="148"/>
      <c r="C65" s="132"/>
      <c r="D65" s="18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25"/>
      <c r="U65" s="23">
        <f t="shared" si="0"/>
        <v>0</v>
      </c>
      <c r="V65" s="166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25"/>
      <c r="AM65" s="23">
        <f t="shared" si="1"/>
        <v>0</v>
      </c>
      <c r="AN65" s="166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25"/>
      <c r="BE65" s="23">
        <f t="shared" si="2"/>
        <v>0</v>
      </c>
      <c r="BF65" s="166"/>
      <c r="BG65" s="163"/>
      <c r="BH65" s="163"/>
      <c r="BI65" s="163"/>
      <c r="BJ65" s="163"/>
      <c r="BK65" s="163"/>
      <c r="BL65" s="163"/>
      <c r="BM65" s="163"/>
      <c r="BN65" s="163"/>
      <c r="BO65" s="163"/>
      <c r="BP65" s="163"/>
      <c r="BQ65" s="163"/>
      <c r="BR65" s="163"/>
      <c r="BS65" s="163"/>
      <c r="BT65" s="163"/>
      <c r="BU65" s="163"/>
      <c r="BV65" s="171"/>
      <c r="BW65" s="21">
        <f t="shared" si="3"/>
        <v>0</v>
      </c>
      <c r="BX65" s="27"/>
    </row>
    <row r="66" spans="1:76" ht="11.55" customHeight="1" x14ac:dyDescent="0.3">
      <c r="A66" s="121"/>
      <c r="B66" s="148"/>
      <c r="C66" s="122"/>
      <c r="D66" s="157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2"/>
      <c r="U66" s="23">
        <f t="shared" si="0"/>
        <v>0</v>
      </c>
      <c r="V66" s="169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2"/>
      <c r="AM66" s="29">
        <f t="shared" si="1"/>
        <v>0</v>
      </c>
      <c r="AN66" s="169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2"/>
      <c r="BE66" s="29">
        <f t="shared" si="2"/>
        <v>0</v>
      </c>
      <c r="BF66" s="169"/>
      <c r="BG66" s="163"/>
      <c r="BH66" s="163"/>
      <c r="BI66" s="163"/>
      <c r="BJ66" s="163"/>
      <c r="BK66" s="163"/>
      <c r="BL66" s="163"/>
      <c r="BM66" s="163"/>
      <c r="BN66" s="163"/>
      <c r="BO66" s="163"/>
      <c r="BP66" s="163"/>
      <c r="BQ66" s="163"/>
      <c r="BR66" s="163"/>
      <c r="BS66" s="163"/>
      <c r="BT66" s="163"/>
      <c r="BU66" s="163"/>
      <c r="BV66" s="162"/>
      <c r="BW66" s="30">
        <f t="shared" si="3"/>
        <v>0</v>
      </c>
      <c r="BX66" s="27"/>
    </row>
    <row r="67" spans="1:76" ht="11.55" customHeight="1" x14ac:dyDescent="0.3">
      <c r="A67" s="135"/>
      <c r="B67" s="148"/>
      <c r="C67" s="153"/>
      <c r="D67" s="157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25"/>
      <c r="U67" s="23">
        <f t="shared" ref="U67:U76" si="4">SUM(E67:S67)</f>
        <v>0</v>
      </c>
      <c r="V67" s="166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25"/>
      <c r="AM67" s="23">
        <f t="shared" ref="AM67:AM76" si="5">SUM(W67:AK67)</f>
        <v>0</v>
      </c>
      <c r="AN67" s="166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25"/>
      <c r="BE67" s="23">
        <f t="shared" ref="BE67:BE76" si="6">SUM(AO67:BC67)</f>
        <v>0</v>
      </c>
      <c r="BF67" s="166"/>
      <c r="BG67" s="163"/>
      <c r="BH67" s="163"/>
      <c r="BI67" s="163"/>
      <c r="BJ67" s="163"/>
      <c r="BK67" s="163"/>
      <c r="BL67" s="163"/>
      <c r="BM67" s="163"/>
      <c r="BN67" s="163"/>
      <c r="BO67" s="163"/>
      <c r="BP67" s="163"/>
      <c r="BQ67" s="163"/>
      <c r="BR67" s="163"/>
      <c r="BS67" s="163"/>
      <c r="BT67" s="163"/>
      <c r="BU67" s="163"/>
      <c r="BV67" s="171"/>
      <c r="BW67" s="21">
        <f t="shared" ref="BW67:BW76" si="7">SUM(BG67:BU67)</f>
        <v>0</v>
      </c>
      <c r="BX67" s="27"/>
    </row>
    <row r="68" spans="1:76" ht="11.55" customHeight="1" x14ac:dyDescent="0.3">
      <c r="A68" s="142"/>
      <c r="B68" s="148"/>
      <c r="C68" s="146"/>
      <c r="D68" s="157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25"/>
      <c r="U68" s="23">
        <f t="shared" si="4"/>
        <v>0</v>
      </c>
      <c r="V68" s="166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25"/>
      <c r="AM68" s="23">
        <f t="shared" si="5"/>
        <v>0</v>
      </c>
      <c r="AN68" s="166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25"/>
      <c r="BE68" s="23">
        <f t="shared" si="6"/>
        <v>0</v>
      </c>
      <c r="BF68" s="166"/>
      <c r="BG68" s="163"/>
      <c r="BH68" s="163"/>
      <c r="BI68" s="163"/>
      <c r="BJ68" s="163"/>
      <c r="BK68" s="163"/>
      <c r="BL68" s="163"/>
      <c r="BM68" s="163"/>
      <c r="BN68" s="163"/>
      <c r="BO68" s="163"/>
      <c r="BP68" s="163"/>
      <c r="BQ68" s="163"/>
      <c r="BR68" s="163"/>
      <c r="BS68" s="163"/>
      <c r="BT68" s="163"/>
      <c r="BU68" s="163"/>
      <c r="BV68" s="171"/>
      <c r="BW68" s="21">
        <f t="shared" si="7"/>
        <v>0</v>
      </c>
      <c r="BX68" s="27"/>
    </row>
    <row r="69" spans="1:76" ht="11.55" customHeight="1" x14ac:dyDescent="0.3">
      <c r="A69" s="142"/>
      <c r="B69" s="148"/>
      <c r="C69" s="154"/>
      <c r="D69" s="157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25"/>
      <c r="U69" s="23">
        <f t="shared" si="4"/>
        <v>0</v>
      </c>
      <c r="V69" s="166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25"/>
      <c r="AM69" s="23">
        <f t="shared" si="5"/>
        <v>0</v>
      </c>
      <c r="AN69" s="166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25"/>
      <c r="BE69" s="23">
        <f t="shared" si="6"/>
        <v>0</v>
      </c>
      <c r="BF69" s="166"/>
      <c r="BG69" s="163"/>
      <c r="BH69" s="163"/>
      <c r="BI69" s="163"/>
      <c r="BJ69" s="163"/>
      <c r="BK69" s="163"/>
      <c r="BL69" s="163"/>
      <c r="BM69" s="163"/>
      <c r="BN69" s="163"/>
      <c r="BO69" s="163"/>
      <c r="BP69" s="163"/>
      <c r="BQ69" s="163"/>
      <c r="BR69" s="163"/>
      <c r="BS69" s="163"/>
      <c r="BT69" s="163"/>
      <c r="BU69" s="163"/>
      <c r="BV69" s="171"/>
      <c r="BW69" s="21">
        <f t="shared" si="7"/>
        <v>0</v>
      </c>
      <c r="BX69" s="27"/>
    </row>
    <row r="70" spans="1:76" ht="11.55" customHeight="1" x14ac:dyDescent="0.3">
      <c r="A70" s="142"/>
      <c r="B70" s="148"/>
      <c r="C70" s="155"/>
      <c r="D70" s="157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2"/>
      <c r="U70" s="23">
        <f t="shared" si="4"/>
        <v>0</v>
      </c>
      <c r="V70" s="169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2"/>
      <c r="AM70" s="29">
        <f t="shared" si="5"/>
        <v>0</v>
      </c>
      <c r="AN70" s="169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2"/>
      <c r="BE70" s="29">
        <f t="shared" si="6"/>
        <v>0</v>
      </c>
      <c r="BF70" s="169"/>
      <c r="BG70" s="163"/>
      <c r="BH70" s="163"/>
      <c r="BI70" s="163"/>
      <c r="BJ70" s="163"/>
      <c r="BK70" s="163"/>
      <c r="BL70" s="163"/>
      <c r="BM70" s="163"/>
      <c r="BN70" s="163"/>
      <c r="BO70" s="163"/>
      <c r="BP70" s="163"/>
      <c r="BQ70" s="163"/>
      <c r="BR70" s="163"/>
      <c r="BS70" s="163"/>
      <c r="BT70" s="163"/>
      <c r="BU70" s="163"/>
      <c r="BV70" s="162"/>
      <c r="BW70" s="30">
        <f t="shared" si="7"/>
        <v>0</v>
      </c>
      <c r="BX70" s="27"/>
    </row>
    <row r="71" spans="1:76" ht="11.55" customHeight="1" x14ac:dyDescent="0.3">
      <c r="A71" s="125"/>
      <c r="B71" s="148"/>
      <c r="C71" s="133"/>
      <c r="D71" s="18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25"/>
      <c r="U71" s="23">
        <f t="shared" si="4"/>
        <v>0</v>
      </c>
      <c r="V71" s="166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25"/>
      <c r="AM71" s="23">
        <f t="shared" si="5"/>
        <v>0</v>
      </c>
      <c r="AN71" s="166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25"/>
      <c r="BE71" s="23">
        <f t="shared" si="6"/>
        <v>0</v>
      </c>
      <c r="BF71" s="166"/>
      <c r="BG71" s="163"/>
      <c r="BH71" s="163"/>
      <c r="BI71" s="163"/>
      <c r="BJ71" s="163"/>
      <c r="BK71" s="163"/>
      <c r="BL71" s="163"/>
      <c r="BM71" s="163"/>
      <c r="BN71" s="163"/>
      <c r="BO71" s="163"/>
      <c r="BP71" s="163"/>
      <c r="BQ71" s="163"/>
      <c r="BR71" s="163"/>
      <c r="BS71" s="163"/>
      <c r="BT71" s="163"/>
      <c r="BU71" s="163"/>
      <c r="BV71" s="171"/>
      <c r="BW71" s="21">
        <f t="shared" si="7"/>
        <v>0</v>
      </c>
      <c r="BX71" s="27"/>
    </row>
    <row r="72" spans="1:76" ht="11.55" customHeight="1" x14ac:dyDescent="0.3">
      <c r="A72" s="136"/>
      <c r="B72" s="148"/>
      <c r="C72" s="146"/>
      <c r="D72" s="157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25"/>
      <c r="U72" s="23">
        <f t="shared" si="4"/>
        <v>0</v>
      </c>
      <c r="V72" s="166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25"/>
      <c r="AM72" s="23">
        <f t="shared" si="5"/>
        <v>0</v>
      </c>
      <c r="AN72" s="166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25"/>
      <c r="BE72" s="23">
        <f t="shared" si="6"/>
        <v>0</v>
      </c>
      <c r="BF72" s="166"/>
      <c r="BG72" s="163"/>
      <c r="BH72" s="163"/>
      <c r="BI72" s="163"/>
      <c r="BJ72" s="163"/>
      <c r="BK72" s="163"/>
      <c r="BL72" s="163"/>
      <c r="BM72" s="163"/>
      <c r="BN72" s="163"/>
      <c r="BO72" s="163"/>
      <c r="BP72" s="163"/>
      <c r="BQ72" s="163"/>
      <c r="BR72" s="163"/>
      <c r="BS72" s="163"/>
      <c r="BT72" s="163"/>
      <c r="BU72" s="163"/>
      <c r="BV72" s="171"/>
      <c r="BW72" s="21">
        <f t="shared" si="7"/>
        <v>0</v>
      </c>
      <c r="BX72" s="27"/>
    </row>
    <row r="73" spans="1:76" ht="11.55" customHeight="1" x14ac:dyDescent="0.3">
      <c r="A73" s="143"/>
      <c r="B73" s="148"/>
      <c r="C73" s="147"/>
      <c r="D73" s="18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25"/>
      <c r="U73" s="23">
        <f t="shared" si="4"/>
        <v>0</v>
      </c>
      <c r="V73" s="166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25"/>
      <c r="AM73" s="23">
        <f t="shared" si="5"/>
        <v>0</v>
      </c>
      <c r="AN73" s="166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25"/>
      <c r="BE73" s="23">
        <f t="shared" si="6"/>
        <v>0</v>
      </c>
      <c r="BF73" s="166"/>
      <c r="BG73" s="163"/>
      <c r="BH73" s="163"/>
      <c r="BI73" s="163"/>
      <c r="BJ73" s="163"/>
      <c r="BK73" s="163"/>
      <c r="BL73" s="163"/>
      <c r="BM73" s="163"/>
      <c r="BN73" s="163"/>
      <c r="BO73" s="163"/>
      <c r="BP73" s="163"/>
      <c r="BQ73" s="163"/>
      <c r="BR73" s="163"/>
      <c r="BS73" s="163"/>
      <c r="BT73" s="163"/>
      <c r="BU73" s="163"/>
      <c r="BV73" s="171"/>
      <c r="BW73" s="21">
        <f t="shared" si="7"/>
        <v>0</v>
      </c>
      <c r="BX73" s="27"/>
    </row>
    <row r="74" spans="1:76" ht="11.55" customHeight="1" x14ac:dyDescent="0.3">
      <c r="A74" s="144"/>
      <c r="B74" s="148"/>
      <c r="C74" s="141"/>
      <c r="D74" s="18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2"/>
      <c r="U74" s="23">
        <f t="shared" si="4"/>
        <v>0</v>
      </c>
      <c r="V74" s="169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2"/>
      <c r="AM74" s="29">
        <f t="shared" si="5"/>
        <v>0</v>
      </c>
      <c r="AN74" s="169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2"/>
      <c r="BE74" s="29">
        <f t="shared" si="6"/>
        <v>0</v>
      </c>
      <c r="BF74" s="169"/>
      <c r="BG74" s="163"/>
      <c r="BH74" s="163"/>
      <c r="BI74" s="163"/>
      <c r="BJ74" s="163"/>
      <c r="BK74" s="163"/>
      <c r="BL74" s="163"/>
      <c r="BM74" s="163"/>
      <c r="BN74" s="163"/>
      <c r="BO74" s="163"/>
      <c r="BP74" s="163"/>
      <c r="BQ74" s="163"/>
      <c r="BR74" s="163"/>
      <c r="BS74" s="163"/>
      <c r="BT74" s="163"/>
      <c r="BU74" s="163"/>
      <c r="BV74" s="162"/>
      <c r="BW74" s="30">
        <f t="shared" si="7"/>
        <v>0</v>
      </c>
      <c r="BX74" s="27"/>
    </row>
    <row r="75" spans="1:76" ht="11.55" customHeight="1" x14ac:dyDescent="0.3">
      <c r="A75" s="145"/>
      <c r="B75" s="148"/>
      <c r="C75" s="147"/>
      <c r="D75" s="18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25"/>
      <c r="U75" s="23">
        <f t="shared" si="4"/>
        <v>0</v>
      </c>
      <c r="V75" s="166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25"/>
      <c r="AM75" s="23">
        <f t="shared" si="5"/>
        <v>0</v>
      </c>
      <c r="AN75" s="166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25"/>
      <c r="BE75" s="23">
        <f t="shared" si="6"/>
        <v>0</v>
      </c>
      <c r="BF75" s="166"/>
      <c r="BG75" s="163"/>
      <c r="BH75" s="163"/>
      <c r="BI75" s="163"/>
      <c r="BJ75" s="163"/>
      <c r="BK75" s="163"/>
      <c r="BL75" s="163"/>
      <c r="BM75" s="163"/>
      <c r="BN75" s="163"/>
      <c r="BO75" s="163"/>
      <c r="BP75" s="163"/>
      <c r="BQ75" s="163"/>
      <c r="BR75" s="163"/>
      <c r="BS75" s="163"/>
      <c r="BT75" s="163"/>
      <c r="BU75" s="163"/>
      <c r="BV75" s="171"/>
      <c r="BW75" s="21">
        <f t="shared" si="7"/>
        <v>0</v>
      </c>
      <c r="BX75" s="27"/>
    </row>
    <row r="76" spans="1:76" ht="11.55" customHeight="1" x14ac:dyDescent="0.3">
      <c r="A76" s="139"/>
      <c r="B76" s="148"/>
      <c r="C76" s="140"/>
      <c r="D76" s="157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25"/>
      <c r="U76" s="23">
        <f t="shared" si="4"/>
        <v>0</v>
      </c>
      <c r="V76" s="166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25"/>
      <c r="AM76" s="23">
        <f t="shared" si="5"/>
        <v>0</v>
      </c>
      <c r="AN76" s="166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25"/>
      <c r="BE76" s="23">
        <f t="shared" si="6"/>
        <v>0</v>
      </c>
      <c r="BF76" s="166"/>
      <c r="BG76" s="163"/>
      <c r="BH76" s="163"/>
      <c r="BI76" s="163"/>
      <c r="BJ76" s="163"/>
      <c r="BK76" s="163"/>
      <c r="BL76" s="163"/>
      <c r="BM76" s="163"/>
      <c r="BN76" s="163"/>
      <c r="BO76" s="163"/>
      <c r="BP76" s="163"/>
      <c r="BQ76" s="163"/>
      <c r="BR76" s="163"/>
      <c r="BS76" s="163"/>
      <c r="BT76" s="163"/>
      <c r="BU76" s="163"/>
      <c r="BV76" s="171"/>
      <c r="BW76" s="21">
        <f t="shared" si="7"/>
        <v>0</v>
      </c>
      <c r="BX76" s="27"/>
    </row>
    <row r="77" spans="1:76" ht="10.5" customHeight="1" x14ac:dyDescent="0.3">
      <c r="A77" s="31"/>
      <c r="B77" s="31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</row>
    <row r="78" spans="1:76" ht="10.5" customHeight="1" x14ac:dyDescent="0.3">
      <c r="A78" s="31"/>
      <c r="B78" s="31"/>
      <c r="C78" s="32"/>
      <c r="D78" s="5"/>
      <c r="E78" s="5">
        <f t="shared" ref="E78:S78" si="8">COUNTIFS($B7:$B76,"M",E7:E76,1)</f>
        <v>0</v>
      </c>
      <c r="F78" s="5">
        <f t="shared" si="8"/>
        <v>0</v>
      </c>
      <c r="G78" s="5">
        <f t="shared" si="8"/>
        <v>0</v>
      </c>
      <c r="H78" s="5">
        <f t="shared" si="8"/>
        <v>0</v>
      </c>
      <c r="I78" s="5">
        <f t="shared" si="8"/>
        <v>0</v>
      </c>
      <c r="J78" s="5">
        <f t="shared" si="8"/>
        <v>0</v>
      </c>
      <c r="K78" s="5">
        <f t="shared" si="8"/>
        <v>0</v>
      </c>
      <c r="L78" s="5">
        <f t="shared" si="8"/>
        <v>0</v>
      </c>
      <c r="M78" s="5">
        <f t="shared" si="8"/>
        <v>0</v>
      </c>
      <c r="N78" s="5">
        <f t="shared" si="8"/>
        <v>0</v>
      </c>
      <c r="O78" s="5">
        <f t="shared" si="8"/>
        <v>0</v>
      </c>
      <c r="P78" s="5">
        <f t="shared" si="8"/>
        <v>0</v>
      </c>
      <c r="Q78" s="5">
        <f t="shared" si="8"/>
        <v>0</v>
      </c>
      <c r="R78" s="5">
        <f t="shared" si="8"/>
        <v>0</v>
      </c>
      <c r="S78" s="5">
        <f t="shared" si="8"/>
        <v>0</v>
      </c>
      <c r="T78" s="5"/>
      <c r="U78" s="5"/>
      <c r="V78" s="5"/>
      <c r="W78" s="5">
        <f t="shared" ref="W78:AK78" si="9">COUNTIFS($B7:$B76,"M",W7:W76,1)</f>
        <v>0</v>
      </c>
      <c r="X78" s="5">
        <f t="shared" si="9"/>
        <v>0</v>
      </c>
      <c r="Y78" s="5">
        <f t="shared" si="9"/>
        <v>0</v>
      </c>
      <c r="Z78" s="5">
        <f t="shared" si="9"/>
        <v>0</v>
      </c>
      <c r="AA78" s="5">
        <f t="shared" si="9"/>
        <v>0</v>
      </c>
      <c r="AB78" s="5">
        <f t="shared" si="9"/>
        <v>0</v>
      </c>
      <c r="AC78" s="5">
        <f t="shared" si="9"/>
        <v>0</v>
      </c>
      <c r="AD78" s="5">
        <f t="shared" si="9"/>
        <v>0</v>
      </c>
      <c r="AE78" s="5">
        <f t="shared" si="9"/>
        <v>0</v>
      </c>
      <c r="AF78" s="5">
        <f t="shared" si="9"/>
        <v>0</v>
      </c>
      <c r="AG78" s="5">
        <f t="shared" si="9"/>
        <v>0</v>
      </c>
      <c r="AH78" s="5">
        <f t="shared" si="9"/>
        <v>0</v>
      </c>
      <c r="AI78" s="5">
        <f t="shared" si="9"/>
        <v>0</v>
      </c>
      <c r="AJ78" s="5">
        <f t="shared" si="9"/>
        <v>0</v>
      </c>
      <c r="AK78" s="5">
        <f t="shared" si="9"/>
        <v>0</v>
      </c>
      <c r="AL78" s="5"/>
      <c r="AM78" s="5"/>
      <c r="AN78" s="5"/>
      <c r="AO78" s="5">
        <f t="shared" ref="AO78:BC78" si="10">COUNTIFS($B7:$B76,"M",AO7:AO76,1)</f>
        <v>0</v>
      </c>
      <c r="AP78" s="5">
        <f t="shared" si="10"/>
        <v>0</v>
      </c>
      <c r="AQ78" s="5">
        <f t="shared" si="10"/>
        <v>0</v>
      </c>
      <c r="AR78" s="5">
        <f t="shared" si="10"/>
        <v>0</v>
      </c>
      <c r="AS78" s="5">
        <f t="shared" si="10"/>
        <v>0</v>
      </c>
      <c r="AT78" s="5">
        <f t="shared" si="10"/>
        <v>0</v>
      </c>
      <c r="AU78" s="5">
        <f t="shared" si="10"/>
        <v>0</v>
      </c>
      <c r="AV78" s="5">
        <f t="shared" si="10"/>
        <v>0</v>
      </c>
      <c r="AW78" s="5">
        <f t="shared" si="10"/>
        <v>0</v>
      </c>
      <c r="AX78" s="5">
        <f t="shared" si="10"/>
        <v>0</v>
      </c>
      <c r="AY78" s="5">
        <f t="shared" si="10"/>
        <v>0</v>
      </c>
      <c r="AZ78" s="5">
        <f t="shared" si="10"/>
        <v>0</v>
      </c>
      <c r="BA78" s="5">
        <f t="shared" si="10"/>
        <v>0</v>
      </c>
      <c r="BB78" s="5">
        <f t="shared" si="10"/>
        <v>0</v>
      </c>
      <c r="BC78" s="5">
        <f t="shared" si="10"/>
        <v>0</v>
      </c>
      <c r="BD78" s="5"/>
      <c r="BE78" s="5"/>
      <c r="BF78" s="5"/>
      <c r="BG78" s="5">
        <f t="shared" ref="BG78:BT78" si="11">COUNTIFS($B7:$B76,"M",BG7:BG76,1)</f>
        <v>0</v>
      </c>
      <c r="BH78" s="5">
        <f t="shared" si="11"/>
        <v>0</v>
      </c>
      <c r="BI78" s="5">
        <f t="shared" si="11"/>
        <v>0</v>
      </c>
      <c r="BJ78" s="5">
        <f t="shared" si="11"/>
        <v>0</v>
      </c>
      <c r="BK78" s="5">
        <f t="shared" si="11"/>
        <v>0</v>
      </c>
      <c r="BL78" s="5">
        <f t="shared" si="11"/>
        <v>0</v>
      </c>
      <c r="BM78" s="5">
        <f t="shared" si="11"/>
        <v>0</v>
      </c>
      <c r="BN78" s="5">
        <f t="shared" si="11"/>
        <v>0</v>
      </c>
      <c r="BO78" s="5">
        <f t="shared" si="11"/>
        <v>0</v>
      </c>
      <c r="BP78" s="5">
        <f t="shared" si="11"/>
        <v>0</v>
      </c>
      <c r="BQ78" s="5">
        <f t="shared" si="11"/>
        <v>0</v>
      </c>
      <c r="BR78" s="5">
        <f t="shared" si="11"/>
        <v>0</v>
      </c>
      <c r="BS78" s="5">
        <f t="shared" si="11"/>
        <v>0</v>
      </c>
      <c r="BT78" s="5">
        <f t="shared" si="11"/>
        <v>0</v>
      </c>
      <c r="BU78" s="5">
        <f t="shared" ref="BU78" si="12">COUNTIFS($B7:$B66,"M",BU7:BU66,1)</f>
        <v>0</v>
      </c>
      <c r="BV78" s="5"/>
      <c r="BW78" s="5"/>
      <c r="BX78" s="5"/>
    </row>
    <row r="79" spans="1:76" ht="10.5" customHeight="1" x14ac:dyDescent="0.3">
      <c r="A79" s="31"/>
      <c r="B79" s="31"/>
      <c r="C79" s="32"/>
      <c r="D79" s="5"/>
      <c r="E79" s="5">
        <f t="shared" ref="E79:S79" si="13">COUNTIFS($B7:$B76,"F",E7:E76,1)</f>
        <v>0</v>
      </c>
      <c r="F79" s="5">
        <f t="shared" si="13"/>
        <v>0</v>
      </c>
      <c r="G79" s="5">
        <f t="shared" si="13"/>
        <v>0</v>
      </c>
      <c r="H79" s="5">
        <f t="shared" si="13"/>
        <v>0</v>
      </c>
      <c r="I79" s="5">
        <f t="shared" si="13"/>
        <v>0</v>
      </c>
      <c r="J79" s="5">
        <f t="shared" si="13"/>
        <v>0</v>
      </c>
      <c r="K79" s="5">
        <f t="shared" si="13"/>
        <v>0</v>
      </c>
      <c r="L79" s="5">
        <f t="shared" si="13"/>
        <v>0</v>
      </c>
      <c r="M79" s="5">
        <f t="shared" si="13"/>
        <v>0</v>
      </c>
      <c r="N79" s="5">
        <f t="shared" si="13"/>
        <v>0</v>
      </c>
      <c r="O79" s="5">
        <f t="shared" si="13"/>
        <v>0</v>
      </c>
      <c r="P79" s="5">
        <f t="shared" si="13"/>
        <v>0</v>
      </c>
      <c r="Q79" s="5">
        <f t="shared" si="13"/>
        <v>0</v>
      </c>
      <c r="R79" s="5">
        <f t="shared" si="13"/>
        <v>0</v>
      </c>
      <c r="S79" s="5">
        <f t="shared" si="13"/>
        <v>0</v>
      </c>
      <c r="T79" s="5"/>
      <c r="U79" s="5"/>
      <c r="V79" s="5"/>
      <c r="W79" s="5">
        <f t="shared" ref="W79:AK79" si="14">COUNTIFS($B7:$B76,"F",W7:W76,1)</f>
        <v>0</v>
      </c>
      <c r="X79" s="5">
        <f t="shared" si="14"/>
        <v>0</v>
      </c>
      <c r="Y79" s="5">
        <f t="shared" si="14"/>
        <v>0</v>
      </c>
      <c r="Z79" s="5">
        <f t="shared" si="14"/>
        <v>0</v>
      </c>
      <c r="AA79" s="5">
        <f t="shared" si="14"/>
        <v>0</v>
      </c>
      <c r="AB79" s="5">
        <f t="shared" si="14"/>
        <v>0</v>
      </c>
      <c r="AC79" s="5">
        <f t="shared" si="14"/>
        <v>0</v>
      </c>
      <c r="AD79" s="5">
        <f t="shared" si="14"/>
        <v>0</v>
      </c>
      <c r="AE79" s="5">
        <f t="shared" si="14"/>
        <v>0</v>
      </c>
      <c r="AF79" s="5">
        <f t="shared" si="14"/>
        <v>0</v>
      </c>
      <c r="AG79" s="5">
        <f t="shared" si="14"/>
        <v>0</v>
      </c>
      <c r="AH79" s="5">
        <f t="shared" si="14"/>
        <v>0</v>
      </c>
      <c r="AI79" s="5">
        <f t="shared" si="14"/>
        <v>0</v>
      </c>
      <c r="AJ79" s="5">
        <f t="shared" si="14"/>
        <v>0</v>
      </c>
      <c r="AK79" s="5">
        <f t="shared" si="14"/>
        <v>0</v>
      </c>
      <c r="AL79" s="5"/>
      <c r="AM79" s="5"/>
      <c r="AN79" s="5"/>
      <c r="AO79" s="5">
        <f t="shared" ref="AO79:BC79" si="15">COUNTIFS($B7:$B76,"F",AO7:AO76,1)</f>
        <v>0</v>
      </c>
      <c r="AP79" s="5">
        <f t="shared" si="15"/>
        <v>0</v>
      </c>
      <c r="AQ79" s="5">
        <f t="shared" si="15"/>
        <v>0</v>
      </c>
      <c r="AR79" s="5">
        <f t="shared" si="15"/>
        <v>0</v>
      </c>
      <c r="AS79" s="5">
        <f t="shared" si="15"/>
        <v>0</v>
      </c>
      <c r="AT79" s="5">
        <f t="shared" si="15"/>
        <v>0</v>
      </c>
      <c r="AU79" s="5">
        <f t="shared" si="15"/>
        <v>0</v>
      </c>
      <c r="AV79" s="5">
        <f t="shared" si="15"/>
        <v>0</v>
      </c>
      <c r="AW79" s="5">
        <f t="shared" si="15"/>
        <v>0</v>
      </c>
      <c r="AX79" s="5">
        <f t="shared" si="15"/>
        <v>0</v>
      </c>
      <c r="AY79" s="5">
        <f t="shared" si="15"/>
        <v>0</v>
      </c>
      <c r="AZ79" s="5">
        <f t="shared" si="15"/>
        <v>0</v>
      </c>
      <c r="BA79" s="5">
        <f t="shared" si="15"/>
        <v>0</v>
      </c>
      <c r="BB79" s="5">
        <f t="shared" si="15"/>
        <v>0</v>
      </c>
      <c r="BC79" s="5">
        <f t="shared" si="15"/>
        <v>0</v>
      </c>
      <c r="BD79" s="5"/>
      <c r="BE79" s="5"/>
      <c r="BF79" s="5"/>
      <c r="BG79" s="5">
        <f t="shared" ref="BG79:BU79" si="16">COUNTIFS($B7:$B76,"F",BG7:BG76,1)</f>
        <v>0</v>
      </c>
      <c r="BH79" s="5">
        <f t="shared" si="16"/>
        <v>0</v>
      </c>
      <c r="BI79" s="5">
        <f t="shared" si="16"/>
        <v>0</v>
      </c>
      <c r="BJ79" s="5">
        <f t="shared" si="16"/>
        <v>0</v>
      </c>
      <c r="BK79" s="5">
        <f t="shared" si="16"/>
        <v>0</v>
      </c>
      <c r="BL79" s="5">
        <f t="shared" si="16"/>
        <v>0</v>
      </c>
      <c r="BM79" s="5">
        <f t="shared" si="16"/>
        <v>0</v>
      </c>
      <c r="BN79" s="5">
        <f t="shared" si="16"/>
        <v>0</v>
      </c>
      <c r="BO79" s="5">
        <f t="shared" si="16"/>
        <v>0</v>
      </c>
      <c r="BP79" s="5">
        <f t="shared" si="16"/>
        <v>0</v>
      </c>
      <c r="BQ79" s="5">
        <f t="shared" si="16"/>
        <v>0</v>
      </c>
      <c r="BR79" s="5">
        <f t="shared" si="16"/>
        <v>0</v>
      </c>
      <c r="BS79" s="5">
        <f t="shared" si="16"/>
        <v>0</v>
      </c>
      <c r="BT79" s="5">
        <f t="shared" si="16"/>
        <v>0</v>
      </c>
      <c r="BU79" s="5">
        <f t="shared" si="16"/>
        <v>0</v>
      </c>
      <c r="BV79" s="5"/>
      <c r="BW79" s="5"/>
      <c r="BX79" s="5"/>
    </row>
    <row r="80" spans="1:76" ht="10.5" customHeight="1" x14ac:dyDescent="0.3">
      <c r="A80" s="31"/>
      <c r="B80" s="31"/>
      <c r="C80" s="32"/>
      <c r="D80" s="5"/>
      <c r="E80" s="5">
        <f>E78+E79</f>
        <v>0</v>
      </c>
      <c r="F80" s="5">
        <f>F78+F79</f>
        <v>0</v>
      </c>
      <c r="G80" s="5">
        <f t="shared" ref="G80:S80" si="17">G78+G79</f>
        <v>0</v>
      </c>
      <c r="H80" s="5">
        <f t="shared" si="17"/>
        <v>0</v>
      </c>
      <c r="I80" s="5">
        <f t="shared" si="17"/>
        <v>0</v>
      </c>
      <c r="J80" s="5">
        <f t="shared" si="17"/>
        <v>0</v>
      </c>
      <c r="K80" s="5">
        <f t="shared" si="17"/>
        <v>0</v>
      </c>
      <c r="L80" s="5">
        <f t="shared" si="17"/>
        <v>0</v>
      </c>
      <c r="M80" s="5">
        <f t="shared" si="17"/>
        <v>0</v>
      </c>
      <c r="N80" s="5">
        <f t="shared" si="17"/>
        <v>0</v>
      </c>
      <c r="O80" s="5">
        <f t="shared" si="17"/>
        <v>0</v>
      </c>
      <c r="P80" s="5">
        <f t="shared" si="17"/>
        <v>0</v>
      </c>
      <c r="Q80" s="5">
        <f t="shared" si="17"/>
        <v>0</v>
      </c>
      <c r="R80" s="5">
        <f t="shared" si="17"/>
        <v>0</v>
      </c>
      <c r="S80" s="5">
        <f t="shared" si="17"/>
        <v>0</v>
      </c>
      <c r="T80" s="5"/>
      <c r="U80" s="5"/>
      <c r="V80" s="5"/>
      <c r="W80" s="5">
        <f t="shared" ref="W80:AK80" si="18">W78+W79</f>
        <v>0</v>
      </c>
      <c r="X80" s="5">
        <f t="shared" si="18"/>
        <v>0</v>
      </c>
      <c r="Y80" s="5">
        <f t="shared" si="18"/>
        <v>0</v>
      </c>
      <c r="Z80" s="5">
        <f t="shared" si="18"/>
        <v>0</v>
      </c>
      <c r="AA80" s="5">
        <f t="shared" si="18"/>
        <v>0</v>
      </c>
      <c r="AB80" s="5">
        <f t="shared" si="18"/>
        <v>0</v>
      </c>
      <c r="AC80" s="5">
        <f t="shared" si="18"/>
        <v>0</v>
      </c>
      <c r="AD80" s="5">
        <f t="shared" si="18"/>
        <v>0</v>
      </c>
      <c r="AE80" s="5">
        <f t="shared" si="18"/>
        <v>0</v>
      </c>
      <c r="AF80" s="5">
        <f t="shared" si="18"/>
        <v>0</v>
      </c>
      <c r="AG80" s="5">
        <f t="shared" si="18"/>
        <v>0</v>
      </c>
      <c r="AH80" s="5">
        <f t="shared" si="18"/>
        <v>0</v>
      </c>
      <c r="AI80" s="5">
        <f t="shared" si="18"/>
        <v>0</v>
      </c>
      <c r="AJ80" s="5">
        <f t="shared" si="18"/>
        <v>0</v>
      </c>
      <c r="AK80" s="5">
        <f t="shared" si="18"/>
        <v>0</v>
      </c>
      <c r="AL80" s="5"/>
      <c r="AM80" s="5"/>
      <c r="AN80" s="5"/>
      <c r="AO80" s="5">
        <f t="shared" ref="AO80:BC80" si="19">AO78+AO79</f>
        <v>0</v>
      </c>
      <c r="AP80" s="5">
        <f t="shared" si="19"/>
        <v>0</v>
      </c>
      <c r="AQ80" s="5">
        <f t="shared" si="19"/>
        <v>0</v>
      </c>
      <c r="AR80" s="5">
        <f t="shared" si="19"/>
        <v>0</v>
      </c>
      <c r="AS80" s="5">
        <f t="shared" si="19"/>
        <v>0</v>
      </c>
      <c r="AT80" s="5">
        <f t="shared" si="19"/>
        <v>0</v>
      </c>
      <c r="AU80" s="5">
        <f t="shared" si="19"/>
        <v>0</v>
      </c>
      <c r="AV80" s="5">
        <f t="shared" si="19"/>
        <v>0</v>
      </c>
      <c r="AW80" s="5">
        <f t="shared" si="19"/>
        <v>0</v>
      </c>
      <c r="AX80" s="5">
        <f t="shared" si="19"/>
        <v>0</v>
      </c>
      <c r="AY80" s="5">
        <f t="shared" si="19"/>
        <v>0</v>
      </c>
      <c r="AZ80" s="5">
        <f t="shared" si="19"/>
        <v>0</v>
      </c>
      <c r="BA80" s="5">
        <f t="shared" si="19"/>
        <v>0</v>
      </c>
      <c r="BB80" s="5">
        <f t="shared" si="19"/>
        <v>0</v>
      </c>
      <c r="BC80" s="5">
        <f t="shared" si="19"/>
        <v>0</v>
      </c>
      <c r="BD80" s="5"/>
      <c r="BE80" s="5"/>
      <c r="BF80" s="5"/>
      <c r="BG80" s="5">
        <f t="shared" ref="BG80:BU80" si="20">BG78+BG79</f>
        <v>0</v>
      </c>
      <c r="BH80" s="5">
        <f t="shared" si="20"/>
        <v>0</v>
      </c>
      <c r="BI80" s="5">
        <f t="shared" si="20"/>
        <v>0</v>
      </c>
      <c r="BJ80" s="5">
        <f t="shared" si="20"/>
        <v>0</v>
      </c>
      <c r="BK80" s="5">
        <f t="shared" si="20"/>
        <v>0</v>
      </c>
      <c r="BL80" s="5">
        <f t="shared" si="20"/>
        <v>0</v>
      </c>
      <c r="BM80" s="5">
        <f t="shared" si="20"/>
        <v>0</v>
      </c>
      <c r="BN80" s="5">
        <f t="shared" si="20"/>
        <v>0</v>
      </c>
      <c r="BO80" s="5">
        <f t="shared" si="20"/>
        <v>0</v>
      </c>
      <c r="BP80" s="5">
        <f t="shared" si="20"/>
        <v>0</v>
      </c>
      <c r="BQ80" s="5">
        <f t="shared" si="20"/>
        <v>0</v>
      </c>
      <c r="BR80" s="5">
        <f t="shared" si="20"/>
        <v>0</v>
      </c>
      <c r="BS80" s="5">
        <f t="shared" si="20"/>
        <v>0</v>
      </c>
      <c r="BT80" s="5">
        <f t="shared" si="20"/>
        <v>0</v>
      </c>
      <c r="BU80" s="5">
        <f t="shared" si="20"/>
        <v>0</v>
      </c>
      <c r="BV80" s="5"/>
      <c r="BW80" s="5"/>
      <c r="BX80" s="5"/>
    </row>
    <row r="81" spans="1:76" ht="10.5" customHeight="1" x14ac:dyDescent="0.3">
      <c r="A81" s="31"/>
      <c r="B81" s="31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</row>
    <row r="82" spans="1:76" ht="10.5" customHeight="1" x14ac:dyDescent="0.3">
      <c r="A82" s="31"/>
      <c r="B82" s="31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</row>
    <row r="83" spans="1:76" ht="10.5" customHeight="1" x14ac:dyDescent="0.3">
      <c r="A83" s="31"/>
      <c r="B83" s="31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</row>
    <row r="84" spans="1:76" ht="10.5" customHeight="1" x14ac:dyDescent="0.3">
      <c r="A84" s="31"/>
      <c r="B84" s="31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</row>
    <row r="85" spans="1:76" ht="10.5" customHeight="1" x14ac:dyDescent="0.3">
      <c r="A85" s="31"/>
      <c r="B85" s="31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</row>
    <row r="86" spans="1:76" ht="10.5" customHeight="1" x14ac:dyDescent="0.3">
      <c r="A86" s="31"/>
      <c r="B86" s="31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</row>
    <row r="87" spans="1:76" ht="10.5" customHeight="1" x14ac:dyDescent="0.3">
      <c r="A87" s="31"/>
      <c r="B87" s="31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</row>
    <row r="88" spans="1:76" ht="10.5" customHeight="1" x14ac:dyDescent="0.3">
      <c r="A88" s="31"/>
      <c r="B88" s="31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</row>
    <row r="89" spans="1:76" ht="10.5" customHeight="1" x14ac:dyDescent="0.3">
      <c r="A89" s="31"/>
      <c r="B89" s="31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</row>
    <row r="90" spans="1:76" ht="10.5" customHeight="1" x14ac:dyDescent="0.3">
      <c r="A90" s="31"/>
      <c r="B90" s="31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</row>
    <row r="91" spans="1:76" ht="10.5" customHeight="1" x14ac:dyDescent="0.3">
      <c r="A91" s="31"/>
      <c r="B91" s="31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</row>
    <row r="92" spans="1:76" ht="10.5" customHeight="1" x14ac:dyDescent="0.3">
      <c r="A92" s="31"/>
      <c r="B92" s="31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</row>
    <row r="93" spans="1:76" ht="10.5" customHeight="1" x14ac:dyDescent="0.3">
      <c r="A93" s="31"/>
      <c r="B93" s="31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</row>
    <row r="94" spans="1:76" ht="10.5" customHeight="1" x14ac:dyDescent="0.3">
      <c r="A94" s="31"/>
      <c r="B94" s="31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</row>
    <row r="95" spans="1:76" ht="10.5" customHeight="1" x14ac:dyDescent="0.3">
      <c r="A95" s="31"/>
      <c r="B95" s="31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</row>
    <row r="96" spans="1:76" ht="10.5" customHeight="1" x14ac:dyDescent="0.3">
      <c r="A96" s="31"/>
      <c r="B96" s="31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</row>
    <row r="97" spans="1:76" ht="10.5" customHeight="1" x14ac:dyDescent="0.3">
      <c r="A97" s="31"/>
      <c r="B97" s="31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</row>
    <row r="98" spans="1:76" ht="10.5" customHeight="1" x14ac:dyDescent="0.3">
      <c r="A98" s="31"/>
      <c r="B98" s="31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</row>
    <row r="99" spans="1:76" ht="10.5" customHeight="1" x14ac:dyDescent="0.3">
      <c r="A99" s="31"/>
      <c r="B99" s="31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</row>
    <row r="100" spans="1:76" ht="10.5" customHeight="1" x14ac:dyDescent="0.3">
      <c r="A100" s="31"/>
      <c r="B100" s="31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</row>
    <row r="101" spans="1:76" ht="10.5" customHeight="1" x14ac:dyDescent="0.3">
      <c r="A101" s="31"/>
      <c r="B101" s="31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</row>
    <row r="102" spans="1:76" ht="10.5" customHeight="1" x14ac:dyDescent="0.3">
      <c r="A102" s="31"/>
      <c r="B102" s="31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</row>
    <row r="103" spans="1:76" ht="10.5" customHeight="1" x14ac:dyDescent="0.3">
      <c r="A103" s="31"/>
      <c r="B103" s="31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</row>
    <row r="104" spans="1:76" ht="10.5" customHeight="1" x14ac:dyDescent="0.3">
      <c r="A104" s="31"/>
      <c r="B104" s="31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</row>
    <row r="105" spans="1:76" ht="10.5" customHeight="1" x14ac:dyDescent="0.3">
      <c r="A105" s="31"/>
      <c r="B105" s="31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</row>
    <row r="106" spans="1:76" ht="10.5" customHeight="1" x14ac:dyDescent="0.3">
      <c r="A106" s="31"/>
      <c r="B106" s="31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</row>
    <row r="107" spans="1:76" ht="10.5" customHeight="1" x14ac:dyDescent="0.3">
      <c r="A107" s="31"/>
      <c r="B107" s="31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</row>
    <row r="108" spans="1:76" ht="10.5" customHeight="1" x14ac:dyDescent="0.3">
      <c r="A108" s="31"/>
      <c r="B108" s="31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</row>
    <row r="109" spans="1:76" ht="10.5" customHeight="1" x14ac:dyDescent="0.3">
      <c r="A109" s="31"/>
      <c r="B109" s="31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</row>
    <row r="110" spans="1:76" ht="10.5" customHeight="1" x14ac:dyDescent="0.3">
      <c r="A110" s="31"/>
      <c r="B110" s="31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</row>
    <row r="111" spans="1:76" ht="10.5" customHeight="1" x14ac:dyDescent="0.3">
      <c r="A111" s="31"/>
      <c r="B111" s="31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</row>
    <row r="112" spans="1:76" ht="10.5" customHeight="1" x14ac:dyDescent="0.3">
      <c r="A112" s="31"/>
      <c r="B112" s="31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</row>
    <row r="113" spans="1:76" ht="10.5" customHeight="1" x14ac:dyDescent="0.3">
      <c r="A113" s="31"/>
      <c r="B113" s="31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</row>
    <row r="114" spans="1:76" ht="10.5" customHeight="1" x14ac:dyDescent="0.3">
      <c r="A114" s="31"/>
      <c r="B114" s="31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</row>
    <row r="115" spans="1:76" ht="10.5" customHeight="1" x14ac:dyDescent="0.3">
      <c r="A115" s="31"/>
      <c r="B115" s="31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</row>
    <row r="116" spans="1:76" ht="10.5" customHeight="1" x14ac:dyDescent="0.3">
      <c r="A116" s="31"/>
      <c r="B116" s="31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</row>
    <row r="117" spans="1:76" ht="10.5" customHeight="1" x14ac:dyDescent="0.3">
      <c r="A117" s="31"/>
      <c r="B117" s="31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</row>
    <row r="118" spans="1:76" ht="10.5" customHeight="1" x14ac:dyDescent="0.3">
      <c r="A118" s="31"/>
      <c r="B118" s="31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</row>
    <row r="119" spans="1:76" ht="10.5" customHeight="1" x14ac:dyDescent="0.3">
      <c r="A119" s="31"/>
      <c r="B119" s="31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</row>
    <row r="120" spans="1:76" ht="10.5" customHeight="1" x14ac:dyDescent="0.3">
      <c r="A120" s="31"/>
      <c r="B120" s="31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</row>
    <row r="121" spans="1:76" ht="10.5" customHeight="1" x14ac:dyDescent="0.3">
      <c r="A121" s="31"/>
      <c r="B121" s="31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</row>
    <row r="122" spans="1:76" ht="10.5" customHeight="1" x14ac:dyDescent="0.3">
      <c r="A122" s="31"/>
      <c r="B122" s="31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</row>
    <row r="123" spans="1:76" ht="10.5" customHeight="1" x14ac:dyDescent="0.3">
      <c r="A123" s="31"/>
      <c r="B123" s="31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</row>
    <row r="124" spans="1:76" ht="10.5" customHeight="1" x14ac:dyDescent="0.3">
      <c r="A124" s="31"/>
      <c r="B124" s="31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</row>
    <row r="125" spans="1:76" ht="10.5" customHeight="1" x14ac:dyDescent="0.3">
      <c r="A125" s="31"/>
      <c r="B125" s="31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</row>
    <row r="126" spans="1:76" ht="10.5" customHeight="1" x14ac:dyDescent="0.3">
      <c r="A126" s="31"/>
      <c r="B126" s="31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</row>
    <row r="127" spans="1:76" ht="10.5" customHeight="1" x14ac:dyDescent="0.3">
      <c r="A127" s="31"/>
      <c r="B127" s="31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</row>
    <row r="128" spans="1:76" ht="10.5" customHeight="1" x14ac:dyDescent="0.3">
      <c r="A128" s="31"/>
      <c r="B128" s="31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</row>
    <row r="129" spans="1:76" ht="10.5" customHeight="1" x14ac:dyDescent="0.3">
      <c r="A129" s="31"/>
      <c r="B129" s="31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</row>
    <row r="130" spans="1:76" ht="10.5" customHeight="1" x14ac:dyDescent="0.3">
      <c r="A130" s="31"/>
      <c r="B130" s="31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</row>
    <row r="131" spans="1:76" ht="10.5" customHeight="1" x14ac:dyDescent="0.3">
      <c r="A131" s="31"/>
      <c r="B131" s="31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</row>
    <row r="132" spans="1:76" ht="10.5" customHeight="1" x14ac:dyDescent="0.3">
      <c r="A132" s="31"/>
      <c r="B132" s="31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</row>
    <row r="133" spans="1:76" ht="10.5" customHeight="1" x14ac:dyDescent="0.3">
      <c r="A133" s="31"/>
      <c r="B133" s="31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</row>
    <row r="134" spans="1:76" ht="10.5" customHeight="1" x14ac:dyDescent="0.3">
      <c r="A134" s="31"/>
      <c r="B134" s="31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</row>
    <row r="135" spans="1:76" ht="10.5" customHeight="1" x14ac:dyDescent="0.3">
      <c r="A135" s="31"/>
      <c r="B135" s="31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</row>
    <row r="136" spans="1:76" ht="10.5" customHeight="1" x14ac:dyDescent="0.3">
      <c r="A136" s="31"/>
      <c r="B136" s="31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</row>
    <row r="137" spans="1:76" ht="10.5" customHeight="1" x14ac:dyDescent="0.3">
      <c r="A137" s="31"/>
      <c r="B137" s="31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</row>
    <row r="138" spans="1:76" ht="10.5" customHeight="1" x14ac:dyDescent="0.3">
      <c r="A138" s="31"/>
      <c r="B138" s="31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</row>
    <row r="139" spans="1:76" ht="10.5" customHeight="1" x14ac:dyDescent="0.3">
      <c r="A139" s="31"/>
      <c r="B139" s="31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</row>
    <row r="140" spans="1:76" ht="10.5" customHeight="1" x14ac:dyDescent="0.3">
      <c r="A140" s="31"/>
      <c r="B140" s="31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</row>
    <row r="141" spans="1:76" ht="10.5" customHeight="1" x14ac:dyDescent="0.3">
      <c r="A141" s="31"/>
      <c r="B141" s="31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</row>
    <row r="142" spans="1:76" ht="10.5" customHeight="1" x14ac:dyDescent="0.3">
      <c r="A142" s="31"/>
      <c r="B142" s="31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</row>
    <row r="143" spans="1:76" ht="10.5" customHeight="1" x14ac:dyDescent="0.3">
      <c r="A143" s="31"/>
      <c r="B143" s="31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</row>
    <row r="144" spans="1:76" ht="10.5" customHeight="1" x14ac:dyDescent="0.3">
      <c r="A144" s="31"/>
      <c r="B144" s="31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</row>
    <row r="145" spans="1:76" ht="10.5" customHeight="1" x14ac:dyDescent="0.3">
      <c r="A145" s="31"/>
      <c r="B145" s="31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</row>
    <row r="146" spans="1:76" ht="10.5" customHeight="1" x14ac:dyDescent="0.3">
      <c r="A146" s="31"/>
      <c r="B146" s="31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</row>
    <row r="147" spans="1:76" ht="10.5" customHeight="1" x14ac:dyDescent="0.3">
      <c r="A147" s="31"/>
      <c r="B147" s="31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</row>
    <row r="148" spans="1:76" ht="10.5" customHeight="1" x14ac:dyDescent="0.3">
      <c r="A148" s="31"/>
      <c r="B148" s="31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</row>
    <row r="149" spans="1:76" ht="10.5" customHeight="1" x14ac:dyDescent="0.3">
      <c r="A149" s="31"/>
      <c r="B149" s="31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</row>
    <row r="150" spans="1:76" ht="10.5" customHeight="1" x14ac:dyDescent="0.3">
      <c r="A150" s="31"/>
      <c r="B150" s="31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</row>
    <row r="151" spans="1:76" ht="10.5" customHeight="1" x14ac:dyDescent="0.3">
      <c r="A151" s="31"/>
      <c r="B151" s="31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</row>
    <row r="152" spans="1:76" ht="10.5" customHeight="1" x14ac:dyDescent="0.3">
      <c r="A152" s="31"/>
      <c r="B152" s="31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</row>
    <row r="153" spans="1:76" ht="10.5" customHeight="1" x14ac:dyDescent="0.3">
      <c r="A153" s="31"/>
      <c r="B153" s="31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</row>
    <row r="154" spans="1:76" ht="10.5" customHeight="1" x14ac:dyDescent="0.3">
      <c r="A154" s="31"/>
      <c r="B154" s="31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</row>
    <row r="155" spans="1:76" ht="10.5" customHeight="1" x14ac:dyDescent="0.3">
      <c r="A155" s="31"/>
      <c r="B155" s="31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</row>
    <row r="156" spans="1:76" ht="10.5" customHeight="1" x14ac:dyDescent="0.3">
      <c r="A156" s="31"/>
      <c r="B156" s="31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</row>
    <row r="157" spans="1:76" ht="10.5" customHeight="1" x14ac:dyDescent="0.3">
      <c r="A157" s="31"/>
      <c r="B157" s="31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</row>
    <row r="158" spans="1:76" ht="10.5" customHeight="1" x14ac:dyDescent="0.3">
      <c r="A158" s="31"/>
      <c r="B158" s="31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</row>
    <row r="159" spans="1:76" ht="10.5" customHeight="1" x14ac:dyDescent="0.3">
      <c r="A159" s="31"/>
      <c r="B159" s="31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</row>
    <row r="160" spans="1:76" ht="10.5" customHeight="1" x14ac:dyDescent="0.3">
      <c r="A160" s="31"/>
      <c r="B160" s="31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</row>
    <row r="161" spans="1:76" ht="10.5" customHeight="1" x14ac:dyDescent="0.3">
      <c r="A161" s="31"/>
      <c r="B161" s="31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</row>
    <row r="162" spans="1:76" ht="10.5" customHeight="1" x14ac:dyDescent="0.3">
      <c r="A162" s="31"/>
      <c r="B162" s="31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</row>
    <row r="163" spans="1:76" ht="10.5" customHeight="1" x14ac:dyDescent="0.3">
      <c r="A163" s="31"/>
      <c r="B163" s="31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</row>
    <row r="164" spans="1:76" ht="10.5" customHeight="1" x14ac:dyDescent="0.3">
      <c r="A164" s="31"/>
      <c r="B164" s="31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</row>
    <row r="165" spans="1:76" ht="10.5" customHeight="1" x14ac:dyDescent="0.3">
      <c r="A165" s="31"/>
      <c r="B165" s="31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</row>
    <row r="166" spans="1:76" ht="10.5" customHeight="1" x14ac:dyDescent="0.3">
      <c r="A166" s="31"/>
      <c r="B166" s="31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</row>
    <row r="167" spans="1:76" ht="10.5" customHeight="1" x14ac:dyDescent="0.3">
      <c r="A167" s="31"/>
      <c r="B167" s="31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</row>
    <row r="168" spans="1:76" ht="10.5" customHeight="1" x14ac:dyDescent="0.3">
      <c r="A168" s="31"/>
      <c r="B168" s="31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</row>
    <row r="169" spans="1:76" ht="10.5" customHeight="1" x14ac:dyDescent="0.3">
      <c r="A169" s="31"/>
      <c r="B169" s="31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</row>
    <row r="170" spans="1:76" ht="10.5" customHeight="1" x14ac:dyDescent="0.3">
      <c r="A170" s="31"/>
      <c r="B170" s="31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</row>
    <row r="171" spans="1:76" ht="10.5" customHeight="1" x14ac:dyDescent="0.3">
      <c r="A171" s="31"/>
      <c r="B171" s="31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</row>
    <row r="172" spans="1:76" ht="10.5" customHeight="1" x14ac:dyDescent="0.3">
      <c r="A172" s="31"/>
      <c r="B172" s="31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</row>
    <row r="173" spans="1:76" ht="10.5" customHeight="1" x14ac:dyDescent="0.3">
      <c r="A173" s="31"/>
      <c r="B173" s="31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</row>
    <row r="174" spans="1:76" ht="10.5" customHeight="1" x14ac:dyDescent="0.3">
      <c r="A174" s="31"/>
      <c r="B174" s="31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</row>
    <row r="175" spans="1:76" ht="10.5" customHeight="1" x14ac:dyDescent="0.3">
      <c r="A175" s="31"/>
      <c r="B175" s="31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</row>
    <row r="176" spans="1:76" ht="10.5" customHeight="1" x14ac:dyDescent="0.3">
      <c r="A176" s="31"/>
      <c r="B176" s="31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</row>
    <row r="177" spans="1:76" ht="10.5" customHeight="1" x14ac:dyDescent="0.3">
      <c r="A177" s="31"/>
      <c r="B177" s="31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</row>
    <row r="178" spans="1:76" ht="10.5" customHeight="1" x14ac:dyDescent="0.3">
      <c r="A178" s="31"/>
      <c r="B178" s="31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</row>
    <row r="179" spans="1:76" ht="10.5" customHeight="1" x14ac:dyDescent="0.3">
      <c r="A179" s="31"/>
      <c r="B179" s="31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</row>
    <row r="180" spans="1:76" ht="10.5" customHeight="1" x14ac:dyDescent="0.3">
      <c r="A180" s="31"/>
      <c r="B180" s="31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</row>
    <row r="181" spans="1:76" ht="10.5" customHeight="1" x14ac:dyDescent="0.3">
      <c r="A181" s="31"/>
      <c r="B181" s="31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</row>
    <row r="182" spans="1:76" ht="10.5" customHeight="1" x14ac:dyDescent="0.3">
      <c r="A182" s="31"/>
      <c r="B182" s="31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</row>
    <row r="183" spans="1:76" ht="10.5" customHeight="1" x14ac:dyDescent="0.3">
      <c r="A183" s="31"/>
      <c r="B183" s="31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</row>
    <row r="184" spans="1:76" ht="10.5" customHeight="1" x14ac:dyDescent="0.3">
      <c r="A184" s="31"/>
      <c r="B184" s="31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</row>
    <row r="185" spans="1:76" ht="10.5" customHeight="1" x14ac:dyDescent="0.3">
      <c r="A185" s="31"/>
      <c r="B185" s="31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</row>
    <row r="186" spans="1:76" ht="10.5" customHeight="1" x14ac:dyDescent="0.3">
      <c r="A186" s="31"/>
      <c r="B186" s="31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</row>
    <row r="187" spans="1:76" ht="10.5" customHeight="1" x14ac:dyDescent="0.3">
      <c r="A187" s="31"/>
      <c r="B187" s="31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</row>
    <row r="188" spans="1:76" ht="10.5" customHeight="1" x14ac:dyDescent="0.3">
      <c r="A188" s="31"/>
      <c r="B188" s="31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</row>
    <row r="189" spans="1:76" ht="10.5" customHeight="1" x14ac:dyDescent="0.3">
      <c r="A189" s="31"/>
      <c r="B189" s="31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</row>
    <row r="190" spans="1:76" ht="10.5" customHeight="1" x14ac:dyDescent="0.3">
      <c r="A190" s="31"/>
      <c r="B190" s="31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</row>
    <row r="191" spans="1:76" ht="10.5" customHeight="1" x14ac:dyDescent="0.3">
      <c r="A191" s="31"/>
      <c r="B191" s="31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</row>
    <row r="192" spans="1:76" ht="10.5" customHeight="1" x14ac:dyDescent="0.3">
      <c r="A192" s="31"/>
      <c r="B192" s="31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</row>
    <row r="193" spans="1:76" ht="10.5" customHeight="1" x14ac:dyDescent="0.3">
      <c r="A193" s="31"/>
      <c r="B193" s="31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</row>
    <row r="194" spans="1:76" ht="10.5" customHeight="1" x14ac:dyDescent="0.3">
      <c r="A194" s="31"/>
      <c r="B194" s="31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</row>
    <row r="195" spans="1:76" ht="10.5" customHeight="1" x14ac:dyDescent="0.3">
      <c r="A195" s="31"/>
      <c r="B195" s="31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</row>
    <row r="196" spans="1:76" ht="10.5" customHeight="1" x14ac:dyDescent="0.3">
      <c r="A196" s="31"/>
      <c r="B196" s="31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</row>
    <row r="197" spans="1:76" ht="10.5" customHeight="1" x14ac:dyDescent="0.3">
      <c r="A197" s="31"/>
      <c r="B197" s="31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</row>
    <row r="198" spans="1:76" ht="10.5" customHeight="1" x14ac:dyDescent="0.3">
      <c r="A198" s="31"/>
      <c r="B198" s="31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</row>
    <row r="199" spans="1:76" ht="10.5" customHeight="1" x14ac:dyDescent="0.3">
      <c r="A199" s="31"/>
      <c r="B199" s="31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</row>
    <row r="200" spans="1:76" ht="10.5" customHeight="1" x14ac:dyDescent="0.3">
      <c r="A200" s="31"/>
      <c r="B200" s="31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</row>
    <row r="201" spans="1:76" ht="10.5" customHeight="1" x14ac:dyDescent="0.3">
      <c r="A201" s="31"/>
      <c r="B201" s="31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</row>
    <row r="202" spans="1:76" ht="10.5" customHeight="1" x14ac:dyDescent="0.3">
      <c r="A202" s="31"/>
      <c r="B202" s="31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</row>
    <row r="203" spans="1:76" ht="10.5" customHeight="1" x14ac:dyDescent="0.3">
      <c r="A203" s="31"/>
      <c r="B203" s="31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</row>
    <row r="204" spans="1:76" ht="10.5" customHeight="1" x14ac:dyDescent="0.3">
      <c r="A204" s="31"/>
      <c r="B204" s="31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</row>
    <row r="205" spans="1:76" ht="10.5" customHeight="1" x14ac:dyDescent="0.3">
      <c r="A205" s="31"/>
      <c r="B205" s="31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</row>
    <row r="206" spans="1:76" ht="10.5" customHeight="1" x14ac:dyDescent="0.3">
      <c r="A206" s="31"/>
      <c r="B206" s="31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</row>
    <row r="207" spans="1:76" ht="10.5" customHeight="1" x14ac:dyDescent="0.3">
      <c r="A207" s="31"/>
      <c r="B207" s="31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</row>
    <row r="208" spans="1:76" ht="10.5" customHeight="1" x14ac:dyDescent="0.3">
      <c r="A208" s="31"/>
      <c r="B208" s="31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</row>
    <row r="209" spans="1:76" ht="10.5" customHeight="1" x14ac:dyDescent="0.3">
      <c r="A209" s="31"/>
      <c r="B209" s="31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</row>
    <row r="210" spans="1:76" ht="10.5" customHeight="1" x14ac:dyDescent="0.3">
      <c r="A210" s="31"/>
      <c r="B210" s="31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</row>
    <row r="211" spans="1:76" ht="10.5" customHeight="1" x14ac:dyDescent="0.3">
      <c r="A211" s="31"/>
      <c r="B211" s="31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</row>
    <row r="212" spans="1:76" ht="10.5" customHeight="1" x14ac:dyDescent="0.3">
      <c r="A212" s="31"/>
      <c r="B212" s="31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</row>
    <row r="213" spans="1:76" ht="10.5" customHeight="1" x14ac:dyDescent="0.3">
      <c r="A213" s="31"/>
      <c r="B213" s="31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</row>
    <row r="214" spans="1:76" ht="10.5" customHeight="1" x14ac:dyDescent="0.3">
      <c r="A214" s="31"/>
      <c r="B214" s="31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</row>
    <row r="215" spans="1:76" ht="10.5" customHeight="1" x14ac:dyDescent="0.3">
      <c r="A215" s="31"/>
      <c r="B215" s="31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</row>
    <row r="216" spans="1:76" ht="10.5" customHeight="1" x14ac:dyDescent="0.3">
      <c r="A216" s="31"/>
      <c r="B216" s="31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</row>
    <row r="217" spans="1:76" ht="10.5" customHeight="1" x14ac:dyDescent="0.3">
      <c r="A217" s="31"/>
      <c r="B217" s="31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</row>
    <row r="218" spans="1:76" ht="10.5" customHeight="1" x14ac:dyDescent="0.3">
      <c r="A218" s="31"/>
      <c r="B218" s="31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</row>
    <row r="219" spans="1:76" ht="10.5" customHeight="1" x14ac:dyDescent="0.3">
      <c r="A219" s="31"/>
      <c r="B219" s="31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</row>
    <row r="220" spans="1:76" ht="10.5" customHeight="1" x14ac:dyDescent="0.3">
      <c r="A220" s="31"/>
      <c r="B220" s="31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</row>
    <row r="221" spans="1:76" ht="10.5" customHeight="1" x14ac:dyDescent="0.3">
      <c r="A221" s="31"/>
      <c r="B221" s="31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</row>
    <row r="222" spans="1:76" ht="10.5" customHeight="1" x14ac:dyDescent="0.3">
      <c r="A222" s="31"/>
      <c r="B222" s="31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</row>
    <row r="223" spans="1:76" ht="10.5" customHeight="1" x14ac:dyDescent="0.3">
      <c r="A223" s="31"/>
      <c r="B223" s="31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</row>
    <row r="224" spans="1:76" ht="10.5" customHeight="1" x14ac:dyDescent="0.3">
      <c r="A224" s="31"/>
      <c r="B224" s="31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</row>
    <row r="225" spans="1:76" ht="10.5" customHeight="1" x14ac:dyDescent="0.3">
      <c r="A225" s="31"/>
      <c r="B225" s="31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</row>
    <row r="226" spans="1:76" ht="10.5" customHeight="1" x14ac:dyDescent="0.3">
      <c r="A226" s="31"/>
      <c r="B226" s="31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</row>
    <row r="227" spans="1:76" ht="10.5" customHeight="1" x14ac:dyDescent="0.3">
      <c r="A227" s="31"/>
      <c r="B227" s="31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</row>
    <row r="228" spans="1:76" ht="10.5" customHeight="1" x14ac:dyDescent="0.3">
      <c r="A228" s="31"/>
      <c r="B228" s="31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</row>
    <row r="229" spans="1:76" ht="10.5" customHeight="1" x14ac:dyDescent="0.3">
      <c r="A229" s="31"/>
      <c r="B229" s="31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</row>
    <row r="230" spans="1:76" ht="10.5" customHeight="1" x14ac:dyDescent="0.3">
      <c r="A230" s="31"/>
      <c r="B230" s="31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</row>
    <row r="231" spans="1:76" ht="10.5" customHeight="1" x14ac:dyDescent="0.3">
      <c r="A231" s="31"/>
      <c r="B231" s="31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</row>
    <row r="232" spans="1:76" ht="10.5" customHeight="1" x14ac:dyDescent="0.3">
      <c r="A232" s="31"/>
      <c r="B232" s="31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</row>
    <row r="233" spans="1:76" ht="10.5" customHeight="1" x14ac:dyDescent="0.3">
      <c r="A233" s="31"/>
      <c r="B233" s="31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</row>
    <row r="234" spans="1:76" ht="10.5" customHeight="1" x14ac:dyDescent="0.3">
      <c r="A234" s="31"/>
      <c r="B234" s="31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</row>
    <row r="235" spans="1:76" ht="10.5" customHeight="1" x14ac:dyDescent="0.3">
      <c r="A235" s="31"/>
      <c r="B235" s="31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</row>
    <row r="236" spans="1:76" ht="10.5" customHeight="1" x14ac:dyDescent="0.3">
      <c r="A236" s="31"/>
      <c r="B236" s="31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</row>
    <row r="237" spans="1:76" ht="10.5" customHeight="1" x14ac:dyDescent="0.3">
      <c r="A237" s="31"/>
      <c r="B237" s="31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</row>
    <row r="238" spans="1:76" ht="10.5" customHeight="1" x14ac:dyDescent="0.3">
      <c r="A238" s="31"/>
      <c r="B238" s="31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</row>
    <row r="239" spans="1:76" ht="10.5" customHeight="1" x14ac:dyDescent="0.3">
      <c r="A239" s="31"/>
      <c r="B239" s="31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</row>
    <row r="240" spans="1:76" ht="10.5" customHeight="1" x14ac:dyDescent="0.3">
      <c r="A240" s="31"/>
      <c r="B240" s="31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</row>
    <row r="241" spans="1:76" ht="10.5" customHeight="1" x14ac:dyDescent="0.3">
      <c r="A241" s="31"/>
      <c r="B241" s="31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</row>
    <row r="242" spans="1:76" ht="10.5" customHeight="1" x14ac:dyDescent="0.3">
      <c r="A242" s="31"/>
      <c r="B242" s="31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</row>
    <row r="243" spans="1:76" ht="10.5" customHeight="1" x14ac:dyDescent="0.3">
      <c r="A243" s="31"/>
      <c r="B243" s="31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</row>
    <row r="244" spans="1:76" ht="10.5" customHeight="1" x14ac:dyDescent="0.3">
      <c r="A244" s="31"/>
      <c r="B244" s="31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</row>
    <row r="245" spans="1:76" ht="10.5" customHeight="1" x14ac:dyDescent="0.3">
      <c r="A245" s="31"/>
      <c r="B245" s="31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</row>
    <row r="246" spans="1:76" ht="10.5" customHeight="1" x14ac:dyDescent="0.3">
      <c r="A246" s="31"/>
      <c r="B246" s="31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</row>
    <row r="247" spans="1:76" ht="10.5" customHeight="1" x14ac:dyDescent="0.3">
      <c r="A247" s="31"/>
      <c r="B247" s="31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</row>
    <row r="248" spans="1:76" ht="10.5" customHeight="1" x14ac:dyDescent="0.3">
      <c r="A248" s="31"/>
      <c r="B248" s="31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</row>
    <row r="249" spans="1:76" ht="10.5" customHeight="1" x14ac:dyDescent="0.3">
      <c r="A249" s="31"/>
      <c r="B249" s="31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</row>
    <row r="250" spans="1:76" ht="10.5" customHeight="1" x14ac:dyDescent="0.3">
      <c r="A250" s="31"/>
      <c r="B250" s="31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</row>
    <row r="251" spans="1:76" ht="10.5" customHeight="1" x14ac:dyDescent="0.3">
      <c r="A251" s="31"/>
      <c r="B251" s="31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</row>
    <row r="252" spans="1:76" ht="10.5" customHeight="1" x14ac:dyDescent="0.3">
      <c r="A252" s="31"/>
      <c r="B252" s="31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</row>
    <row r="253" spans="1:76" ht="10.5" customHeight="1" x14ac:dyDescent="0.3">
      <c r="A253" s="31"/>
      <c r="B253" s="31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</row>
    <row r="254" spans="1:76" ht="10.5" customHeight="1" x14ac:dyDescent="0.3">
      <c r="A254" s="31"/>
      <c r="B254" s="31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</row>
    <row r="255" spans="1:76" ht="10.5" customHeight="1" x14ac:dyDescent="0.3">
      <c r="A255" s="31"/>
      <c r="B255" s="31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</row>
    <row r="256" spans="1:76" ht="10.5" customHeight="1" x14ac:dyDescent="0.3">
      <c r="A256" s="31"/>
      <c r="B256" s="31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</row>
    <row r="257" spans="1:76" ht="10.5" customHeight="1" x14ac:dyDescent="0.3">
      <c r="A257" s="31"/>
      <c r="B257" s="31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</row>
    <row r="258" spans="1:76" ht="10.5" customHeight="1" x14ac:dyDescent="0.3">
      <c r="A258" s="31"/>
      <c r="B258" s="31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</row>
    <row r="259" spans="1:76" ht="10.5" customHeight="1" x14ac:dyDescent="0.3">
      <c r="A259" s="31"/>
      <c r="B259" s="31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</row>
    <row r="260" spans="1:76" ht="10.5" customHeight="1" x14ac:dyDescent="0.3">
      <c r="A260" s="31"/>
      <c r="B260" s="31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</row>
    <row r="261" spans="1:76" ht="10.5" customHeight="1" x14ac:dyDescent="0.3">
      <c r="A261" s="31"/>
      <c r="B261" s="31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</row>
    <row r="262" spans="1:76" ht="10.5" customHeight="1" x14ac:dyDescent="0.3">
      <c r="A262" s="31"/>
      <c r="B262" s="31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</row>
    <row r="263" spans="1:76" ht="10.5" customHeight="1" x14ac:dyDescent="0.3">
      <c r="A263" s="31"/>
      <c r="B263" s="31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</row>
    <row r="264" spans="1:76" ht="10.5" customHeight="1" x14ac:dyDescent="0.3">
      <c r="A264" s="31"/>
      <c r="B264" s="31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</row>
    <row r="265" spans="1:76" ht="10.5" customHeight="1" x14ac:dyDescent="0.3">
      <c r="A265" s="31"/>
      <c r="B265" s="31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</row>
    <row r="266" spans="1:76" ht="10.5" customHeight="1" x14ac:dyDescent="0.3">
      <c r="A266" s="31"/>
      <c r="B266" s="31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</row>
    <row r="267" spans="1:76" ht="10.5" customHeight="1" x14ac:dyDescent="0.3">
      <c r="A267" s="31"/>
      <c r="B267" s="31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</row>
    <row r="268" spans="1:76" ht="10.5" customHeight="1" x14ac:dyDescent="0.3">
      <c r="A268" s="31"/>
      <c r="B268" s="31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</row>
    <row r="269" spans="1:76" ht="10.5" customHeight="1" x14ac:dyDescent="0.3">
      <c r="A269" s="31"/>
      <c r="B269" s="31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</row>
    <row r="270" spans="1:76" ht="10.5" customHeight="1" x14ac:dyDescent="0.3">
      <c r="A270" s="31"/>
      <c r="B270" s="31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</row>
    <row r="271" spans="1:76" ht="10.5" customHeight="1" x14ac:dyDescent="0.3">
      <c r="A271" s="31"/>
      <c r="B271" s="31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</row>
    <row r="272" spans="1:76" ht="10.5" customHeight="1" x14ac:dyDescent="0.3">
      <c r="A272" s="31"/>
      <c r="B272" s="31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</row>
    <row r="273" spans="1:76" ht="10.5" customHeight="1" x14ac:dyDescent="0.3">
      <c r="A273" s="31"/>
      <c r="B273" s="31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</row>
    <row r="274" spans="1:76" ht="10.5" customHeight="1" x14ac:dyDescent="0.3">
      <c r="A274" s="31"/>
      <c r="B274" s="31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</row>
    <row r="275" spans="1:76" ht="10.5" customHeight="1" x14ac:dyDescent="0.3">
      <c r="A275" s="31"/>
      <c r="B275" s="31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</row>
    <row r="276" spans="1:76" ht="10.5" customHeight="1" x14ac:dyDescent="0.3">
      <c r="A276" s="31"/>
      <c r="B276" s="31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</row>
    <row r="277" spans="1:76" ht="10.5" customHeight="1" x14ac:dyDescent="0.3">
      <c r="A277" s="31"/>
      <c r="B277" s="31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</row>
    <row r="278" spans="1:76" ht="10.5" customHeight="1" x14ac:dyDescent="0.3">
      <c r="A278" s="31"/>
      <c r="B278" s="31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</row>
    <row r="279" spans="1:76" ht="10.5" customHeight="1" x14ac:dyDescent="0.3">
      <c r="A279" s="31"/>
      <c r="B279" s="31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</row>
    <row r="280" spans="1:76" ht="10.5" customHeight="1" x14ac:dyDescent="0.3">
      <c r="A280" s="31"/>
      <c r="B280" s="31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</row>
    <row r="281" spans="1:76" ht="10.5" customHeight="1" x14ac:dyDescent="0.3">
      <c r="A281" s="31"/>
      <c r="B281" s="31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</row>
    <row r="282" spans="1:76" ht="10.5" customHeight="1" x14ac:dyDescent="0.3">
      <c r="A282" s="31"/>
      <c r="B282" s="31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</row>
    <row r="283" spans="1:76" ht="10.5" customHeight="1" x14ac:dyDescent="0.3">
      <c r="A283" s="31"/>
      <c r="B283" s="31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</row>
    <row r="284" spans="1:76" ht="10.5" customHeight="1" x14ac:dyDescent="0.3">
      <c r="A284" s="31"/>
      <c r="B284" s="31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</row>
    <row r="285" spans="1:76" ht="10.5" customHeight="1" x14ac:dyDescent="0.3">
      <c r="A285" s="31"/>
      <c r="B285" s="31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</row>
    <row r="286" spans="1:76" ht="10.5" customHeight="1" x14ac:dyDescent="0.3">
      <c r="A286" s="31"/>
      <c r="B286" s="31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</row>
    <row r="287" spans="1:76" ht="10.5" customHeight="1" x14ac:dyDescent="0.3">
      <c r="A287" s="31"/>
      <c r="B287" s="31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</row>
    <row r="288" spans="1:76" ht="10.5" customHeight="1" x14ac:dyDescent="0.3">
      <c r="A288" s="31"/>
      <c r="B288" s="31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</row>
    <row r="289" spans="1:76" ht="10.5" customHeight="1" x14ac:dyDescent="0.3">
      <c r="A289" s="31"/>
      <c r="B289" s="31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</row>
    <row r="290" spans="1:76" ht="10.5" customHeight="1" x14ac:dyDescent="0.3">
      <c r="A290" s="31"/>
      <c r="B290" s="31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</row>
    <row r="291" spans="1:76" ht="10.5" customHeight="1" x14ac:dyDescent="0.3">
      <c r="A291" s="31"/>
      <c r="B291" s="31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</row>
    <row r="292" spans="1:76" ht="10.5" customHeight="1" x14ac:dyDescent="0.3">
      <c r="A292" s="31"/>
      <c r="B292" s="31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</row>
    <row r="293" spans="1:76" ht="10.5" customHeight="1" x14ac:dyDescent="0.3">
      <c r="A293" s="31"/>
      <c r="B293" s="31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</row>
    <row r="294" spans="1:76" ht="10.5" customHeight="1" x14ac:dyDescent="0.3">
      <c r="A294" s="31"/>
      <c r="B294" s="31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</row>
    <row r="295" spans="1:76" ht="10.5" customHeight="1" x14ac:dyDescent="0.3">
      <c r="A295" s="31"/>
      <c r="B295" s="31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</row>
    <row r="296" spans="1:76" ht="10.5" customHeight="1" x14ac:dyDescent="0.3">
      <c r="A296" s="31"/>
      <c r="B296" s="31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</row>
    <row r="297" spans="1:76" ht="10.5" customHeight="1" x14ac:dyDescent="0.3">
      <c r="A297" s="31"/>
      <c r="B297" s="31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</row>
    <row r="298" spans="1:76" ht="10.5" customHeight="1" x14ac:dyDescent="0.3">
      <c r="A298" s="31"/>
      <c r="B298" s="31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</row>
    <row r="299" spans="1:76" ht="10.5" customHeight="1" x14ac:dyDescent="0.3">
      <c r="A299" s="31"/>
      <c r="B299" s="31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</row>
    <row r="300" spans="1:76" ht="10.5" customHeight="1" x14ac:dyDescent="0.3">
      <c r="A300" s="31"/>
      <c r="B300" s="31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</row>
    <row r="301" spans="1:76" ht="10.5" customHeight="1" x14ac:dyDescent="0.3">
      <c r="A301" s="31"/>
      <c r="B301" s="31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</row>
    <row r="302" spans="1:76" ht="10.5" customHeight="1" x14ac:dyDescent="0.3">
      <c r="A302" s="31"/>
      <c r="B302" s="31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</row>
    <row r="303" spans="1:76" ht="10.5" customHeight="1" x14ac:dyDescent="0.3">
      <c r="A303" s="31"/>
      <c r="B303" s="31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</row>
    <row r="304" spans="1:76" ht="10.5" customHeight="1" x14ac:dyDescent="0.3">
      <c r="A304" s="31"/>
      <c r="B304" s="31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</row>
    <row r="305" spans="1:76" ht="10.5" customHeight="1" x14ac:dyDescent="0.3">
      <c r="A305" s="31"/>
      <c r="B305" s="31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</row>
    <row r="306" spans="1:76" ht="10.5" customHeight="1" x14ac:dyDescent="0.3">
      <c r="A306" s="31"/>
      <c r="B306" s="31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</row>
    <row r="307" spans="1:76" ht="10.5" customHeight="1" x14ac:dyDescent="0.3">
      <c r="A307" s="31"/>
      <c r="B307" s="31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</row>
    <row r="308" spans="1:76" ht="10.5" customHeight="1" x14ac:dyDescent="0.3">
      <c r="A308" s="31"/>
      <c r="B308" s="31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</row>
    <row r="309" spans="1:76" ht="10.5" customHeight="1" x14ac:dyDescent="0.3">
      <c r="A309" s="31"/>
      <c r="B309" s="31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</row>
    <row r="310" spans="1:76" ht="10.5" customHeight="1" x14ac:dyDescent="0.3">
      <c r="A310" s="31"/>
      <c r="B310" s="31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</row>
    <row r="311" spans="1:76" ht="10.5" customHeight="1" x14ac:dyDescent="0.3">
      <c r="A311" s="31"/>
      <c r="B311" s="31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</row>
    <row r="312" spans="1:76" ht="10.5" customHeight="1" x14ac:dyDescent="0.3">
      <c r="A312" s="31"/>
      <c r="B312" s="31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</row>
    <row r="313" spans="1:76" ht="10.5" customHeight="1" x14ac:dyDescent="0.3">
      <c r="A313" s="31"/>
      <c r="B313" s="31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</row>
    <row r="314" spans="1:76" ht="10.5" customHeight="1" x14ac:dyDescent="0.3">
      <c r="A314" s="31"/>
      <c r="B314" s="31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</row>
    <row r="315" spans="1:76" ht="10.5" customHeight="1" x14ac:dyDescent="0.3">
      <c r="A315" s="31"/>
      <c r="B315" s="31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</row>
    <row r="316" spans="1:76" ht="10.5" customHeight="1" x14ac:dyDescent="0.3">
      <c r="A316" s="31"/>
      <c r="B316" s="31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</row>
    <row r="317" spans="1:76" ht="10.5" customHeight="1" x14ac:dyDescent="0.3">
      <c r="A317" s="31"/>
      <c r="B317" s="31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</row>
    <row r="318" spans="1:76" ht="10.5" customHeight="1" x14ac:dyDescent="0.3">
      <c r="A318" s="31"/>
      <c r="B318" s="31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</row>
    <row r="319" spans="1:76" ht="10.5" customHeight="1" x14ac:dyDescent="0.3">
      <c r="A319" s="31"/>
      <c r="B319" s="31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</row>
    <row r="320" spans="1:76" ht="10.5" customHeight="1" x14ac:dyDescent="0.3">
      <c r="A320" s="31"/>
      <c r="B320" s="31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</row>
    <row r="321" spans="1:76" ht="10.5" customHeight="1" x14ac:dyDescent="0.3">
      <c r="A321" s="31"/>
      <c r="B321" s="31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</row>
    <row r="322" spans="1:76" ht="10.5" customHeight="1" x14ac:dyDescent="0.3">
      <c r="A322" s="31"/>
      <c r="B322" s="31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</row>
    <row r="323" spans="1:76" ht="10.5" customHeight="1" x14ac:dyDescent="0.3">
      <c r="A323" s="31"/>
      <c r="B323" s="31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</row>
    <row r="324" spans="1:76" ht="10.5" customHeight="1" x14ac:dyDescent="0.3">
      <c r="A324" s="31"/>
      <c r="B324" s="31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</row>
    <row r="325" spans="1:76" ht="10.5" customHeight="1" x14ac:dyDescent="0.3">
      <c r="A325" s="31"/>
      <c r="B325" s="31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</row>
    <row r="326" spans="1:76" ht="10.5" customHeight="1" x14ac:dyDescent="0.3">
      <c r="A326" s="31"/>
      <c r="B326" s="31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</row>
    <row r="327" spans="1:76" ht="10.5" customHeight="1" x14ac:dyDescent="0.3">
      <c r="A327" s="31"/>
      <c r="B327" s="31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</row>
    <row r="328" spans="1:76" ht="10.5" customHeight="1" x14ac:dyDescent="0.3">
      <c r="A328" s="31"/>
      <c r="B328" s="31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</row>
    <row r="329" spans="1:76" ht="10.5" customHeight="1" x14ac:dyDescent="0.3">
      <c r="A329" s="31"/>
      <c r="B329" s="31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</row>
    <row r="330" spans="1:76" ht="10.5" customHeight="1" x14ac:dyDescent="0.3">
      <c r="A330" s="31"/>
      <c r="B330" s="31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</row>
    <row r="331" spans="1:76" ht="10.5" customHeight="1" x14ac:dyDescent="0.3">
      <c r="A331" s="31"/>
      <c r="B331" s="31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</row>
    <row r="332" spans="1:76" ht="10.5" customHeight="1" x14ac:dyDescent="0.3">
      <c r="A332" s="31"/>
      <c r="B332" s="31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</row>
    <row r="333" spans="1:76" ht="10.5" customHeight="1" x14ac:dyDescent="0.3">
      <c r="A333" s="31"/>
      <c r="B333" s="31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</row>
    <row r="334" spans="1:76" ht="10.5" customHeight="1" x14ac:dyDescent="0.3">
      <c r="A334" s="31"/>
      <c r="B334" s="31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</row>
    <row r="335" spans="1:76" ht="10.5" customHeight="1" x14ac:dyDescent="0.3">
      <c r="A335" s="31"/>
      <c r="B335" s="31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</row>
    <row r="336" spans="1:76" ht="10.5" customHeight="1" x14ac:dyDescent="0.3">
      <c r="A336" s="31"/>
      <c r="B336" s="31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</row>
    <row r="337" spans="1:76" ht="10.5" customHeight="1" x14ac:dyDescent="0.3">
      <c r="A337" s="31"/>
      <c r="B337" s="31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</row>
    <row r="338" spans="1:76" ht="10.5" customHeight="1" x14ac:dyDescent="0.3">
      <c r="A338" s="31"/>
      <c r="B338" s="31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</row>
    <row r="339" spans="1:76" ht="10.5" customHeight="1" x14ac:dyDescent="0.3">
      <c r="A339" s="31"/>
      <c r="B339" s="31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</row>
    <row r="340" spans="1:76" ht="10.5" customHeight="1" x14ac:dyDescent="0.3">
      <c r="A340" s="31"/>
      <c r="B340" s="31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</row>
    <row r="341" spans="1:76" ht="10.5" customHeight="1" x14ac:dyDescent="0.3">
      <c r="A341" s="31"/>
      <c r="B341" s="31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</row>
    <row r="342" spans="1:76" ht="10.5" customHeight="1" x14ac:dyDescent="0.3">
      <c r="A342" s="31"/>
      <c r="B342" s="31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</row>
    <row r="343" spans="1:76" ht="10.5" customHeight="1" x14ac:dyDescent="0.3">
      <c r="A343" s="31"/>
      <c r="B343" s="31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</row>
    <row r="344" spans="1:76" ht="10.5" customHeight="1" x14ac:dyDescent="0.3">
      <c r="A344" s="31"/>
      <c r="B344" s="31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</row>
    <row r="345" spans="1:76" ht="10.5" customHeight="1" x14ac:dyDescent="0.3">
      <c r="A345" s="31"/>
      <c r="B345" s="31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</row>
    <row r="346" spans="1:76" ht="10.5" customHeight="1" x14ac:dyDescent="0.3">
      <c r="A346" s="31"/>
      <c r="B346" s="31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</row>
    <row r="347" spans="1:76" ht="10.5" customHeight="1" x14ac:dyDescent="0.3">
      <c r="A347" s="31"/>
      <c r="B347" s="31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</row>
    <row r="348" spans="1:76" ht="10.5" customHeight="1" x14ac:dyDescent="0.3">
      <c r="A348" s="31"/>
      <c r="B348" s="31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</row>
    <row r="349" spans="1:76" ht="10.5" customHeight="1" x14ac:dyDescent="0.3">
      <c r="A349" s="31"/>
      <c r="B349" s="31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</row>
    <row r="350" spans="1:76" ht="10.5" customHeight="1" x14ac:dyDescent="0.3">
      <c r="A350" s="31"/>
      <c r="B350" s="31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</row>
    <row r="351" spans="1:76" ht="10.5" customHeight="1" x14ac:dyDescent="0.3">
      <c r="A351" s="31"/>
      <c r="B351" s="31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</row>
    <row r="352" spans="1:76" ht="10.5" customHeight="1" x14ac:dyDescent="0.3">
      <c r="A352" s="31"/>
      <c r="B352" s="31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</row>
    <row r="353" spans="1:76" ht="10.5" customHeight="1" x14ac:dyDescent="0.3">
      <c r="A353" s="31"/>
      <c r="B353" s="31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</row>
    <row r="354" spans="1:76" ht="10.5" customHeight="1" x14ac:dyDescent="0.3">
      <c r="A354" s="31"/>
      <c r="B354" s="31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</row>
    <row r="355" spans="1:76" ht="10.5" customHeight="1" x14ac:dyDescent="0.3">
      <c r="A355" s="31"/>
      <c r="B355" s="31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</row>
    <row r="356" spans="1:76" ht="10.5" customHeight="1" x14ac:dyDescent="0.3">
      <c r="A356" s="31"/>
      <c r="B356" s="31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</row>
    <row r="357" spans="1:76" ht="10.5" customHeight="1" x14ac:dyDescent="0.3">
      <c r="A357" s="31"/>
      <c r="B357" s="31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</row>
    <row r="358" spans="1:76" ht="10.5" customHeight="1" x14ac:dyDescent="0.3">
      <c r="A358" s="31"/>
      <c r="B358" s="31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</row>
    <row r="359" spans="1:76" ht="10.5" customHeight="1" x14ac:dyDescent="0.3">
      <c r="A359" s="31"/>
      <c r="B359" s="31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</row>
    <row r="360" spans="1:76" ht="10.5" customHeight="1" x14ac:dyDescent="0.3">
      <c r="A360" s="31"/>
      <c r="B360" s="31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</row>
    <row r="361" spans="1:76" ht="10.5" customHeight="1" x14ac:dyDescent="0.3">
      <c r="A361" s="31"/>
      <c r="B361" s="31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</row>
    <row r="362" spans="1:76" ht="10.5" customHeight="1" x14ac:dyDescent="0.3">
      <c r="A362" s="31"/>
      <c r="B362" s="31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</row>
    <row r="363" spans="1:76" ht="10.5" customHeight="1" x14ac:dyDescent="0.3">
      <c r="A363" s="31"/>
      <c r="B363" s="31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</row>
    <row r="364" spans="1:76" ht="10.5" customHeight="1" x14ac:dyDescent="0.3">
      <c r="A364" s="31"/>
      <c r="B364" s="31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</row>
    <row r="365" spans="1:76" ht="10.5" customHeight="1" x14ac:dyDescent="0.3">
      <c r="A365" s="31"/>
      <c r="B365" s="31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</row>
    <row r="366" spans="1:76" ht="10.5" customHeight="1" x14ac:dyDescent="0.3">
      <c r="A366" s="31"/>
      <c r="B366" s="31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</row>
    <row r="367" spans="1:76" ht="10.5" customHeight="1" x14ac:dyDescent="0.3">
      <c r="A367" s="31"/>
      <c r="B367" s="31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</row>
    <row r="368" spans="1:76" ht="10.5" customHeight="1" x14ac:dyDescent="0.3">
      <c r="A368" s="31"/>
      <c r="B368" s="31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</row>
    <row r="369" spans="1:76" ht="10.5" customHeight="1" x14ac:dyDescent="0.3">
      <c r="A369" s="31"/>
      <c r="B369" s="31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</row>
    <row r="370" spans="1:76" ht="10.5" customHeight="1" x14ac:dyDescent="0.3">
      <c r="A370" s="31"/>
      <c r="B370" s="31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</row>
    <row r="371" spans="1:76" ht="10.5" customHeight="1" x14ac:dyDescent="0.3">
      <c r="A371" s="31"/>
      <c r="B371" s="31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</row>
    <row r="372" spans="1:76" ht="10.5" customHeight="1" x14ac:dyDescent="0.3">
      <c r="A372" s="31"/>
      <c r="B372" s="31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</row>
    <row r="373" spans="1:76" ht="10.5" customHeight="1" x14ac:dyDescent="0.3">
      <c r="A373" s="31"/>
      <c r="B373" s="31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</row>
    <row r="374" spans="1:76" ht="10.5" customHeight="1" x14ac:dyDescent="0.3">
      <c r="A374" s="31"/>
      <c r="B374" s="31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</row>
    <row r="375" spans="1:76" ht="10.5" customHeight="1" x14ac:dyDescent="0.3">
      <c r="A375" s="31"/>
      <c r="B375" s="31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</row>
    <row r="376" spans="1:76" ht="10.5" customHeight="1" x14ac:dyDescent="0.3">
      <c r="A376" s="31"/>
      <c r="B376" s="31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</row>
    <row r="377" spans="1:76" ht="10.5" customHeight="1" x14ac:dyDescent="0.3">
      <c r="A377" s="31"/>
      <c r="B377" s="31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</row>
    <row r="378" spans="1:76" ht="10.5" customHeight="1" x14ac:dyDescent="0.3">
      <c r="A378" s="31"/>
      <c r="B378" s="31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</row>
    <row r="379" spans="1:76" ht="10.5" customHeight="1" x14ac:dyDescent="0.3">
      <c r="A379" s="31"/>
      <c r="B379" s="31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</row>
    <row r="380" spans="1:76" ht="10.5" customHeight="1" x14ac:dyDescent="0.3">
      <c r="A380" s="31"/>
      <c r="B380" s="31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</row>
    <row r="381" spans="1:76" ht="10.5" customHeight="1" x14ac:dyDescent="0.3">
      <c r="A381" s="31"/>
      <c r="B381" s="31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</row>
    <row r="382" spans="1:76" ht="10.5" customHeight="1" x14ac:dyDescent="0.3">
      <c r="A382" s="31"/>
      <c r="B382" s="31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</row>
    <row r="383" spans="1:76" ht="10.5" customHeight="1" x14ac:dyDescent="0.3">
      <c r="A383" s="31"/>
      <c r="B383" s="31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</row>
    <row r="384" spans="1:76" ht="10.5" customHeight="1" x14ac:dyDescent="0.3">
      <c r="A384" s="31"/>
      <c r="B384" s="31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</row>
    <row r="385" spans="1:76" ht="10.5" customHeight="1" x14ac:dyDescent="0.3">
      <c r="A385" s="31"/>
      <c r="B385" s="31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</row>
    <row r="386" spans="1:76" ht="10.5" customHeight="1" x14ac:dyDescent="0.3">
      <c r="A386" s="31"/>
      <c r="B386" s="31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</row>
    <row r="387" spans="1:76" ht="10.5" customHeight="1" x14ac:dyDescent="0.3">
      <c r="A387" s="31"/>
      <c r="B387" s="31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</row>
    <row r="388" spans="1:76" ht="10.5" customHeight="1" x14ac:dyDescent="0.3">
      <c r="A388" s="31"/>
      <c r="B388" s="31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</row>
    <row r="389" spans="1:76" ht="10.5" customHeight="1" x14ac:dyDescent="0.3">
      <c r="A389" s="31"/>
      <c r="B389" s="31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</row>
    <row r="390" spans="1:76" ht="10.5" customHeight="1" x14ac:dyDescent="0.3">
      <c r="A390" s="31"/>
      <c r="B390" s="31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</row>
    <row r="391" spans="1:76" ht="10.5" customHeight="1" x14ac:dyDescent="0.3">
      <c r="A391" s="31"/>
      <c r="B391" s="31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</row>
    <row r="392" spans="1:76" ht="10.5" customHeight="1" x14ac:dyDescent="0.3">
      <c r="A392" s="31"/>
      <c r="B392" s="31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</row>
    <row r="393" spans="1:76" ht="10.5" customHeight="1" x14ac:dyDescent="0.3">
      <c r="A393" s="31"/>
      <c r="B393" s="31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</row>
    <row r="394" spans="1:76" ht="10.5" customHeight="1" x14ac:dyDescent="0.3">
      <c r="A394" s="31"/>
      <c r="B394" s="31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</row>
    <row r="395" spans="1:76" ht="10.5" customHeight="1" x14ac:dyDescent="0.3">
      <c r="A395" s="31"/>
      <c r="B395" s="31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</row>
    <row r="396" spans="1:76" ht="10.5" customHeight="1" x14ac:dyDescent="0.3">
      <c r="A396" s="31"/>
      <c r="B396" s="31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</row>
    <row r="397" spans="1:76" ht="10.5" customHeight="1" x14ac:dyDescent="0.3">
      <c r="A397" s="31"/>
      <c r="B397" s="31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</row>
    <row r="398" spans="1:76" ht="10.5" customHeight="1" x14ac:dyDescent="0.3">
      <c r="A398" s="31"/>
      <c r="B398" s="31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</row>
    <row r="399" spans="1:76" ht="10.5" customHeight="1" x14ac:dyDescent="0.3">
      <c r="A399" s="31"/>
      <c r="B399" s="31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</row>
    <row r="400" spans="1:76" ht="10.5" customHeight="1" x14ac:dyDescent="0.3">
      <c r="A400" s="31"/>
      <c r="B400" s="31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</row>
    <row r="401" spans="1:76" ht="10.5" customHeight="1" x14ac:dyDescent="0.3">
      <c r="A401" s="31"/>
      <c r="B401" s="31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</row>
    <row r="402" spans="1:76" ht="10.5" customHeight="1" x14ac:dyDescent="0.3">
      <c r="A402" s="31"/>
      <c r="B402" s="31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</row>
    <row r="403" spans="1:76" ht="10.5" customHeight="1" x14ac:dyDescent="0.3">
      <c r="A403" s="31"/>
      <c r="B403" s="31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</row>
    <row r="404" spans="1:76" ht="10.5" customHeight="1" x14ac:dyDescent="0.3">
      <c r="A404" s="31"/>
      <c r="B404" s="31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</row>
    <row r="405" spans="1:76" ht="10.5" customHeight="1" x14ac:dyDescent="0.3">
      <c r="A405" s="31"/>
      <c r="B405" s="31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</row>
    <row r="406" spans="1:76" ht="10.5" customHeight="1" x14ac:dyDescent="0.3">
      <c r="A406" s="31"/>
      <c r="B406" s="31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</row>
    <row r="407" spans="1:76" ht="10.5" customHeight="1" x14ac:dyDescent="0.3">
      <c r="A407" s="31"/>
      <c r="B407" s="31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</row>
    <row r="408" spans="1:76" ht="10.5" customHeight="1" x14ac:dyDescent="0.3">
      <c r="A408" s="31"/>
      <c r="B408" s="31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</row>
    <row r="409" spans="1:76" ht="10.5" customHeight="1" x14ac:dyDescent="0.3">
      <c r="A409" s="31"/>
      <c r="B409" s="31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</row>
    <row r="410" spans="1:76" ht="10.5" customHeight="1" x14ac:dyDescent="0.3">
      <c r="A410" s="31"/>
      <c r="B410" s="31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</row>
    <row r="411" spans="1:76" ht="10.5" customHeight="1" x14ac:dyDescent="0.3">
      <c r="A411" s="31"/>
      <c r="B411" s="31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</row>
    <row r="412" spans="1:76" ht="10.5" customHeight="1" x14ac:dyDescent="0.3">
      <c r="A412" s="31"/>
      <c r="B412" s="31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</row>
    <row r="413" spans="1:76" ht="10.5" customHeight="1" x14ac:dyDescent="0.3">
      <c r="A413" s="31"/>
      <c r="B413" s="31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</row>
    <row r="414" spans="1:76" ht="10.5" customHeight="1" x14ac:dyDescent="0.3">
      <c r="A414" s="31"/>
      <c r="B414" s="31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</row>
    <row r="415" spans="1:76" ht="10.5" customHeight="1" x14ac:dyDescent="0.3">
      <c r="A415" s="31"/>
      <c r="B415" s="31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</row>
    <row r="416" spans="1:76" ht="10.5" customHeight="1" x14ac:dyDescent="0.3">
      <c r="A416" s="31"/>
      <c r="B416" s="31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</row>
    <row r="417" spans="1:76" ht="10.5" customHeight="1" x14ac:dyDescent="0.3">
      <c r="A417" s="31"/>
      <c r="B417" s="31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</row>
    <row r="418" spans="1:76" ht="10.5" customHeight="1" x14ac:dyDescent="0.3">
      <c r="A418" s="31"/>
      <c r="B418" s="31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</row>
    <row r="419" spans="1:76" ht="10.5" customHeight="1" x14ac:dyDescent="0.3">
      <c r="A419" s="31"/>
      <c r="B419" s="31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</row>
    <row r="420" spans="1:76" ht="10.5" customHeight="1" x14ac:dyDescent="0.3">
      <c r="A420" s="31"/>
      <c r="B420" s="31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</row>
    <row r="421" spans="1:76" ht="10.5" customHeight="1" x14ac:dyDescent="0.3">
      <c r="A421" s="31"/>
      <c r="B421" s="31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</row>
    <row r="422" spans="1:76" ht="10.5" customHeight="1" x14ac:dyDescent="0.3">
      <c r="A422" s="31"/>
      <c r="B422" s="31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</row>
    <row r="423" spans="1:76" ht="10.5" customHeight="1" x14ac:dyDescent="0.3">
      <c r="A423" s="31"/>
      <c r="B423" s="31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</row>
    <row r="424" spans="1:76" ht="10.5" customHeight="1" x14ac:dyDescent="0.3">
      <c r="A424" s="31"/>
      <c r="B424" s="31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</row>
    <row r="425" spans="1:76" ht="10.5" customHeight="1" x14ac:dyDescent="0.3">
      <c r="A425" s="31"/>
      <c r="B425" s="31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</row>
    <row r="426" spans="1:76" ht="10.5" customHeight="1" x14ac:dyDescent="0.3">
      <c r="A426" s="31"/>
      <c r="B426" s="31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</row>
    <row r="427" spans="1:76" ht="10.5" customHeight="1" x14ac:dyDescent="0.3">
      <c r="A427" s="31"/>
      <c r="B427" s="31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</row>
    <row r="428" spans="1:76" ht="10.5" customHeight="1" x14ac:dyDescent="0.3">
      <c r="A428" s="31"/>
      <c r="B428" s="31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</row>
    <row r="429" spans="1:76" ht="10.5" customHeight="1" x14ac:dyDescent="0.3">
      <c r="A429" s="31"/>
      <c r="B429" s="31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</row>
    <row r="430" spans="1:76" ht="10.5" customHeight="1" x14ac:dyDescent="0.3">
      <c r="A430" s="31"/>
      <c r="B430" s="31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</row>
    <row r="431" spans="1:76" ht="10.5" customHeight="1" x14ac:dyDescent="0.3">
      <c r="A431" s="31"/>
      <c r="B431" s="31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</row>
    <row r="432" spans="1:76" ht="10.5" customHeight="1" x14ac:dyDescent="0.3">
      <c r="A432" s="31"/>
      <c r="B432" s="31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</row>
    <row r="433" spans="1:76" ht="10.5" customHeight="1" x14ac:dyDescent="0.3">
      <c r="A433" s="31"/>
      <c r="B433" s="31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</row>
    <row r="434" spans="1:76" ht="10.5" customHeight="1" x14ac:dyDescent="0.3">
      <c r="A434" s="31"/>
      <c r="B434" s="31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</row>
    <row r="435" spans="1:76" ht="10.5" customHeight="1" x14ac:dyDescent="0.3">
      <c r="A435" s="31"/>
      <c r="B435" s="31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</row>
    <row r="436" spans="1:76" ht="10.5" customHeight="1" x14ac:dyDescent="0.3">
      <c r="A436" s="31"/>
      <c r="B436" s="31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</row>
    <row r="437" spans="1:76" ht="10.5" customHeight="1" x14ac:dyDescent="0.3">
      <c r="A437" s="31"/>
      <c r="B437" s="31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</row>
    <row r="438" spans="1:76" ht="10.5" customHeight="1" x14ac:dyDescent="0.3">
      <c r="A438" s="31"/>
      <c r="B438" s="31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</row>
    <row r="439" spans="1:76" ht="10.5" customHeight="1" x14ac:dyDescent="0.3">
      <c r="A439" s="31"/>
      <c r="B439" s="31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</row>
    <row r="440" spans="1:76" ht="10.5" customHeight="1" x14ac:dyDescent="0.3">
      <c r="A440" s="31"/>
      <c r="B440" s="31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</row>
    <row r="441" spans="1:76" ht="10.5" customHeight="1" x14ac:dyDescent="0.3">
      <c r="A441" s="31"/>
      <c r="B441" s="31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</row>
    <row r="442" spans="1:76" ht="10.5" customHeight="1" x14ac:dyDescent="0.3">
      <c r="A442" s="31"/>
      <c r="B442" s="31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</row>
    <row r="443" spans="1:76" ht="10.5" customHeight="1" x14ac:dyDescent="0.3">
      <c r="A443" s="31"/>
      <c r="B443" s="31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</row>
    <row r="444" spans="1:76" ht="10.5" customHeight="1" x14ac:dyDescent="0.3">
      <c r="A444" s="31"/>
      <c r="B444" s="31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</row>
    <row r="445" spans="1:76" ht="10.5" customHeight="1" x14ac:dyDescent="0.3">
      <c r="A445" s="31"/>
      <c r="B445" s="31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</row>
    <row r="446" spans="1:76" ht="10.5" customHeight="1" x14ac:dyDescent="0.3">
      <c r="A446" s="31"/>
      <c r="B446" s="31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</row>
    <row r="447" spans="1:76" ht="10.5" customHeight="1" x14ac:dyDescent="0.3">
      <c r="A447" s="31"/>
      <c r="B447" s="31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</row>
    <row r="448" spans="1:76" ht="10.5" customHeight="1" x14ac:dyDescent="0.3">
      <c r="A448" s="31"/>
      <c r="B448" s="31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</row>
    <row r="449" spans="1:76" ht="10.5" customHeight="1" x14ac:dyDescent="0.3">
      <c r="A449" s="31"/>
      <c r="B449" s="31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</row>
    <row r="450" spans="1:76" ht="10.5" customHeight="1" x14ac:dyDescent="0.3">
      <c r="A450" s="31"/>
      <c r="B450" s="31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</row>
    <row r="451" spans="1:76" ht="10.5" customHeight="1" x14ac:dyDescent="0.3">
      <c r="A451" s="31"/>
      <c r="B451" s="31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</row>
    <row r="452" spans="1:76" ht="10.5" customHeight="1" x14ac:dyDescent="0.3">
      <c r="A452" s="31"/>
      <c r="B452" s="31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</row>
    <row r="453" spans="1:76" ht="10.5" customHeight="1" x14ac:dyDescent="0.3">
      <c r="A453" s="31"/>
      <c r="B453" s="31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</row>
    <row r="454" spans="1:76" ht="10.5" customHeight="1" x14ac:dyDescent="0.3">
      <c r="A454" s="31"/>
      <c r="B454" s="31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</row>
    <row r="455" spans="1:76" ht="10.5" customHeight="1" x14ac:dyDescent="0.3">
      <c r="A455" s="31"/>
      <c r="B455" s="31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</row>
    <row r="456" spans="1:76" ht="10.5" customHeight="1" x14ac:dyDescent="0.3">
      <c r="A456" s="31"/>
      <c r="B456" s="31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</row>
    <row r="457" spans="1:76" ht="10.5" customHeight="1" x14ac:dyDescent="0.3">
      <c r="A457" s="31"/>
      <c r="B457" s="31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</row>
    <row r="458" spans="1:76" ht="10.5" customHeight="1" x14ac:dyDescent="0.3">
      <c r="A458" s="31"/>
      <c r="B458" s="31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</row>
    <row r="459" spans="1:76" ht="10.5" customHeight="1" x14ac:dyDescent="0.3">
      <c r="A459" s="31"/>
      <c r="B459" s="31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</row>
    <row r="460" spans="1:76" ht="10.5" customHeight="1" x14ac:dyDescent="0.3">
      <c r="A460" s="31"/>
      <c r="B460" s="31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</row>
    <row r="461" spans="1:76" ht="10.5" customHeight="1" x14ac:dyDescent="0.3">
      <c r="A461" s="31"/>
      <c r="B461" s="31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</row>
    <row r="462" spans="1:76" ht="10.5" customHeight="1" x14ac:dyDescent="0.3">
      <c r="A462" s="31"/>
      <c r="B462" s="31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</row>
    <row r="463" spans="1:76" ht="10.5" customHeight="1" x14ac:dyDescent="0.3">
      <c r="A463" s="31"/>
      <c r="B463" s="31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</row>
    <row r="464" spans="1:76" ht="10.5" customHeight="1" x14ac:dyDescent="0.3">
      <c r="A464" s="31"/>
      <c r="B464" s="31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</row>
    <row r="465" spans="1:76" ht="10.5" customHeight="1" x14ac:dyDescent="0.3">
      <c r="A465" s="31"/>
      <c r="B465" s="31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</row>
    <row r="466" spans="1:76" ht="10.5" customHeight="1" x14ac:dyDescent="0.3">
      <c r="A466" s="31"/>
      <c r="B466" s="31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</row>
    <row r="467" spans="1:76" ht="10.5" customHeight="1" x14ac:dyDescent="0.3">
      <c r="A467" s="31"/>
      <c r="B467" s="31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</row>
    <row r="468" spans="1:76" ht="10.5" customHeight="1" x14ac:dyDescent="0.3">
      <c r="A468" s="31"/>
      <c r="B468" s="31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</row>
    <row r="469" spans="1:76" ht="10.5" customHeight="1" x14ac:dyDescent="0.3">
      <c r="A469" s="31"/>
      <c r="B469" s="31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</row>
    <row r="470" spans="1:76" ht="10.5" customHeight="1" x14ac:dyDescent="0.3">
      <c r="A470" s="31"/>
      <c r="B470" s="31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</row>
    <row r="471" spans="1:76" ht="10.5" customHeight="1" x14ac:dyDescent="0.3">
      <c r="A471" s="31"/>
      <c r="B471" s="31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</row>
    <row r="472" spans="1:76" ht="10.5" customHeight="1" x14ac:dyDescent="0.3">
      <c r="A472" s="31"/>
      <c r="B472" s="31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</row>
    <row r="473" spans="1:76" ht="10.5" customHeight="1" x14ac:dyDescent="0.3">
      <c r="A473" s="31"/>
      <c r="B473" s="31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</row>
    <row r="474" spans="1:76" ht="10.5" customHeight="1" x14ac:dyDescent="0.3">
      <c r="A474" s="31"/>
      <c r="B474" s="31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</row>
    <row r="475" spans="1:76" ht="10.5" customHeight="1" x14ac:dyDescent="0.3">
      <c r="A475" s="31"/>
      <c r="B475" s="31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</row>
    <row r="476" spans="1:76" ht="10.5" customHeight="1" x14ac:dyDescent="0.3">
      <c r="A476" s="31"/>
      <c r="B476" s="31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</row>
    <row r="477" spans="1:76" ht="10.5" customHeight="1" x14ac:dyDescent="0.3">
      <c r="A477" s="31"/>
      <c r="B477" s="31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</row>
    <row r="478" spans="1:76" ht="10.5" customHeight="1" x14ac:dyDescent="0.3">
      <c r="A478" s="31"/>
      <c r="B478" s="31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</row>
    <row r="479" spans="1:76" ht="10.5" customHeight="1" x14ac:dyDescent="0.3">
      <c r="A479" s="31"/>
      <c r="B479" s="31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</row>
    <row r="480" spans="1:76" ht="10.5" customHeight="1" x14ac:dyDescent="0.3">
      <c r="A480" s="31"/>
      <c r="B480" s="31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</row>
    <row r="481" spans="1:76" ht="10.5" customHeight="1" x14ac:dyDescent="0.3">
      <c r="A481" s="31"/>
      <c r="B481" s="31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</row>
    <row r="482" spans="1:76" ht="10.5" customHeight="1" x14ac:dyDescent="0.3">
      <c r="A482" s="31"/>
      <c r="B482" s="31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</row>
    <row r="483" spans="1:76" ht="10.5" customHeight="1" x14ac:dyDescent="0.3">
      <c r="A483" s="31"/>
      <c r="B483" s="31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</row>
    <row r="484" spans="1:76" ht="10.5" customHeight="1" x14ac:dyDescent="0.3">
      <c r="A484" s="31"/>
      <c r="B484" s="31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</row>
    <row r="485" spans="1:76" ht="10.5" customHeight="1" x14ac:dyDescent="0.3">
      <c r="A485" s="31"/>
      <c r="B485" s="31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</row>
    <row r="486" spans="1:76" ht="10.5" customHeight="1" x14ac:dyDescent="0.3">
      <c r="A486" s="31"/>
      <c r="B486" s="31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</row>
    <row r="487" spans="1:76" ht="10.5" customHeight="1" x14ac:dyDescent="0.3">
      <c r="A487" s="31"/>
      <c r="B487" s="31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</row>
    <row r="488" spans="1:76" ht="10.5" customHeight="1" x14ac:dyDescent="0.3">
      <c r="A488" s="31"/>
      <c r="B488" s="31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</row>
    <row r="489" spans="1:76" ht="10.5" customHeight="1" x14ac:dyDescent="0.3">
      <c r="A489" s="31"/>
      <c r="B489" s="31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</row>
    <row r="490" spans="1:76" ht="10.5" customHeight="1" x14ac:dyDescent="0.3">
      <c r="A490" s="31"/>
      <c r="B490" s="31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</row>
    <row r="491" spans="1:76" ht="10.5" customHeight="1" x14ac:dyDescent="0.3">
      <c r="A491" s="31"/>
      <c r="B491" s="31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</row>
    <row r="492" spans="1:76" ht="10.5" customHeight="1" x14ac:dyDescent="0.3">
      <c r="A492" s="31"/>
      <c r="B492" s="31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</row>
    <row r="493" spans="1:76" ht="10.5" customHeight="1" x14ac:dyDescent="0.3">
      <c r="A493" s="31"/>
      <c r="B493" s="31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</row>
    <row r="494" spans="1:76" ht="10.5" customHeight="1" x14ac:dyDescent="0.3">
      <c r="A494" s="31"/>
      <c r="B494" s="31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</row>
    <row r="495" spans="1:76" ht="10.5" customHeight="1" x14ac:dyDescent="0.3">
      <c r="A495" s="31"/>
      <c r="B495" s="31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</row>
    <row r="496" spans="1:76" ht="10.5" customHeight="1" x14ac:dyDescent="0.3">
      <c r="A496" s="31"/>
      <c r="B496" s="31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</row>
    <row r="497" spans="1:76" ht="10.5" customHeight="1" x14ac:dyDescent="0.3">
      <c r="A497" s="31"/>
      <c r="B497" s="31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</row>
    <row r="498" spans="1:76" ht="10.5" customHeight="1" x14ac:dyDescent="0.3">
      <c r="A498" s="31"/>
      <c r="B498" s="31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</row>
    <row r="499" spans="1:76" ht="10.5" customHeight="1" x14ac:dyDescent="0.3">
      <c r="A499" s="31"/>
      <c r="B499" s="31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</row>
    <row r="500" spans="1:76" ht="10.5" customHeight="1" x14ac:dyDescent="0.3">
      <c r="A500" s="31"/>
      <c r="B500" s="31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</row>
    <row r="501" spans="1:76" ht="10.5" customHeight="1" x14ac:dyDescent="0.3">
      <c r="A501" s="31"/>
      <c r="B501" s="31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</row>
    <row r="502" spans="1:76" ht="10.5" customHeight="1" x14ac:dyDescent="0.3">
      <c r="A502" s="31"/>
      <c r="B502" s="31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</row>
    <row r="503" spans="1:76" ht="10.5" customHeight="1" x14ac:dyDescent="0.3">
      <c r="A503" s="31"/>
      <c r="B503" s="31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</row>
    <row r="504" spans="1:76" ht="10.5" customHeight="1" x14ac:dyDescent="0.3">
      <c r="A504" s="31"/>
      <c r="B504" s="31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</row>
    <row r="505" spans="1:76" ht="10.5" customHeight="1" x14ac:dyDescent="0.3">
      <c r="A505" s="31"/>
      <c r="B505" s="31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</row>
    <row r="506" spans="1:76" ht="10.5" customHeight="1" x14ac:dyDescent="0.3">
      <c r="A506" s="31"/>
      <c r="B506" s="31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</row>
    <row r="507" spans="1:76" ht="10.5" customHeight="1" x14ac:dyDescent="0.3">
      <c r="A507" s="31"/>
      <c r="B507" s="31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</row>
    <row r="508" spans="1:76" ht="10.5" customHeight="1" x14ac:dyDescent="0.3">
      <c r="A508" s="31"/>
      <c r="B508" s="31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</row>
    <row r="509" spans="1:76" ht="10.5" customHeight="1" x14ac:dyDescent="0.3">
      <c r="A509" s="31"/>
      <c r="B509" s="31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</row>
    <row r="510" spans="1:76" ht="10.5" customHeight="1" x14ac:dyDescent="0.3">
      <c r="A510" s="31"/>
      <c r="B510" s="31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</row>
    <row r="511" spans="1:76" ht="10.5" customHeight="1" x14ac:dyDescent="0.3">
      <c r="A511" s="31"/>
      <c r="B511" s="31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</row>
    <row r="512" spans="1:76" ht="10.5" customHeight="1" x14ac:dyDescent="0.3">
      <c r="A512" s="31"/>
      <c r="B512" s="31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</row>
    <row r="513" spans="1:76" ht="10.5" customHeight="1" x14ac:dyDescent="0.3">
      <c r="A513" s="31"/>
      <c r="B513" s="31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</row>
    <row r="514" spans="1:76" ht="10.5" customHeight="1" x14ac:dyDescent="0.3">
      <c r="A514" s="31"/>
      <c r="B514" s="31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</row>
    <row r="515" spans="1:76" ht="10.5" customHeight="1" x14ac:dyDescent="0.3">
      <c r="A515" s="31"/>
      <c r="B515" s="31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</row>
    <row r="516" spans="1:76" ht="10.5" customHeight="1" x14ac:dyDescent="0.3">
      <c r="A516" s="31"/>
      <c r="B516" s="31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</row>
    <row r="517" spans="1:76" ht="10.5" customHeight="1" x14ac:dyDescent="0.3">
      <c r="A517" s="31"/>
      <c r="B517" s="31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</row>
    <row r="518" spans="1:76" ht="10.5" customHeight="1" x14ac:dyDescent="0.3">
      <c r="A518" s="31"/>
      <c r="B518" s="31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</row>
    <row r="519" spans="1:76" ht="10.5" customHeight="1" x14ac:dyDescent="0.3">
      <c r="A519" s="31"/>
      <c r="B519" s="31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</row>
    <row r="520" spans="1:76" ht="10.5" customHeight="1" x14ac:dyDescent="0.3">
      <c r="A520" s="31"/>
      <c r="B520" s="31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</row>
    <row r="521" spans="1:76" ht="10.5" customHeight="1" x14ac:dyDescent="0.3">
      <c r="A521" s="31"/>
      <c r="B521" s="31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</row>
    <row r="522" spans="1:76" ht="10.5" customHeight="1" x14ac:dyDescent="0.3">
      <c r="A522" s="31"/>
      <c r="B522" s="31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</row>
    <row r="523" spans="1:76" ht="10.5" customHeight="1" x14ac:dyDescent="0.3">
      <c r="A523" s="31"/>
      <c r="B523" s="31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</row>
    <row r="524" spans="1:76" ht="10.5" customHeight="1" x14ac:dyDescent="0.3">
      <c r="A524" s="31"/>
      <c r="B524" s="31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</row>
    <row r="525" spans="1:76" ht="10.5" customHeight="1" x14ac:dyDescent="0.3">
      <c r="A525" s="31"/>
      <c r="B525" s="31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</row>
    <row r="526" spans="1:76" ht="10.5" customHeight="1" x14ac:dyDescent="0.3">
      <c r="A526" s="31"/>
      <c r="B526" s="31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</row>
    <row r="527" spans="1:76" ht="10.5" customHeight="1" x14ac:dyDescent="0.3">
      <c r="A527" s="31"/>
      <c r="B527" s="31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</row>
    <row r="528" spans="1:76" ht="10.5" customHeight="1" x14ac:dyDescent="0.3">
      <c r="A528" s="31"/>
      <c r="B528" s="31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</row>
    <row r="529" spans="1:76" ht="10.5" customHeight="1" x14ac:dyDescent="0.3">
      <c r="A529" s="31"/>
      <c r="B529" s="31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</row>
    <row r="530" spans="1:76" ht="10.5" customHeight="1" x14ac:dyDescent="0.3">
      <c r="A530" s="31"/>
      <c r="B530" s="31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</row>
    <row r="531" spans="1:76" ht="10.5" customHeight="1" x14ac:dyDescent="0.3">
      <c r="A531" s="31"/>
      <c r="B531" s="31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</row>
    <row r="532" spans="1:76" ht="10.5" customHeight="1" x14ac:dyDescent="0.3">
      <c r="A532" s="31"/>
      <c r="B532" s="31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</row>
    <row r="533" spans="1:76" ht="10.5" customHeight="1" x14ac:dyDescent="0.3">
      <c r="A533" s="31"/>
      <c r="B533" s="31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</row>
    <row r="534" spans="1:76" ht="10.5" customHeight="1" x14ac:dyDescent="0.3">
      <c r="A534" s="31"/>
      <c r="B534" s="31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</row>
    <row r="535" spans="1:76" ht="10.5" customHeight="1" x14ac:dyDescent="0.3">
      <c r="A535" s="31"/>
      <c r="B535" s="31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</row>
    <row r="536" spans="1:76" ht="10.5" customHeight="1" x14ac:dyDescent="0.3">
      <c r="A536" s="31"/>
      <c r="B536" s="31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</row>
    <row r="537" spans="1:76" ht="10.5" customHeight="1" x14ac:dyDescent="0.3">
      <c r="A537" s="31"/>
      <c r="B537" s="31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</row>
    <row r="538" spans="1:76" ht="10.5" customHeight="1" x14ac:dyDescent="0.3">
      <c r="A538" s="31"/>
      <c r="B538" s="31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</row>
    <row r="539" spans="1:76" ht="10.5" customHeight="1" x14ac:dyDescent="0.3">
      <c r="A539" s="31"/>
      <c r="B539" s="31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</row>
    <row r="540" spans="1:76" ht="10.5" customHeight="1" x14ac:dyDescent="0.3">
      <c r="A540" s="31"/>
      <c r="B540" s="31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</row>
    <row r="541" spans="1:76" ht="10.5" customHeight="1" x14ac:dyDescent="0.3">
      <c r="A541" s="31"/>
      <c r="B541" s="31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</row>
    <row r="542" spans="1:76" ht="10.5" customHeight="1" x14ac:dyDescent="0.3">
      <c r="A542" s="31"/>
      <c r="B542" s="31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</row>
    <row r="543" spans="1:76" ht="10.5" customHeight="1" x14ac:dyDescent="0.3">
      <c r="A543" s="31"/>
      <c r="B543" s="31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</row>
    <row r="544" spans="1:76" ht="10.5" customHeight="1" x14ac:dyDescent="0.3">
      <c r="A544" s="31"/>
      <c r="B544" s="31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</row>
    <row r="545" spans="1:76" ht="10.5" customHeight="1" x14ac:dyDescent="0.3">
      <c r="A545" s="31"/>
      <c r="B545" s="31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</row>
    <row r="546" spans="1:76" ht="10.5" customHeight="1" x14ac:dyDescent="0.3">
      <c r="A546" s="31"/>
      <c r="B546" s="31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</row>
    <row r="547" spans="1:76" ht="10.5" customHeight="1" x14ac:dyDescent="0.3">
      <c r="A547" s="31"/>
      <c r="B547" s="31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</row>
    <row r="548" spans="1:76" ht="10.5" customHeight="1" x14ac:dyDescent="0.3">
      <c r="A548" s="31"/>
      <c r="B548" s="31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</row>
    <row r="549" spans="1:76" ht="10.5" customHeight="1" x14ac:dyDescent="0.3">
      <c r="A549" s="31"/>
      <c r="B549" s="31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</row>
    <row r="550" spans="1:76" ht="10.5" customHeight="1" x14ac:dyDescent="0.3">
      <c r="A550" s="31"/>
      <c r="B550" s="31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</row>
    <row r="551" spans="1:76" ht="10.5" customHeight="1" x14ac:dyDescent="0.3">
      <c r="A551" s="31"/>
      <c r="B551" s="31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</row>
    <row r="552" spans="1:76" ht="10.5" customHeight="1" x14ac:dyDescent="0.3">
      <c r="A552" s="31"/>
      <c r="B552" s="31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</row>
    <row r="553" spans="1:76" ht="10.5" customHeight="1" x14ac:dyDescent="0.3">
      <c r="A553" s="31"/>
      <c r="B553" s="31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</row>
    <row r="554" spans="1:76" ht="10.5" customHeight="1" x14ac:dyDescent="0.3">
      <c r="A554" s="31"/>
      <c r="B554" s="31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</row>
    <row r="555" spans="1:76" ht="10.5" customHeight="1" x14ac:dyDescent="0.3">
      <c r="A555" s="31"/>
      <c r="B555" s="31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</row>
    <row r="556" spans="1:76" ht="10.5" customHeight="1" x14ac:dyDescent="0.3">
      <c r="A556" s="31"/>
      <c r="B556" s="31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</row>
    <row r="557" spans="1:76" ht="10.5" customHeight="1" x14ac:dyDescent="0.3">
      <c r="A557" s="31"/>
      <c r="B557" s="31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</row>
    <row r="558" spans="1:76" ht="10.5" customHeight="1" x14ac:dyDescent="0.3">
      <c r="A558" s="31"/>
      <c r="B558" s="31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</row>
    <row r="559" spans="1:76" ht="10.5" customHeight="1" x14ac:dyDescent="0.3">
      <c r="A559" s="31"/>
      <c r="B559" s="31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</row>
    <row r="560" spans="1:76" ht="10.5" customHeight="1" x14ac:dyDescent="0.3">
      <c r="A560" s="31"/>
      <c r="B560" s="31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</row>
    <row r="561" spans="1:76" ht="10.5" customHeight="1" x14ac:dyDescent="0.3">
      <c r="A561" s="31"/>
      <c r="B561" s="31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</row>
    <row r="562" spans="1:76" ht="10.5" customHeight="1" x14ac:dyDescent="0.3">
      <c r="A562" s="31"/>
      <c r="B562" s="31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</row>
    <row r="563" spans="1:76" ht="10.5" customHeight="1" x14ac:dyDescent="0.3">
      <c r="A563" s="31"/>
      <c r="B563" s="31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</row>
    <row r="564" spans="1:76" ht="10.5" customHeight="1" x14ac:dyDescent="0.3">
      <c r="A564" s="31"/>
      <c r="B564" s="31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</row>
    <row r="565" spans="1:76" ht="10.5" customHeight="1" x14ac:dyDescent="0.3">
      <c r="A565" s="31"/>
      <c r="B565" s="31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</row>
    <row r="566" spans="1:76" ht="10.5" customHeight="1" x14ac:dyDescent="0.3">
      <c r="A566" s="31"/>
      <c r="B566" s="31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</row>
    <row r="567" spans="1:76" ht="10.5" customHeight="1" x14ac:dyDescent="0.3">
      <c r="A567" s="31"/>
      <c r="B567" s="31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</row>
    <row r="568" spans="1:76" ht="10.5" customHeight="1" x14ac:dyDescent="0.3">
      <c r="A568" s="31"/>
      <c r="B568" s="31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</row>
    <row r="569" spans="1:76" ht="10.5" customHeight="1" x14ac:dyDescent="0.3">
      <c r="A569" s="31"/>
      <c r="B569" s="31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</row>
    <row r="570" spans="1:76" ht="10.5" customHeight="1" x14ac:dyDescent="0.3">
      <c r="A570" s="31"/>
      <c r="B570" s="31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</row>
    <row r="571" spans="1:76" ht="10.5" customHeight="1" x14ac:dyDescent="0.3">
      <c r="A571" s="31"/>
      <c r="B571" s="31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</row>
    <row r="572" spans="1:76" ht="10.5" customHeight="1" x14ac:dyDescent="0.3">
      <c r="A572" s="31"/>
      <c r="B572" s="31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</row>
    <row r="573" spans="1:76" ht="10.5" customHeight="1" x14ac:dyDescent="0.3">
      <c r="A573" s="31"/>
      <c r="B573" s="31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</row>
    <row r="574" spans="1:76" ht="10.5" customHeight="1" x14ac:dyDescent="0.3">
      <c r="A574" s="31"/>
      <c r="B574" s="31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</row>
    <row r="575" spans="1:76" ht="10.5" customHeight="1" x14ac:dyDescent="0.3">
      <c r="A575" s="31"/>
      <c r="B575" s="31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</row>
    <row r="576" spans="1:76" ht="10.5" customHeight="1" x14ac:dyDescent="0.3">
      <c r="A576" s="31"/>
      <c r="B576" s="31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</row>
    <row r="577" spans="1:76" ht="10.5" customHeight="1" x14ac:dyDescent="0.3">
      <c r="A577" s="31"/>
      <c r="B577" s="31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</row>
    <row r="578" spans="1:76" ht="10.5" customHeight="1" x14ac:dyDescent="0.3">
      <c r="A578" s="31"/>
      <c r="B578" s="31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</row>
    <row r="579" spans="1:76" ht="10.5" customHeight="1" x14ac:dyDescent="0.3">
      <c r="A579" s="31"/>
      <c r="B579" s="31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</row>
    <row r="580" spans="1:76" ht="10.5" customHeight="1" x14ac:dyDescent="0.3">
      <c r="A580" s="31"/>
      <c r="B580" s="31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</row>
    <row r="581" spans="1:76" ht="10.5" customHeight="1" x14ac:dyDescent="0.3">
      <c r="A581" s="31"/>
      <c r="B581" s="31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</row>
    <row r="582" spans="1:76" ht="10.5" customHeight="1" x14ac:dyDescent="0.3">
      <c r="A582" s="31"/>
      <c r="B582" s="31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</row>
    <row r="583" spans="1:76" ht="10.5" customHeight="1" x14ac:dyDescent="0.3">
      <c r="A583" s="31"/>
      <c r="B583" s="31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</row>
    <row r="584" spans="1:76" ht="10.5" customHeight="1" x14ac:dyDescent="0.3">
      <c r="A584" s="31"/>
      <c r="B584" s="31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</row>
    <row r="585" spans="1:76" ht="10.5" customHeight="1" x14ac:dyDescent="0.3">
      <c r="A585" s="31"/>
      <c r="B585" s="31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</row>
    <row r="586" spans="1:76" ht="10.5" customHeight="1" x14ac:dyDescent="0.3">
      <c r="A586" s="31"/>
      <c r="B586" s="31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</row>
    <row r="587" spans="1:76" ht="10.5" customHeight="1" x14ac:dyDescent="0.3">
      <c r="A587" s="31"/>
      <c r="B587" s="31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</row>
    <row r="588" spans="1:76" ht="10.5" customHeight="1" x14ac:dyDescent="0.3">
      <c r="A588" s="31"/>
      <c r="B588" s="31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</row>
    <row r="589" spans="1:76" ht="10.5" customHeight="1" x14ac:dyDescent="0.3">
      <c r="A589" s="31"/>
      <c r="B589" s="31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</row>
    <row r="590" spans="1:76" ht="10.5" customHeight="1" x14ac:dyDescent="0.3">
      <c r="A590" s="31"/>
      <c r="B590" s="31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</row>
    <row r="591" spans="1:76" ht="10.5" customHeight="1" x14ac:dyDescent="0.3">
      <c r="A591" s="31"/>
      <c r="B591" s="31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</row>
    <row r="592" spans="1:76" ht="10.5" customHeight="1" x14ac:dyDescent="0.3">
      <c r="A592" s="31"/>
      <c r="B592" s="31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</row>
    <row r="593" spans="1:76" ht="10.5" customHeight="1" x14ac:dyDescent="0.3">
      <c r="A593" s="31"/>
      <c r="B593" s="31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</row>
    <row r="594" spans="1:76" ht="10.5" customHeight="1" x14ac:dyDescent="0.3">
      <c r="A594" s="31"/>
      <c r="B594" s="31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</row>
    <row r="595" spans="1:76" ht="10.5" customHeight="1" x14ac:dyDescent="0.3">
      <c r="A595" s="31"/>
      <c r="B595" s="31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</row>
    <row r="596" spans="1:76" ht="10.5" customHeight="1" x14ac:dyDescent="0.3">
      <c r="A596" s="31"/>
      <c r="B596" s="31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</row>
    <row r="597" spans="1:76" ht="10.5" customHeight="1" x14ac:dyDescent="0.3">
      <c r="A597" s="31"/>
      <c r="B597" s="31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</row>
    <row r="598" spans="1:76" ht="10.5" customHeight="1" x14ac:dyDescent="0.3">
      <c r="A598" s="31"/>
      <c r="B598" s="31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</row>
    <row r="599" spans="1:76" ht="10.5" customHeight="1" x14ac:dyDescent="0.3">
      <c r="A599" s="31"/>
      <c r="B599" s="31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</row>
    <row r="600" spans="1:76" ht="10.5" customHeight="1" x14ac:dyDescent="0.3">
      <c r="A600" s="31"/>
      <c r="B600" s="31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</row>
    <row r="601" spans="1:76" ht="10.5" customHeight="1" x14ac:dyDescent="0.3">
      <c r="A601" s="31"/>
      <c r="B601" s="31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</row>
    <row r="602" spans="1:76" ht="10.5" customHeight="1" x14ac:dyDescent="0.3">
      <c r="A602" s="31"/>
      <c r="B602" s="31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</row>
    <row r="603" spans="1:76" ht="10.5" customHeight="1" x14ac:dyDescent="0.3">
      <c r="A603" s="31"/>
      <c r="B603" s="31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</row>
    <row r="604" spans="1:76" ht="10.5" customHeight="1" x14ac:dyDescent="0.3">
      <c r="A604" s="31"/>
      <c r="B604" s="31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</row>
    <row r="605" spans="1:76" ht="10.5" customHeight="1" x14ac:dyDescent="0.3">
      <c r="A605" s="31"/>
      <c r="B605" s="31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</row>
    <row r="606" spans="1:76" ht="10.5" customHeight="1" x14ac:dyDescent="0.3">
      <c r="A606" s="31"/>
      <c r="B606" s="31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</row>
    <row r="607" spans="1:76" ht="10.5" customHeight="1" x14ac:dyDescent="0.3">
      <c r="A607" s="31"/>
      <c r="B607" s="31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</row>
    <row r="608" spans="1:76" ht="10.5" customHeight="1" x14ac:dyDescent="0.3">
      <c r="A608" s="31"/>
      <c r="B608" s="31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</row>
    <row r="609" spans="1:76" ht="10.5" customHeight="1" x14ac:dyDescent="0.3">
      <c r="A609" s="31"/>
      <c r="B609" s="31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</row>
    <row r="610" spans="1:76" ht="10.5" customHeight="1" x14ac:dyDescent="0.3">
      <c r="A610" s="31"/>
      <c r="B610" s="31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</row>
    <row r="611" spans="1:76" ht="10.5" customHeight="1" x14ac:dyDescent="0.3">
      <c r="A611" s="31"/>
      <c r="B611" s="31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</row>
    <row r="612" spans="1:76" ht="10.5" customHeight="1" x14ac:dyDescent="0.3">
      <c r="A612" s="31"/>
      <c r="B612" s="31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</row>
    <row r="613" spans="1:76" ht="10.5" customHeight="1" x14ac:dyDescent="0.3">
      <c r="A613" s="31"/>
      <c r="B613" s="31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</row>
    <row r="614" spans="1:76" ht="10.5" customHeight="1" x14ac:dyDescent="0.3">
      <c r="A614" s="31"/>
      <c r="B614" s="31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</row>
    <row r="615" spans="1:76" ht="10.5" customHeight="1" x14ac:dyDescent="0.3">
      <c r="A615" s="31"/>
      <c r="B615" s="31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</row>
    <row r="616" spans="1:76" ht="10.5" customHeight="1" x14ac:dyDescent="0.3">
      <c r="A616" s="31"/>
      <c r="B616" s="31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</row>
    <row r="617" spans="1:76" ht="10.5" customHeight="1" x14ac:dyDescent="0.3">
      <c r="A617" s="31"/>
      <c r="B617" s="31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</row>
    <row r="618" spans="1:76" ht="10.5" customHeight="1" x14ac:dyDescent="0.3">
      <c r="A618" s="31"/>
      <c r="B618" s="31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</row>
    <row r="619" spans="1:76" ht="10.5" customHeight="1" x14ac:dyDescent="0.3">
      <c r="A619" s="31"/>
      <c r="B619" s="31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</row>
    <row r="620" spans="1:76" ht="10.5" customHeight="1" x14ac:dyDescent="0.3">
      <c r="A620" s="31"/>
      <c r="B620" s="31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</row>
    <row r="621" spans="1:76" ht="10.5" customHeight="1" x14ac:dyDescent="0.3">
      <c r="A621" s="31"/>
      <c r="B621" s="31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</row>
    <row r="622" spans="1:76" ht="10.5" customHeight="1" x14ac:dyDescent="0.3">
      <c r="A622" s="31"/>
      <c r="B622" s="31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</row>
    <row r="623" spans="1:76" ht="10.5" customHeight="1" x14ac:dyDescent="0.3">
      <c r="A623" s="31"/>
      <c r="B623" s="31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</row>
    <row r="624" spans="1:76" ht="10.5" customHeight="1" x14ac:dyDescent="0.3">
      <c r="A624" s="31"/>
      <c r="B624" s="31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</row>
    <row r="625" spans="1:76" ht="10.5" customHeight="1" x14ac:dyDescent="0.3">
      <c r="A625" s="31"/>
      <c r="B625" s="31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</row>
    <row r="626" spans="1:76" ht="10.5" customHeight="1" x14ac:dyDescent="0.3">
      <c r="A626" s="31"/>
      <c r="B626" s="31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</row>
    <row r="627" spans="1:76" ht="10.5" customHeight="1" x14ac:dyDescent="0.3">
      <c r="A627" s="31"/>
      <c r="B627" s="31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</row>
    <row r="628" spans="1:76" ht="10.5" customHeight="1" x14ac:dyDescent="0.3">
      <c r="A628" s="31"/>
      <c r="B628" s="31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</row>
    <row r="629" spans="1:76" ht="10.5" customHeight="1" x14ac:dyDescent="0.3">
      <c r="A629" s="31"/>
      <c r="B629" s="31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</row>
    <row r="630" spans="1:76" ht="10.5" customHeight="1" x14ac:dyDescent="0.3">
      <c r="A630" s="31"/>
      <c r="B630" s="31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</row>
    <row r="631" spans="1:76" ht="10.5" customHeight="1" x14ac:dyDescent="0.3">
      <c r="A631" s="31"/>
      <c r="B631" s="31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</row>
    <row r="632" spans="1:76" ht="10.5" customHeight="1" x14ac:dyDescent="0.3">
      <c r="A632" s="31"/>
      <c r="B632" s="31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</row>
    <row r="633" spans="1:76" ht="10.5" customHeight="1" x14ac:dyDescent="0.3">
      <c r="A633" s="31"/>
      <c r="B633" s="31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</row>
    <row r="634" spans="1:76" ht="10.5" customHeight="1" x14ac:dyDescent="0.3">
      <c r="A634" s="31"/>
      <c r="B634" s="31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</row>
    <row r="635" spans="1:76" ht="10.5" customHeight="1" x14ac:dyDescent="0.3">
      <c r="A635" s="31"/>
      <c r="B635" s="31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</row>
    <row r="636" spans="1:76" ht="10.5" customHeight="1" x14ac:dyDescent="0.3">
      <c r="A636" s="31"/>
      <c r="B636" s="31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</row>
    <row r="637" spans="1:76" ht="10.5" customHeight="1" x14ac:dyDescent="0.3">
      <c r="A637" s="31"/>
      <c r="B637" s="31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</row>
    <row r="638" spans="1:76" ht="10.5" customHeight="1" x14ac:dyDescent="0.3">
      <c r="A638" s="31"/>
      <c r="B638" s="31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</row>
    <row r="639" spans="1:76" ht="10.5" customHeight="1" x14ac:dyDescent="0.3">
      <c r="A639" s="31"/>
      <c r="B639" s="31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</row>
    <row r="640" spans="1:76" ht="10.5" customHeight="1" x14ac:dyDescent="0.3">
      <c r="A640" s="31"/>
      <c r="B640" s="31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</row>
    <row r="641" spans="1:76" ht="10.5" customHeight="1" x14ac:dyDescent="0.3">
      <c r="A641" s="31"/>
      <c r="B641" s="31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</row>
    <row r="642" spans="1:76" ht="10.5" customHeight="1" x14ac:dyDescent="0.3">
      <c r="A642" s="31"/>
      <c r="B642" s="31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</row>
    <row r="643" spans="1:76" ht="10.5" customHeight="1" x14ac:dyDescent="0.3">
      <c r="A643" s="31"/>
      <c r="B643" s="31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</row>
    <row r="644" spans="1:76" ht="10.5" customHeight="1" x14ac:dyDescent="0.3">
      <c r="A644" s="31"/>
      <c r="B644" s="31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</row>
    <row r="645" spans="1:76" ht="10.5" customHeight="1" x14ac:dyDescent="0.3">
      <c r="A645" s="31"/>
      <c r="B645" s="31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</row>
    <row r="646" spans="1:76" ht="10.5" customHeight="1" x14ac:dyDescent="0.3">
      <c r="A646" s="31"/>
      <c r="B646" s="31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</row>
    <row r="647" spans="1:76" ht="10.5" customHeight="1" x14ac:dyDescent="0.3">
      <c r="A647" s="31"/>
      <c r="B647" s="31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</row>
    <row r="648" spans="1:76" ht="10.5" customHeight="1" x14ac:dyDescent="0.3">
      <c r="A648" s="31"/>
      <c r="B648" s="31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</row>
    <row r="649" spans="1:76" ht="10.5" customHeight="1" x14ac:dyDescent="0.3">
      <c r="A649" s="31"/>
      <c r="B649" s="31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</row>
    <row r="650" spans="1:76" ht="10.5" customHeight="1" x14ac:dyDescent="0.3">
      <c r="A650" s="31"/>
      <c r="B650" s="31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</row>
    <row r="651" spans="1:76" ht="10.5" customHeight="1" x14ac:dyDescent="0.3">
      <c r="A651" s="31"/>
      <c r="B651" s="31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</row>
    <row r="652" spans="1:76" ht="10.5" customHeight="1" x14ac:dyDescent="0.3">
      <c r="A652" s="31"/>
      <c r="B652" s="31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</row>
    <row r="653" spans="1:76" ht="10.5" customHeight="1" x14ac:dyDescent="0.3">
      <c r="A653" s="31"/>
      <c r="B653" s="31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</row>
    <row r="654" spans="1:76" ht="10.5" customHeight="1" x14ac:dyDescent="0.3">
      <c r="A654" s="31"/>
      <c r="B654" s="31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</row>
    <row r="655" spans="1:76" ht="10.5" customHeight="1" x14ac:dyDescent="0.3">
      <c r="A655" s="31"/>
      <c r="B655" s="31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</row>
    <row r="656" spans="1:76" ht="10.5" customHeight="1" x14ac:dyDescent="0.3">
      <c r="A656" s="31"/>
      <c r="B656" s="31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</row>
    <row r="657" spans="1:76" ht="10.5" customHeight="1" x14ac:dyDescent="0.3">
      <c r="A657" s="31"/>
      <c r="B657" s="31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</row>
    <row r="658" spans="1:76" ht="10.5" customHeight="1" x14ac:dyDescent="0.3">
      <c r="A658" s="31"/>
      <c r="B658" s="31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</row>
    <row r="659" spans="1:76" ht="10.5" customHeight="1" x14ac:dyDescent="0.3">
      <c r="A659" s="31"/>
      <c r="B659" s="31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</row>
    <row r="660" spans="1:76" ht="10.5" customHeight="1" x14ac:dyDescent="0.3">
      <c r="A660" s="31"/>
      <c r="B660" s="31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</row>
    <row r="661" spans="1:76" ht="10.5" customHeight="1" x14ac:dyDescent="0.3">
      <c r="A661" s="31"/>
      <c r="B661" s="31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</row>
    <row r="662" spans="1:76" ht="10.5" customHeight="1" x14ac:dyDescent="0.3">
      <c r="A662" s="31"/>
      <c r="B662" s="31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</row>
    <row r="663" spans="1:76" ht="10.5" customHeight="1" x14ac:dyDescent="0.3">
      <c r="A663" s="31"/>
      <c r="B663" s="31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</row>
    <row r="664" spans="1:76" ht="10.5" customHeight="1" x14ac:dyDescent="0.3">
      <c r="A664" s="31"/>
      <c r="B664" s="31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</row>
    <row r="665" spans="1:76" ht="10.5" customHeight="1" x14ac:dyDescent="0.3">
      <c r="A665" s="31"/>
      <c r="B665" s="31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</row>
    <row r="666" spans="1:76" ht="10.5" customHeight="1" x14ac:dyDescent="0.3">
      <c r="A666" s="31"/>
      <c r="B666" s="31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</row>
    <row r="667" spans="1:76" ht="10.5" customHeight="1" x14ac:dyDescent="0.3">
      <c r="A667" s="31"/>
      <c r="B667" s="31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</row>
    <row r="668" spans="1:76" ht="10.5" customHeight="1" x14ac:dyDescent="0.3">
      <c r="A668" s="31"/>
      <c r="B668" s="31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</row>
    <row r="669" spans="1:76" ht="10.5" customHeight="1" x14ac:dyDescent="0.3">
      <c r="A669" s="31"/>
      <c r="B669" s="31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</row>
    <row r="670" spans="1:76" ht="10.5" customHeight="1" x14ac:dyDescent="0.3">
      <c r="A670" s="31"/>
      <c r="B670" s="31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</row>
    <row r="671" spans="1:76" ht="10.5" customHeight="1" x14ac:dyDescent="0.3">
      <c r="A671" s="31"/>
      <c r="B671" s="31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</row>
    <row r="672" spans="1:76" ht="10.5" customHeight="1" x14ac:dyDescent="0.3">
      <c r="A672" s="31"/>
      <c r="B672" s="31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</row>
    <row r="673" spans="1:76" ht="10.5" customHeight="1" x14ac:dyDescent="0.3">
      <c r="A673" s="31"/>
      <c r="B673" s="31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</row>
    <row r="674" spans="1:76" ht="10.5" customHeight="1" x14ac:dyDescent="0.3">
      <c r="A674" s="31"/>
      <c r="B674" s="31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</row>
    <row r="675" spans="1:76" ht="10.5" customHeight="1" x14ac:dyDescent="0.3">
      <c r="A675" s="31"/>
      <c r="B675" s="31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</row>
    <row r="676" spans="1:76" ht="10.5" customHeight="1" x14ac:dyDescent="0.3">
      <c r="A676" s="31"/>
      <c r="B676" s="31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</row>
    <row r="677" spans="1:76" ht="10.5" customHeight="1" x14ac:dyDescent="0.3">
      <c r="A677" s="31"/>
      <c r="B677" s="31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</row>
    <row r="678" spans="1:76" ht="10.5" customHeight="1" x14ac:dyDescent="0.3">
      <c r="A678" s="31"/>
      <c r="B678" s="31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</row>
    <row r="679" spans="1:76" ht="10.5" customHeight="1" x14ac:dyDescent="0.3">
      <c r="A679" s="31"/>
      <c r="B679" s="31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</row>
    <row r="680" spans="1:76" ht="10.5" customHeight="1" x14ac:dyDescent="0.3">
      <c r="A680" s="31"/>
      <c r="B680" s="31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</row>
    <row r="681" spans="1:76" ht="10.5" customHeight="1" x14ac:dyDescent="0.3">
      <c r="A681" s="31"/>
      <c r="B681" s="31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</row>
    <row r="682" spans="1:76" ht="10.5" customHeight="1" x14ac:dyDescent="0.3">
      <c r="A682" s="31"/>
      <c r="B682" s="31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</row>
    <row r="683" spans="1:76" ht="10.5" customHeight="1" x14ac:dyDescent="0.3">
      <c r="A683" s="31"/>
      <c r="B683" s="31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</row>
    <row r="684" spans="1:76" ht="10.5" customHeight="1" x14ac:dyDescent="0.3">
      <c r="A684" s="31"/>
      <c r="B684" s="31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</row>
    <row r="685" spans="1:76" ht="10.5" customHeight="1" x14ac:dyDescent="0.3">
      <c r="A685" s="31"/>
      <c r="B685" s="31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</row>
    <row r="686" spans="1:76" ht="10.5" customHeight="1" x14ac:dyDescent="0.3">
      <c r="A686" s="31"/>
      <c r="B686" s="31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</row>
    <row r="687" spans="1:76" ht="10.5" customHeight="1" x14ac:dyDescent="0.3">
      <c r="A687" s="31"/>
      <c r="B687" s="31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</row>
    <row r="688" spans="1:76" ht="10.5" customHeight="1" x14ac:dyDescent="0.3">
      <c r="A688" s="31"/>
      <c r="B688" s="31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</row>
    <row r="689" spans="1:76" ht="10.5" customHeight="1" x14ac:dyDescent="0.3">
      <c r="A689" s="31"/>
      <c r="B689" s="31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</row>
    <row r="690" spans="1:76" ht="10.5" customHeight="1" x14ac:dyDescent="0.3">
      <c r="A690" s="31"/>
      <c r="B690" s="31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</row>
    <row r="691" spans="1:76" ht="10.5" customHeight="1" x14ac:dyDescent="0.3">
      <c r="A691" s="31"/>
      <c r="B691" s="31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</row>
    <row r="692" spans="1:76" ht="10.5" customHeight="1" x14ac:dyDescent="0.3">
      <c r="A692" s="31"/>
      <c r="B692" s="31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</row>
    <row r="693" spans="1:76" ht="10.5" customHeight="1" x14ac:dyDescent="0.3">
      <c r="A693" s="31"/>
      <c r="B693" s="31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</row>
    <row r="694" spans="1:76" ht="10.5" customHeight="1" x14ac:dyDescent="0.3">
      <c r="A694" s="31"/>
      <c r="B694" s="31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</row>
    <row r="695" spans="1:76" ht="10.5" customHeight="1" x14ac:dyDescent="0.3">
      <c r="A695" s="31"/>
      <c r="B695" s="31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</row>
    <row r="696" spans="1:76" ht="10.5" customHeight="1" x14ac:dyDescent="0.3">
      <c r="A696" s="31"/>
      <c r="B696" s="31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</row>
    <row r="697" spans="1:76" ht="10.5" customHeight="1" x14ac:dyDescent="0.3">
      <c r="A697" s="31"/>
      <c r="B697" s="31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</row>
    <row r="698" spans="1:76" ht="10.5" customHeight="1" x14ac:dyDescent="0.3">
      <c r="A698" s="31"/>
      <c r="B698" s="31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</row>
    <row r="699" spans="1:76" ht="10.5" customHeight="1" x14ac:dyDescent="0.3">
      <c r="A699" s="31"/>
      <c r="B699" s="31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</row>
    <row r="700" spans="1:76" ht="10.5" customHeight="1" x14ac:dyDescent="0.3">
      <c r="A700" s="31"/>
      <c r="B700" s="31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</row>
    <row r="701" spans="1:76" ht="10.5" customHeight="1" x14ac:dyDescent="0.3">
      <c r="A701" s="31"/>
      <c r="B701" s="31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</row>
    <row r="702" spans="1:76" ht="10.5" customHeight="1" x14ac:dyDescent="0.3">
      <c r="A702" s="31"/>
      <c r="B702" s="31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</row>
    <row r="703" spans="1:76" ht="10.5" customHeight="1" x14ac:dyDescent="0.3">
      <c r="A703" s="31"/>
      <c r="B703" s="31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</row>
    <row r="704" spans="1:76" ht="10.5" customHeight="1" x14ac:dyDescent="0.3">
      <c r="A704" s="31"/>
      <c r="B704" s="31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</row>
    <row r="705" spans="1:76" ht="10.5" customHeight="1" x14ac:dyDescent="0.3">
      <c r="A705" s="31"/>
      <c r="B705" s="31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</row>
    <row r="706" spans="1:76" ht="10.5" customHeight="1" x14ac:dyDescent="0.3">
      <c r="A706" s="31"/>
      <c r="B706" s="31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</row>
    <row r="707" spans="1:76" ht="10.5" customHeight="1" x14ac:dyDescent="0.3">
      <c r="A707" s="31"/>
      <c r="B707" s="31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</row>
    <row r="708" spans="1:76" ht="10.5" customHeight="1" x14ac:dyDescent="0.3">
      <c r="A708" s="31"/>
      <c r="B708" s="31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</row>
    <row r="709" spans="1:76" ht="10.5" customHeight="1" x14ac:dyDescent="0.3">
      <c r="A709" s="31"/>
      <c r="B709" s="31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</row>
    <row r="710" spans="1:76" ht="10.5" customHeight="1" x14ac:dyDescent="0.3">
      <c r="A710" s="31"/>
      <c r="B710" s="31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</row>
    <row r="711" spans="1:76" ht="10.5" customHeight="1" x14ac:dyDescent="0.3">
      <c r="A711" s="31"/>
      <c r="B711" s="31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</row>
    <row r="712" spans="1:76" ht="10.5" customHeight="1" x14ac:dyDescent="0.3">
      <c r="A712" s="31"/>
      <c r="B712" s="31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</row>
    <row r="713" spans="1:76" ht="10.5" customHeight="1" x14ac:dyDescent="0.3">
      <c r="A713" s="31"/>
      <c r="B713" s="31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</row>
    <row r="714" spans="1:76" ht="10.5" customHeight="1" x14ac:dyDescent="0.3">
      <c r="A714" s="31"/>
      <c r="B714" s="31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</row>
    <row r="715" spans="1:76" ht="10.5" customHeight="1" x14ac:dyDescent="0.3">
      <c r="A715" s="31"/>
      <c r="B715" s="31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</row>
    <row r="716" spans="1:76" ht="10.5" customHeight="1" x14ac:dyDescent="0.3">
      <c r="A716" s="31"/>
      <c r="B716" s="31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</row>
    <row r="717" spans="1:76" ht="10.5" customHeight="1" x14ac:dyDescent="0.3">
      <c r="A717" s="31"/>
      <c r="B717" s="31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</row>
    <row r="718" spans="1:76" ht="10.5" customHeight="1" x14ac:dyDescent="0.3">
      <c r="A718" s="31"/>
      <c r="B718" s="31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</row>
    <row r="719" spans="1:76" ht="10.5" customHeight="1" x14ac:dyDescent="0.3">
      <c r="A719" s="31"/>
      <c r="B719" s="31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</row>
    <row r="720" spans="1:76" ht="10.5" customHeight="1" x14ac:dyDescent="0.3">
      <c r="A720" s="31"/>
      <c r="B720" s="31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</row>
    <row r="721" spans="1:76" ht="10.5" customHeight="1" x14ac:dyDescent="0.3">
      <c r="A721" s="31"/>
      <c r="B721" s="31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</row>
    <row r="722" spans="1:76" ht="10.5" customHeight="1" x14ac:dyDescent="0.3">
      <c r="A722" s="31"/>
      <c r="B722" s="31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</row>
    <row r="723" spans="1:76" ht="10.5" customHeight="1" x14ac:dyDescent="0.3">
      <c r="A723" s="31"/>
      <c r="B723" s="31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</row>
    <row r="724" spans="1:76" ht="10.5" customHeight="1" x14ac:dyDescent="0.3">
      <c r="A724" s="31"/>
      <c r="B724" s="31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</row>
    <row r="725" spans="1:76" ht="10.5" customHeight="1" x14ac:dyDescent="0.3">
      <c r="A725" s="31"/>
      <c r="B725" s="31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</row>
    <row r="726" spans="1:76" ht="10.5" customHeight="1" x14ac:dyDescent="0.3">
      <c r="A726" s="31"/>
      <c r="B726" s="31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</row>
    <row r="727" spans="1:76" ht="10.5" customHeight="1" x14ac:dyDescent="0.3">
      <c r="A727" s="31"/>
      <c r="B727" s="31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</row>
    <row r="728" spans="1:76" ht="10.5" customHeight="1" x14ac:dyDescent="0.3">
      <c r="A728" s="31"/>
      <c r="B728" s="31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</row>
    <row r="729" spans="1:76" ht="10.5" customHeight="1" x14ac:dyDescent="0.3">
      <c r="A729" s="31"/>
      <c r="B729" s="31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</row>
    <row r="730" spans="1:76" ht="10.5" customHeight="1" x14ac:dyDescent="0.3">
      <c r="A730" s="31"/>
      <c r="B730" s="31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</row>
    <row r="731" spans="1:76" ht="10.5" customHeight="1" x14ac:dyDescent="0.3">
      <c r="A731" s="31"/>
      <c r="B731" s="31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</row>
    <row r="732" spans="1:76" ht="10.5" customHeight="1" x14ac:dyDescent="0.3">
      <c r="A732" s="31"/>
      <c r="B732" s="31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</row>
    <row r="733" spans="1:76" ht="10.5" customHeight="1" x14ac:dyDescent="0.3">
      <c r="A733" s="31"/>
      <c r="B733" s="31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</row>
    <row r="734" spans="1:76" ht="10.5" customHeight="1" x14ac:dyDescent="0.3">
      <c r="A734" s="31"/>
      <c r="B734" s="31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</row>
    <row r="735" spans="1:76" ht="10.5" customHeight="1" x14ac:dyDescent="0.3">
      <c r="A735" s="31"/>
      <c r="B735" s="31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</row>
    <row r="736" spans="1:76" ht="10.5" customHeight="1" x14ac:dyDescent="0.3">
      <c r="A736" s="31"/>
      <c r="B736" s="31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</row>
    <row r="737" spans="1:76" ht="10.5" customHeight="1" x14ac:dyDescent="0.3">
      <c r="A737" s="31"/>
      <c r="B737" s="31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</row>
    <row r="738" spans="1:76" ht="10.5" customHeight="1" x14ac:dyDescent="0.3">
      <c r="A738" s="31"/>
      <c r="B738" s="31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</row>
    <row r="739" spans="1:76" ht="10.5" customHeight="1" x14ac:dyDescent="0.3">
      <c r="A739" s="31"/>
      <c r="B739" s="31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</row>
    <row r="740" spans="1:76" ht="10.5" customHeight="1" x14ac:dyDescent="0.3">
      <c r="A740" s="31"/>
      <c r="B740" s="31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</row>
    <row r="741" spans="1:76" ht="10.5" customHeight="1" x14ac:dyDescent="0.3">
      <c r="A741" s="31"/>
      <c r="B741" s="31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</row>
    <row r="742" spans="1:76" ht="10.5" customHeight="1" x14ac:dyDescent="0.3">
      <c r="A742" s="31"/>
      <c r="B742" s="31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</row>
    <row r="743" spans="1:76" ht="10.5" customHeight="1" x14ac:dyDescent="0.3">
      <c r="A743" s="31"/>
      <c r="B743" s="31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</row>
    <row r="744" spans="1:76" ht="10.5" customHeight="1" x14ac:dyDescent="0.3">
      <c r="A744" s="31"/>
      <c r="B744" s="31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</row>
    <row r="745" spans="1:76" ht="10.5" customHeight="1" x14ac:dyDescent="0.3">
      <c r="A745" s="31"/>
      <c r="B745" s="31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</row>
    <row r="746" spans="1:76" ht="10.5" customHeight="1" x14ac:dyDescent="0.3">
      <c r="A746" s="31"/>
      <c r="B746" s="31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</row>
    <row r="747" spans="1:76" ht="10.5" customHeight="1" x14ac:dyDescent="0.3">
      <c r="A747" s="31"/>
      <c r="B747" s="31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</row>
    <row r="748" spans="1:76" ht="10.5" customHeight="1" x14ac:dyDescent="0.3">
      <c r="A748" s="31"/>
      <c r="B748" s="31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</row>
    <row r="749" spans="1:76" ht="10.5" customHeight="1" x14ac:dyDescent="0.3">
      <c r="A749" s="31"/>
      <c r="B749" s="31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</row>
    <row r="750" spans="1:76" ht="10.5" customHeight="1" x14ac:dyDescent="0.3">
      <c r="A750" s="31"/>
      <c r="B750" s="31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</row>
    <row r="751" spans="1:76" ht="10.5" customHeight="1" x14ac:dyDescent="0.3">
      <c r="A751" s="31"/>
      <c r="B751" s="31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</row>
    <row r="752" spans="1:76" ht="10.5" customHeight="1" x14ac:dyDescent="0.3">
      <c r="A752" s="31"/>
      <c r="B752" s="31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</row>
    <row r="753" spans="1:76" ht="10.5" customHeight="1" x14ac:dyDescent="0.3">
      <c r="A753" s="31"/>
      <c r="B753" s="31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</row>
    <row r="754" spans="1:76" ht="10.5" customHeight="1" x14ac:dyDescent="0.3">
      <c r="A754" s="31"/>
      <c r="B754" s="31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</row>
    <row r="755" spans="1:76" ht="10.5" customHeight="1" x14ac:dyDescent="0.3">
      <c r="A755" s="31"/>
      <c r="B755" s="31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</row>
    <row r="756" spans="1:76" ht="10.5" customHeight="1" x14ac:dyDescent="0.3">
      <c r="A756" s="31"/>
      <c r="B756" s="31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</row>
    <row r="757" spans="1:76" ht="10.5" customHeight="1" x14ac:dyDescent="0.3">
      <c r="A757" s="31"/>
      <c r="B757" s="31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</row>
    <row r="758" spans="1:76" ht="10.5" customHeight="1" x14ac:dyDescent="0.3">
      <c r="A758" s="31"/>
      <c r="B758" s="31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</row>
    <row r="759" spans="1:76" ht="10.5" customHeight="1" x14ac:dyDescent="0.3">
      <c r="A759" s="31"/>
      <c r="B759" s="31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</row>
    <row r="760" spans="1:76" ht="10.5" customHeight="1" x14ac:dyDescent="0.3">
      <c r="A760" s="31"/>
      <c r="B760" s="31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</row>
    <row r="761" spans="1:76" ht="10.5" customHeight="1" x14ac:dyDescent="0.3">
      <c r="A761" s="31"/>
      <c r="B761" s="31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</row>
    <row r="762" spans="1:76" ht="10.5" customHeight="1" x14ac:dyDescent="0.3">
      <c r="A762" s="31"/>
      <c r="B762" s="31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</row>
    <row r="763" spans="1:76" ht="10.5" customHeight="1" x14ac:dyDescent="0.3">
      <c r="A763" s="31"/>
      <c r="B763" s="31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</row>
    <row r="764" spans="1:76" ht="10.5" customHeight="1" x14ac:dyDescent="0.3">
      <c r="A764" s="31"/>
      <c r="B764" s="31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</row>
    <row r="765" spans="1:76" ht="10.5" customHeight="1" x14ac:dyDescent="0.3">
      <c r="A765" s="31"/>
      <c r="B765" s="31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</row>
    <row r="766" spans="1:76" ht="10.5" customHeight="1" x14ac:dyDescent="0.3">
      <c r="A766" s="31"/>
      <c r="B766" s="31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</row>
    <row r="767" spans="1:76" ht="10.5" customHeight="1" x14ac:dyDescent="0.3">
      <c r="A767" s="31"/>
      <c r="B767" s="31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</row>
    <row r="768" spans="1:76" ht="10.5" customHeight="1" x14ac:dyDescent="0.3">
      <c r="A768" s="31"/>
      <c r="B768" s="31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</row>
    <row r="769" spans="1:76" ht="10.5" customHeight="1" x14ac:dyDescent="0.3">
      <c r="A769" s="31"/>
      <c r="B769" s="31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</row>
    <row r="770" spans="1:76" ht="10.5" customHeight="1" x14ac:dyDescent="0.3">
      <c r="A770" s="31"/>
      <c r="B770" s="31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</row>
    <row r="771" spans="1:76" ht="10.5" customHeight="1" x14ac:dyDescent="0.3">
      <c r="A771" s="31"/>
      <c r="B771" s="31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</row>
    <row r="772" spans="1:76" ht="10.5" customHeight="1" x14ac:dyDescent="0.3">
      <c r="A772" s="31"/>
      <c r="B772" s="31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</row>
    <row r="773" spans="1:76" ht="10.5" customHeight="1" x14ac:dyDescent="0.3">
      <c r="A773" s="31"/>
      <c r="B773" s="31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</row>
    <row r="774" spans="1:76" ht="10.5" customHeight="1" x14ac:dyDescent="0.3">
      <c r="A774" s="31"/>
      <c r="B774" s="31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</row>
    <row r="775" spans="1:76" ht="10.5" customHeight="1" x14ac:dyDescent="0.3">
      <c r="A775" s="31"/>
      <c r="B775" s="31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</row>
    <row r="776" spans="1:76" ht="10.5" customHeight="1" x14ac:dyDescent="0.3">
      <c r="A776" s="31"/>
      <c r="B776" s="31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</row>
    <row r="777" spans="1:76" ht="10.5" customHeight="1" x14ac:dyDescent="0.3">
      <c r="A777" s="31"/>
      <c r="B777" s="31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</row>
    <row r="778" spans="1:76" ht="10.5" customHeight="1" x14ac:dyDescent="0.3">
      <c r="A778" s="31"/>
      <c r="B778" s="31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</row>
    <row r="779" spans="1:76" ht="10.5" customHeight="1" x14ac:dyDescent="0.3">
      <c r="A779" s="31"/>
      <c r="B779" s="31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</row>
    <row r="780" spans="1:76" ht="10.5" customHeight="1" x14ac:dyDescent="0.3">
      <c r="A780" s="31"/>
      <c r="B780" s="31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</row>
    <row r="781" spans="1:76" ht="10.5" customHeight="1" x14ac:dyDescent="0.3">
      <c r="A781" s="31"/>
      <c r="B781" s="31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</row>
    <row r="782" spans="1:76" ht="10.5" customHeight="1" x14ac:dyDescent="0.3">
      <c r="A782" s="31"/>
      <c r="B782" s="31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</row>
    <row r="783" spans="1:76" ht="10.5" customHeight="1" x14ac:dyDescent="0.3">
      <c r="A783" s="31"/>
      <c r="B783" s="31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</row>
    <row r="784" spans="1:76" ht="10.5" customHeight="1" x14ac:dyDescent="0.3">
      <c r="A784" s="31"/>
      <c r="B784" s="31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</row>
    <row r="785" spans="1:76" ht="10.5" customHeight="1" x14ac:dyDescent="0.3">
      <c r="A785" s="31"/>
      <c r="B785" s="31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</row>
    <row r="786" spans="1:76" ht="10.5" customHeight="1" x14ac:dyDescent="0.3">
      <c r="A786" s="31"/>
      <c r="B786" s="31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</row>
    <row r="787" spans="1:76" ht="10.5" customHeight="1" x14ac:dyDescent="0.3">
      <c r="A787" s="31"/>
      <c r="B787" s="31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</row>
    <row r="788" spans="1:76" ht="10.5" customHeight="1" x14ac:dyDescent="0.3">
      <c r="A788" s="31"/>
      <c r="B788" s="31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</row>
    <row r="789" spans="1:76" ht="10.5" customHeight="1" x14ac:dyDescent="0.3">
      <c r="A789" s="31"/>
      <c r="B789" s="31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</row>
    <row r="790" spans="1:76" ht="10.5" customHeight="1" x14ac:dyDescent="0.3">
      <c r="A790" s="31"/>
      <c r="B790" s="31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</row>
    <row r="791" spans="1:76" ht="10.5" customHeight="1" x14ac:dyDescent="0.3">
      <c r="A791" s="31"/>
      <c r="B791" s="31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</row>
    <row r="792" spans="1:76" ht="10.5" customHeight="1" x14ac:dyDescent="0.3">
      <c r="A792" s="31"/>
      <c r="B792" s="31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</row>
    <row r="793" spans="1:76" ht="10.5" customHeight="1" x14ac:dyDescent="0.3">
      <c r="A793" s="31"/>
      <c r="B793" s="31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</row>
    <row r="794" spans="1:76" ht="10.5" customHeight="1" x14ac:dyDescent="0.3">
      <c r="A794" s="31"/>
      <c r="B794" s="31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</row>
    <row r="795" spans="1:76" ht="10.5" customHeight="1" x14ac:dyDescent="0.3">
      <c r="A795" s="31"/>
      <c r="B795" s="31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</row>
    <row r="796" spans="1:76" ht="10.5" customHeight="1" x14ac:dyDescent="0.3">
      <c r="A796" s="31"/>
      <c r="B796" s="31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</row>
    <row r="797" spans="1:76" ht="10.5" customHeight="1" x14ac:dyDescent="0.3">
      <c r="A797" s="31"/>
      <c r="B797" s="31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</row>
    <row r="798" spans="1:76" ht="10.5" customHeight="1" x14ac:dyDescent="0.3">
      <c r="A798" s="31"/>
      <c r="B798" s="31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</row>
    <row r="799" spans="1:76" ht="10.5" customHeight="1" x14ac:dyDescent="0.3">
      <c r="A799" s="31"/>
      <c r="B799" s="31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</row>
    <row r="800" spans="1:76" ht="10.5" customHeight="1" x14ac:dyDescent="0.3">
      <c r="A800" s="31"/>
      <c r="B800" s="31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</row>
    <row r="801" spans="1:76" ht="10.5" customHeight="1" x14ac:dyDescent="0.3">
      <c r="A801" s="31"/>
      <c r="B801" s="31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</row>
    <row r="802" spans="1:76" ht="10.5" customHeight="1" x14ac:dyDescent="0.3">
      <c r="A802" s="31"/>
      <c r="B802" s="31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</row>
    <row r="803" spans="1:76" ht="10.5" customHeight="1" x14ac:dyDescent="0.3">
      <c r="A803" s="31"/>
      <c r="B803" s="31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</row>
    <row r="804" spans="1:76" ht="10.5" customHeight="1" x14ac:dyDescent="0.3">
      <c r="A804" s="31"/>
      <c r="B804" s="31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</row>
    <row r="805" spans="1:76" ht="10.5" customHeight="1" x14ac:dyDescent="0.3">
      <c r="A805" s="31"/>
      <c r="B805" s="31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</row>
    <row r="806" spans="1:76" ht="10.5" customHeight="1" x14ac:dyDescent="0.3">
      <c r="A806" s="31"/>
      <c r="B806" s="31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</row>
    <row r="807" spans="1:76" ht="10.5" customHeight="1" x14ac:dyDescent="0.3">
      <c r="A807" s="31"/>
      <c r="B807" s="31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</row>
    <row r="808" spans="1:76" ht="10.5" customHeight="1" x14ac:dyDescent="0.3">
      <c r="A808" s="31"/>
      <c r="B808" s="31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</row>
    <row r="809" spans="1:76" ht="10.5" customHeight="1" x14ac:dyDescent="0.3">
      <c r="A809" s="31"/>
      <c r="B809" s="31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</row>
    <row r="810" spans="1:76" ht="10.5" customHeight="1" x14ac:dyDescent="0.3">
      <c r="A810" s="31"/>
      <c r="B810" s="31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</row>
    <row r="811" spans="1:76" ht="10.5" customHeight="1" x14ac:dyDescent="0.3">
      <c r="A811" s="31"/>
      <c r="B811" s="31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</row>
    <row r="812" spans="1:76" ht="10.5" customHeight="1" x14ac:dyDescent="0.3">
      <c r="A812" s="31"/>
      <c r="B812" s="31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</row>
    <row r="813" spans="1:76" ht="10.5" customHeight="1" x14ac:dyDescent="0.3">
      <c r="A813" s="31"/>
      <c r="B813" s="31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</row>
    <row r="814" spans="1:76" ht="10.5" customHeight="1" x14ac:dyDescent="0.3">
      <c r="A814" s="31"/>
      <c r="B814" s="31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</row>
    <row r="815" spans="1:76" ht="10.5" customHeight="1" x14ac:dyDescent="0.3">
      <c r="A815" s="31"/>
      <c r="B815" s="31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</row>
    <row r="816" spans="1:76" ht="10.5" customHeight="1" x14ac:dyDescent="0.3">
      <c r="A816" s="31"/>
      <c r="B816" s="31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</row>
    <row r="817" spans="1:76" ht="10.5" customHeight="1" x14ac:dyDescent="0.3">
      <c r="A817" s="31"/>
      <c r="B817" s="31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</row>
    <row r="818" spans="1:76" ht="10.5" customHeight="1" x14ac:dyDescent="0.3">
      <c r="A818" s="31"/>
      <c r="B818" s="31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</row>
    <row r="819" spans="1:76" ht="10.5" customHeight="1" x14ac:dyDescent="0.3">
      <c r="A819" s="31"/>
      <c r="B819" s="31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</row>
    <row r="820" spans="1:76" ht="10.5" customHeight="1" x14ac:dyDescent="0.3">
      <c r="A820" s="31"/>
      <c r="B820" s="31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</row>
    <row r="821" spans="1:76" ht="10.5" customHeight="1" x14ac:dyDescent="0.3">
      <c r="A821" s="31"/>
      <c r="B821" s="31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</row>
    <row r="822" spans="1:76" ht="10.5" customHeight="1" x14ac:dyDescent="0.3">
      <c r="A822" s="31"/>
      <c r="B822" s="31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</row>
    <row r="823" spans="1:76" ht="10.5" customHeight="1" x14ac:dyDescent="0.3">
      <c r="A823" s="31"/>
      <c r="B823" s="31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</row>
    <row r="824" spans="1:76" ht="10.5" customHeight="1" x14ac:dyDescent="0.3">
      <c r="A824" s="31"/>
      <c r="B824" s="31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</row>
    <row r="825" spans="1:76" ht="10.5" customHeight="1" x14ac:dyDescent="0.3">
      <c r="A825" s="31"/>
      <c r="B825" s="31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</row>
    <row r="826" spans="1:76" ht="10.5" customHeight="1" x14ac:dyDescent="0.3">
      <c r="A826" s="31"/>
      <c r="B826" s="31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</row>
    <row r="827" spans="1:76" ht="10.5" customHeight="1" x14ac:dyDescent="0.3">
      <c r="A827" s="31"/>
      <c r="B827" s="31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</row>
    <row r="828" spans="1:76" ht="10.5" customHeight="1" x14ac:dyDescent="0.3">
      <c r="A828" s="31"/>
      <c r="B828" s="31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</row>
    <row r="829" spans="1:76" ht="10.5" customHeight="1" x14ac:dyDescent="0.3">
      <c r="A829" s="31"/>
      <c r="B829" s="31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</row>
    <row r="830" spans="1:76" ht="10.5" customHeight="1" x14ac:dyDescent="0.3">
      <c r="A830" s="31"/>
      <c r="B830" s="31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</row>
    <row r="831" spans="1:76" ht="10.5" customHeight="1" x14ac:dyDescent="0.3">
      <c r="A831" s="31"/>
      <c r="B831" s="31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</row>
    <row r="832" spans="1:76" ht="10.5" customHeight="1" x14ac:dyDescent="0.3">
      <c r="A832" s="31"/>
      <c r="B832" s="31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</row>
    <row r="833" spans="1:76" ht="10.5" customHeight="1" x14ac:dyDescent="0.3">
      <c r="A833" s="31"/>
      <c r="B833" s="31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</row>
    <row r="834" spans="1:76" ht="10.5" customHeight="1" x14ac:dyDescent="0.3">
      <c r="A834" s="31"/>
      <c r="B834" s="31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</row>
    <row r="835" spans="1:76" ht="10.5" customHeight="1" x14ac:dyDescent="0.3">
      <c r="A835" s="31"/>
      <c r="B835" s="31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</row>
    <row r="836" spans="1:76" ht="10.5" customHeight="1" x14ac:dyDescent="0.3">
      <c r="A836" s="31"/>
      <c r="B836" s="31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</row>
    <row r="837" spans="1:76" ht="10.5" customHeight="1" x14ac:dyDescent="0.3">
      <c r="A837" s="31"/>
      <c r="B837" s="31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</row>
    <row r="838" spans="1:76" ht="10.5" customHeight="1" x14ac:dyDescent="0.3">
      <c r="A838" s="31"/>
      <c r="B838" s="31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</row>
    <row r="839" spans="1:76" ht="10.5" customHeight="1" x14ac:dyDescent="0.3">
      <c r="A839" s="31"/>
      <c r="B839" s="31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</row>
    <row r="840" spans="1:76" ht="10.5" customHeight="1" x14ac:dyDescent="0.3">
      <c r="A840" s="31"/>
      <c r="B840" s="31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</row>
    <row r="841" spans="1:76" ht="10.5" customHeight="1" x14ac:dyDescent="0.3">
      <c r="A841" s="31"/>
      <c r="B841" s="31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</row>
    <row r="842" spans="1:76" ht="10.5" customHeight="1" x14ac:dyDescent="0.3">
      <c r="A842" s="31"/>
      <c r="B842" s="31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</row>
    <row r="843" spans="1:76" ht="10.5" customHeight="1" x14ac:dyDescent="0.3">
      <c r="A843" s="31"/>
      <c r="B843" s="31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</row>
    <row r="844" spans="1:76" ht="10.5" customHeight="1" x14ac:dyDescent="0.3">
      <c r="A844" s="31"/>
      <c r="B844" s="31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</row>
    <row r="845" spans="1:76" ht="10.5" customHeight="1" x14ac:dyDescent="0.3">
      <c r="A845" s="31"/>
      <c r="B845" s="31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</row>
    <row r="846" spans="1:76" ht="10.5" customHeight="1" x14ac:dyDescent="0.3">
      <c r="A846" s="31"/>
      <c r="B846" s="31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</row>
    <row r="847" spans="1:76" ht="10.5" customHeight="1" x14ac:dyDescent="0.3">
      <c r="A847" s="31"/>
      <c r="B847" s="31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</row>
    <row r="848" spans="1:76" ht="10.5" customHeight="1" x14ac:dyDescent="0.3">
      <c r="A848" s="31"/>
      <c r="B848" s="31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</row>
    <row r="849" spans="1:76" ht="10.5" customHeight="1" x14ac:dyDescent="0.3">
      <c r="A849" s="31"/>
      <c r="B849" s="31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</row>
    <row r="850" spans="1:76" ht="10.5" customHeight="1" x14ac:dyDescent="0.3">
      <c r="A850" s="31"/>
      <c r="B850" s="31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</row>
    <row r="851" spans="1:76" ht="10.5" customHeight="1" x14ac:dyDescent="0.3">
      <c r="A851" s="31"/>
      <c r="B851" s="31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</row>
    <row r="852" spans="1:76" ht="10.5" customHeight="1" x14ac:dyDescent="0.3">
      <c r="A852" s="31"/>
      <c r="B852" s="31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</row>
    <row r="853" spans="1:76" ht="10.5" customHeight="1" x14ac:dyDescent="0.3">
      <c r="A853" s="31"/>
      <c r="B853" s="31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</row>
    <row r="854" spans="1:76" ht="10.5" customHeight="1" x14ac:dyDescent="0.3">
      <c r="A854" s="31"/>
      <c r="B854" s="31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</row>
    <row r="855" spans="1:76" ht="10.5" customHeight="1" x14ac:dyDescent="0.3">
      <c r="A855" s="31"/>
      <c r="B855" s="31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</row>
    <row r="856" spans="1:76" ht="10.5" customHeight="1" x14ac:dyDescent="0.3">
      <c r="A856" s="31"/>
      <c r="B856" s="31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</row>
    <row r="857" spans="1:76" ht="10.5" customHeight="1" x14ac:dyDescent="0.3">
      <c r="A857" s="31"/>
      <c r="B857" s="31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</row>
    <row r="858" spans="1:76" ht="10.5" customHeight="1" x14ac:dyDescent="0.3">
      <c r="A858" s="31"/>
      <c r="B858" s="31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</row>
    <row r="859" spans="1:76" ht="10.5" customHeight="1" x14ac:dyDescent="0.3">
      <c r="A859" s="31"/>
      <c r="B859" s="31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</row>
    <row r="860" spans="1:76" ht="10.5" customHeight="1" x14ac:dyDescent="0.3">
      <c r="A860" s="31"/>
      <c r="B860" s="31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</row>
    <row r="861" spans="1:76" ht="10.5" customHeight="1" x14ac:dyDescent="0.3">
      <c r="A861" s="31"/>
      <c r="B861" s="31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</row>
    <row r="862" spans="1:76" ht="10.5" customHeight="1" x14ac:dyDescent="0.3">
      <c r="A862" s="31"/>
      <c r="B862" s="31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</row>
    <row r="863" spans="1:76" ht="10.5" customHeight="1" x14ac:dyDescent="0.3">
      <c r="A863" s="31"/>
      <c r="B863" s="31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</row>
    <row r="864" spans="1:76" ht="10.5" customHeight="1" x14ac:dyDescent="0.3">
      <c r="A864" s="31"/>
      <c r="B864" s="31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</row>
    <row r="865" spans="1:76" ht="10.5" customHeight="1" x14ac:dyDescent="0.3">
      <c r="A865" s="31"/>
      <c r="B865" s="31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</row>
    <row r="866" spans="1:76" ht="10.5" customHeight="1" x14ac:dyDescent="0.3">
      <c r="A866" s="31"/>
      <c r="B866" s="31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</row>
    <row r="867" spans="1:76" ht="10.5" customHeight="1" x14ac:dyDescent="0.3">
      <c r="A867" s="31"/>
      <c r="B867" s="31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</row>
    <row r="868" spans="1:76" ht="10.5" customHeight="1" x14ac:dyDescent="0.3">
      <c r="A868" s="31"/>
      <c r="B868" s="31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</row>
    <row r="869" spans="1:76" ht="10.5" customHeight="1" x14ac:dyDescent="0.3">
      <c r="A869" s="31"/>
      <c r="B869" s="31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</row>
    <row r="870" spans="1:76" ht="10.5" customHeight="1" x14ac:dyDescent="0.3">
      <c r="A870" s="31"/>
      <c r="B870" s="31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</row>
    <row r="871" spans="1:76" ht="10.5" customHeight="1" x14ac:dyDescent="0.3">
      <c r="A871" s="31"/>
      <c r="B871" s="31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</row>
    <row r="872" spans="1:76" ht="10.5" customHeight="1" x14ac:dyDescent="0.3">
      <c r="A872" s="31"/>
      <c r="B872" s="31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</row>
    <row r="873" spans="1:76" ht="10.5" customHeight="1" x14ac:dyDescent="0.3">
      <c r="A873" s="31"/>
      <c r="B873" s="31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</row>
    <row r="874" spans="1:76" ht="10.5" customHeight="1" x14ac:dyDescent="0.3">
      <c r="A874" s="31"/>
      <c r="B874" s="31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</row>
    <row r="875" spans="1:76" ht="10.5" customHeight="1" x14ac:dyDescent="0.3">
      <c r="A875" s="31"/>
      <c r="B875" s="31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</row>
    <row r="876" spans="1:76" ht="10.5" customHeight="1" x14ac:dyDescent="0.3">
      <c r="A876" s="31"/>
      <c r="B876" s="31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</row>
    <row r="877" spans="1:76" ht="10.5" customHeight="1" x14ac:dyDescent="0.3">
      <c r="A877" s="31"/>
      <c r="B877" s="31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</row>
    <row r="878" spans="1:76" ht="10.5" customHeight="1" x14ac:dyDescent="0.3">
      <c r="A878" s="31"/>
      <c r="B878" s="31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</row>
    <row r="879" spans="1:76" ht="10.5" customHeight="1" x14ac:dyDescent="0.3">
      <c r="A879" s="31"/>
      <c r="B879" s="31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</row>
    <row r="880" spans="1:76" ht="10.5" customHeight="1" x14ac:dyDescent="0.3">
      <c r="A880" s="31"/>
      <c r="B880" s="31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</row>
    <row r="881" spans="1:76" ht="10.5" customHeight="1" x14ac:dyDescent="0.3">
      <c r="A881" s="31"/>
      <c r="B881" s="31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</row>
    <row r="882" spans="1:76" ht="10.5" customHeight="1" x14ac:dyDescent="0.3">
      <c r="A882" s="31"/>
      <c r="B882" s="31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</row>
    <row r="883" spans="1:76" ht="10.5" customHeight="1" x14ac:dyDescent="0.3">
      <c r="A883" s="31"/>
      <c r="B883" s="31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</row>
    <row r="884" spans="1:76" ht="10.5" customHeight="1" x14ac:dyDescent="0.3">
      <c r="A884" s="31"/>
      <c r="B884" s="31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</row>
    <row r="885" spans="1:76" ht="10.5" customHeight="1" x14ac:dyDescent="0.3">
      <c r="A885" s="31"/>
      <c r="B885" s="31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</row>
    <row r="886" spans="1:76" ht="10.5" customHeight="1" x14ac:dyDescent="0.3">
      <c r="A886" s="31"/>
      <c r="B886" s="31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</row>
    <row r="887" spans="1:76" ht="10.5" customHeight="1" x14ac:dyDescent="0.3">
      <c r="A887" s="31"/>
      <c r="B887" s="31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</row>
    <row r="888" spans="1:76" ht="10.5" customHeight="1" x14ac:dyDescent="0.3">
      <c r="A888" s="31"/>
      <c r="B888" s="31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</row>
    <row r="889" spans="1:76" ht="10.5" customHeight="1" x14ac:dyDescent="0.3">
      <c r="A889" s="31"/>
      <c r="B889" s="31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</row>
    <row r="890" spans="1:76" ht="10.5" customHeight="1" x14ac:dyDescent="0.3">
      <c r="A890" s="31"/>
      <c r="B890" s="31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</row>
    <row r="891" spans="1:76" ht="10.5" customHeight="1" x14ac:dyDescent="0.3">
      <c r="A891" s="31"/>
      <c r="B891" s="31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</row>
    <row r="892" spans="1:76" ht="10.5" customHeight="1" x14ac:dyDescent="0.3">
      <c r="A892" s="31"/>
      <c r="B892" s="31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</row>
    <row r="893" spans="1:76" ht="10.5" customHeight="1" x14ac:dyDescent="0.3">
      <c r="A893" s="31"/>
      <c r="B893" s="31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</row>
    <row r="894" spans="1:76" ht="10.5" customHeight="1" x14ac:dyDescent="0.3">
      <c r="A894" s="31"/>
      <c r="B894" s="31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</row>
    <row r="895" spans="1:76" ht="10.5" customHeight="1" x14ac:dyDescent="0.3">
      <c r="A895" s="31"/>
      <c r="B895" s="31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</row>
    <row r="896" spans="1:76" ht="10.5" customHeight="1" x14ac:dyDescent="0.3">
      <c r="A896" s="31"/>
      <c r="B896" s="31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</row>
    <row r="897" spans="1:76" ht="10.5" customHeight="1" x14ac:dyDescent="0.3">
      <c r="A897" s="31"/>
      <c r="B897" s="31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</row>
    <row r="898" spans="1:76" ht="10.5" customHeight="1" x14ac:dyDescent="0.3">
      <c r="A898" s="31"/>
      <c r="B898" s="31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</row>
    <row r="899" spans="1:76" ht="10.5" customHeight="1" x14ac:dyDescent="0.3">
      <c r="A899" s="31"/>
      <c r="B899" s="31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</row>
    <row r="900" spans="1:76" ht="10.5" customHeight="1" x14ac:dyDescent="0.3">
      <c r="A900" s="31"/>
      <c r="B900" s="31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</row>
    <row r="901" spans="1:76" ht="10.5" customHeight="1" x14ac:dyDescent="0.3">
      <c r="A901" s="31"/>
      <c r="B901" s="31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</row>
    <row r="902" spans="1:76" ht="10.5" customHeight="1" x14ac:dyDescent="0.3">
      <c r="A902" s="31"/>
      <c r="B902" s="31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</row>
    <row r="903" spans="1:76" ht="10.5" customHeight="1" x14ac:dyDescent="0.3">
      <c r="A903" s="31"/>
      <c r="B903" s="31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</row>
    <row r="904" spans="1:76" ht="10.5" customHeight="1" x14ac:dyDescent="0.3">
      <c r="A904" s="31"/>
      <c r="B904" s="31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</row>
    <row r="905" spans="1:76" ht="10.5" customHeight="1" x14ac:dyDescent="0.3">
      <c r="A905" s="31"/>
      <c r="B905" s="31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</row>
    <row r="906" spans="1:76" ht="10.5" customHeight="1" x14ac:dyDescent="0.3">
      <c r="A906" s="31"/>
      <c r="B906" s="31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</row>
    <row r="907" spans="1:76" ht="10.5" customHeight="1" x14ac:dyDescent="0.3">
      <c r="A907" s="31"/>
      <c r="B907" s="31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</row>
    <row r="908" spans="1:76" ht="10.5" customHeight="1" x14ac:dyDescent="0.3">
      <c r="A908" s="31"/>
      <c r="B908" s="31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</row>
    <row r="909" spans="1:76" ht="10.5" customHeight="1" x14ac:dyDescent="0.3">
      <c r="A909" s="31"/>
      <c r="B909" s="31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</row>
    <row r="910" spans="1:76" ht="10.5" customHeight="1" x14ac:dyDescent="0.3">
      <c r="A910" s="31"/>
      <c r="B910" s="31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</row>
    <row r="911" spans="1:76" ht="10.5" customHeight="1" x14ac:dyDescent="0.3">
      <c r="A911" s="31"/>
      <c r="B911" s="31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</row>
    <row r="912" spans="1:76" ht="10.5" customHeight="1" x14ac:dyDescent="0.3">
      <c r="A912" s="31"/>
      <c r="B912" s="31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</row>
    <row r="913" spans="1:76" ht="10.5" customHeight="1" x14ac:dyDescent="0.3">
      <c r="A913" s="31"/>
      <c r="B913" s="31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</row>
    <row r="914" spans="1:76" ht="10.5" customHeight="1" x14ac:dyDescent="0.3">
      <c r="A914" s="31"/>
      <c r="B914" s="31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</row>
    <row r="915" spans="1:76" ht="10.5" customHeight="1" x14ac:dyDescent="0.3">
      <c r="A915" s="31"/>
      <c r="B915" s="31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</row>
    <row r="916" spans="1:76" ht="10.5" customHeight="1" x14ac:dyDescent="0.3">
      <c r="A916" s="31"/>
      <c r="B916" s="31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</row>
    <row r="917" spans="1:76" ht="10.5" customHeight="1" x14ac:dyDescent="0.3">
      <c r="A917" s="31"/>
      <c r="B917" s="31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</row>
    <row r="918" spans="1:76" ht="10.5" customHeight="1" x14ac:dyDescent="0.3">
      <c r="A918" s="31"/>
      <c r="B918" s="31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</row>
    <row r="919" spans="1:76" ht="10.5" customHeight="1" x14ac:dyDescent="0.3">
      <c r="A919" s="31"/>
      <c r="B919" s="31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</row>
    <row r="920" spans="1:76" ht="10.5" customHeight="1" x14ac:dyDescent="0.3">
      <c r="A920" s="31"/>
      <c r="B920" s="31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</row>
    <row r="921" spans="1:76" ht="10.5" customHeight="1" x14ac:dyDescent="0.3">
      <c r="A921" s="31"/>
      <c r="B921" s="31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</row>
    <row r="922" spans="1:76" ht="10.5" customHeight="1" x14ac:dyDescent="0.3">
      <c r="A922" s="31"/>
      <c r="B922" s="31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</row>
    <row r="923" spans="1:76" ht="10.5" customHeight="1" x14ac:dyDescent="0.3">
      <c r="A923" s="31"/>
      <c r="B923" s="31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</row>
    <row r="924" spans="1:76" ht="10.5" customHeight="1" x14ac:dyDescent="0.3">
      <c r="A924" s="31"/>
      <c r="B924" s="31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</row>
    <row r="925" spans="1:76" ht="10.5" customHeight="1" x14ac:dyDescent="0.3">
      <c r="A925" s="31"/>
      <c r="B925" s="31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</row>
    <row r="926" spans="1:76" ht="10.5" customHeight="1" x14ac:dyDescent="0.3">
      <c r="A926" s="31"/>
      <c r="B926" s="31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</row>
    <row r="927" spans="1:76" ht="10.5" customHeight="1" x14ac:dyDescent="0.3">
      <c r="A927" s="31"/>
      <c r="B927" s="31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</row>
    <row r="928" spans="1:76" ht="10.5" customHeight="1" x14ac:dyDescent="0.3">
      <c r="A928" s="31"/>
      <c r="B928" s="31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</row>
    <row r="929" spans="1:76" ht="10.5" customHeight="1" x14ac:dyDescent="0.3">
      <c r="A929" s="31"/>
      <c r="B929" s="31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</row>
    <row r="930" spans="1:76" ht="10.5" customHeight="1" x14ac:dyDescent="0.3">
      <c r="A930" s="31"/>
      <c r="B930" s="31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</row>
    <row r="931" spans="1:76" ht="10.5" customHeight="1" x14ac:dyDescent="0.3">
      <c r="A931" s="31"/>
      <c r="B931" s="31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</row>
    <row r="932" spans="1:76" ht="10.5" customHeight="1" x14ac:dyDescent="0.3">
      <c r="A932" s="31"/>
      <c r="B932" s="31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</row>
    <row r="933" spans="1:76" ht="10.5" customHeight="1" x14ac:dyDescent="0.3">
      <c r="A933" s="31"/>
      <c r="B933" s="31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</row>
    <row r="934" spans="1:76" ht="10.5" customHeight="1" x14ac:dyDescent="0.3">
      <c r="A934" s="31"/>
      <c r="B934" s="31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</row>
    <row r="935" spans="1:76" ht="10.5" customHeight="1" x14ac:dyDescent="0.3">
      <c r="A935" s="31"/>
      <c r="B935" s="31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</row>
    <row r="936" spans="1:76" ht="10.5" customHeight="1" x14ac:dyDescent="0.3">
      <c r="A936" s="31"/>
      <c r="B936" s="31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</row>
    <row r="937" spans="1:76" ht="10.5" customHeight="1" x14ac:dyDescent="0.3">
      <c r="A937" s="31"/>
      <c r="B937" s="31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</row>
    <row r="938" spans="1:76" ht="10.5" customHeight="1" x14ac:dyDescent="0.3">
      <c r="A938" s="31"/>
      <c r="B938" s="31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</row>
    <row r="939" spans="1:76" ht="10.5" customHeight="1" x14ac:dyDescent="0.3">
      <c r="A939" s="31"/>
      <c r="B939" s="31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</row>
    <row r="940" spans="1:76" ht="10.5" customHeight="1" x14ac:dyDescent="0.3">
      <c r="A940" s="31"/>
      <c r="B940" s="31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</row>
    <row r="941" spans="1:76" ht="10.5" customHeight="1" x14ac:dyDescent="0.3">
      <c r="A941" s="31"/>
      <c r="B941" s="31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</row>
    <row r="942" spans="1:76" ht="10.5" customHeight="1" x14ac:dyDescent="0.3">
      <c r="A942" s="31"/>
      <c r="B942" s="31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</row>
    <row r="943" spans="1:76" ht="10.5" customHeight="1" x14ac:dyDescent="0.3">
      <c r="A943" s="31"/>
      <c r="B943" s="31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</row>
    <row r="944" spans="1:76" ht="10.5" customHeight="1" x14ac:dyDescent="0.3">
      <c r="A944" s="31"/>
      <c r="B944" s="31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</row>
    <row r="945" spans="1:76" ht="10.5" customHeight="1" x14ac:dyDescent="0.3">
      <c r="A945" s="31"/>
      <c r="B945" s="31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</row>
    <row r="946" spans="1:76" ht="10.5" customHeight="1" x14ac:dyDescent="0.3">
      <c r="A946" s="31"/>
      <c r="B946" s="31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</row>
    <row r="947" spans="1:76" ht="10.5" customHeight="1" x14ac:dyDescent="0.3">
      <c r="A947" s="31"/>
      <c r="B947" s="31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</row>
    <row r="948" spans="1:76" ht="10.5" customHeight="1" x14ac:dyDescent="0.3">
      <c r="A948" s="31"/>
      <c r="B948" s="31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</row>
    <row r="949" spans="1:76" ht="10.5" customHeight="1" x14ac:dyDescent="0.3">
      <c r="A949" s="31"/>
      <c r="B949" s="31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</row>
    <row r="950" spans="1:76" ht="10.5" customHeight="1" x14ac:dyDescent="0.3">
      <c r="A950" s="31"/>
      <c r="B950" s="31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</row>
    <row r="951" spans="1:76" ht="10.5" customHeight="1" x14ac:dyDescent="0.3">
      <c r="A951" s="31"/>
      <c r="B951" s="31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</row>
    <row r="952" spans="1:76" ht="10.5" customHeight="1" x14ac:dyDescent="0.3">
      <c r="A952" s="31"/>
      <c r="B952" s="31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</row>
    <row r="953" spans="1:76" ht="10.5" customHeight="1" x14ac:dyDescent="0.3">
      <c r="A953" s="31"/>
      <c r="B953" s="31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</row>
    <row r="954" spans="1:76" ht="10.5" customHeight="1" x14ac:dyDescent="0.3">
      <c r="A954" s="31"/>
      <c r="B954" s="31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</row>
    <row r="955" spans="1:76" ht="10.5" customHeight="1" x14ac:dyDescent="0.3">
      <c r="A955" s="31"/>
      <c r="B955" s="31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</row>
    <row r="956" spans="1:76" ht="10.5" customHeight="1" x14ac:dyDescent="0.3">
      <c r="A956" s="31"/>
      <c r="B956" s="31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</row>
    <row r="957" spans="1:76" ht="10.5" customHeight="1" x14ac:dyDescent="0.3">
      <c r="A957" s="31"/>
      <c r="B957" s="31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</row>
    <row r="958" spans="1:76" ht="10.5" customHeight="1" x14ac:dyDescent="0.3">
      <c r="A958" s="31"/>
      <c r="B958" s="31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</row>
    <row r="959" spans="1:76" ht="10.5" customHeight="1" x14ac:dyDescent="0.3">
      <c r="A959" s="31"/>
      <c r="B959" s="31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</row>
    <row r="960" spans="1:76" ht="10.5" customHeight="1" x14ac:dyDescent="0.3">
      <c r="A960" s="31"/>
      <c r="B960" s="31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</row>
    <row r="961" spans="1:76" ht="10.5" customHeight="1" x14ac:dyDescent="0.3">
      <c r="A961" s="31"/>
      <c r="B961" s="31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</row>
    <row r="962" spans="1:76" ht="10.5" customHeight="1" x14ac:dyDescent="0.3">
      <c r="A962" s="31"/>
      <c r="B962" s="31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</row>
    <row r="963" spans="1:76" ht="10.5" customHeight="1" x14ac:dyDescent="0.3">
      <c r="A963" s="31"/>
      <c r="B963" s="31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</row>
    <row r="964" spans="1:76" ht="10.5" customHeight="1" x14ac:dyDescent="0.3">
      <c r="A964" s="31"/>
      <c r="B964" s="31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</row>
    <row r="965" spans="1:76" ht="10.5" customHeight="1" x14ac:dyDescent="0.3">
      <c r="A965" s="31"/>
      <c r="B965" s="31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</row>
    <row r="966" spans="1:76" ht="10.5" customHeight="1" x14ac:dyDescent="0.3">
      <c r="A966" s="31"/>
      <c r="B966" s="31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</row>
    <row r="967" spans="1:76" ht="10.5" customHeight="1" x14ac:dyDescent="0.3">
      <c r="A967" s="31"/>
      <c r="B967" s="31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</row>
    <row r="968" spans="1:76" ht="10.5" customHeight="1" x14ac:dyDescent="0.3">
      <c r="A968" s="31"/>
      <c r="B968" s="31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</row>
    <row r="969" spans="1:76" ht="10.5" customHeight="1" x14ac:dyDescent="0.3">
      <c r="A969" s="31"/>
      <c r="B969" s="31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</row>
    <row r="970" spans="1:76" ht="10.5" customHeight="1" x14ac:dyDescent="0.3">
      <c r="A970" s="31"/>
      <c r="B970" s="31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</row>
    <row r="971" spans="1:76" ht="10.5" customHeight="1" x14ac:dyDescent="0.3">
      <c r="A971" s="31"/>
      <c r="B971" s="31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</row>
    <row r="972" spans="1:76" ht="10.5" customHeight="1" x14ac:dyDescent="0.3">
      <c r="A972" s="31"/>
      <c r="B972" s="31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</row>
    <row r="973" spans="1:76" ht="10.5" customHeight="1" x14ac:dyDescent="0.3">
      <c r="A973" s="31"/>
      <c r="B973" s="31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</row>
    <row r="974" spans="1:76" ht="10.5" customHeight="1" x14ac:dyDescent="0.3">
      <c r="A974" s="31"/>
      <c r="B974" s="31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</row>
    <row r="975" spans="1:76" ht="10.5" customHeight="1" x14ac:dyDescent="0.3">
      <c r="A975" s="31"/>
      <c r="B975" s="31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</row>
    <row r="976" spans="1:76" ht="10.5" customHeight="1" x14ac:dyDescent="0.3">
      <c r="A976" s="31"/>
      <c r="B976" s="31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</row>
    <row r="977" spans="1:76" ht="10.5" customHeight="1" x14ac:dyDescent="0.3">
      <c r="A977" s="31"/>
      <c r="B977" s="31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</row>
    <row r="978" spans="1:76" ht="10.5" customHeight="1" x14ac:dyDescent="0.3">
      <c r="A978" s="31"/>
      <c r="B978" s="31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</row>
    <row r="979" spans="1:76" ht="10.5" customHeight="1" x14ac:dyDescent="0.3">
      <c r="A979" s="31"/>
      <c r="B979" s="31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</row>
    <row r="980" spans="1:76" ht="10.5" customHeight="1" x14ac:dyDescent="0.3">
      <c r="A980" s="31"/>
      <c r="B980" s="31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</row>
    <row r="981" spans="1:76" ht="10.5" customHeight="1" x14ac:dyDescent="0.3">
      <c r="A981" s="31"/>
      <c r="B981" s="31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</row>
    <row r="982" spans="1:76" ht="10.5" customHeight="1" x14ac:dyDescent="0.3">
      <c r="A982" s="31"/>
      <c r="B982" s="31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</row>
    <row r="983" spans="1:76" ht="10.5" customHeight="1" x14ac:dyDescent="0.3">
      <c r="A983" s="31"/>
      <c r="B983" s="31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</row>
    <row r="984" spans="1:76" ht="10.5" customHeight="1" x14ac:dyDescent="0.3">
      <c r="A984" s="31"/>
      <c r="B984" s="31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</row>
    <row r="985" spans="1:76" ht="10.5" customHeight="1" x14ac:dyDescent="0.3">
      <c r="A985" s="31"/>
      <c r="B985" s="31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</row>
    <row r="986" spans="1:76" ht="10.5" customHeight="1" x14ac:dyDescent="0.3">
      <c r="A986" s="31"/>
      <c r="B986" s="31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</row>
    <row r="987" spans="1:76" ht="10.5" customHeight="1" x14ac:dyDescent="0.3">
      <c r="A987" s="31"/>
      <c r="B987" s="31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</row>
    <row r="988" spans="1:76" ht="10.5" customHeight="1" x14ac:dyDescent="0.3">
      <c r="A988" s="31"/>
      <c r="B988" s="31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</row>
    <row r="989" spans="1:76" ht="10.5" customHeight="1" x14ac:dyDescent="0.3">
      <c r="A989" s="31"/>
      <c r="B989" s="31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</row>
    <row r="990" spans="1:76" ht="10.5" customHeight="1" x14ac:dyDescent="0.3">
      <c r="A990" s="31"/>
      <c r="B990" s="31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</row>
    <row r="991" spans="1:76" ht="10.5" customHeight="1" x14ac:dyDescent="0.3">
      <c r="A991" s="31"/>
      <c r="B991" s="31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</row>
    <row r="992" spans="1:76" ht="10.5" customHeight="1" x14ac:dyDescent="0.3">
      <c r="A992" s="31"/>
      <c r="B992" s="31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</row>
    <row r="993" spans="1:76" ht="10.5" customHeight="1" x14ac:dyDescent="0.3">
      <c r="A993" s="31"/>
      <c r="B993" s="31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</row>
    <row r="994" spans="1:76" ht="10.5" customHeight="1" x14ac:dyDescent="0.3">
      <c r="A994" s="31"/>
      <c r="B994" s="31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</row>
    <row r="995" spans="1:76" ht="10.5" customHeight="1" x14ac:dyDescent="0.3">
      <c r="A995" s="31"/>
      <c r="B995" s="31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</row>
    <row r="996" spans="1:76" ht="10.5" customHeight="1" x14ac:dyDescent="0.3">
      <c r="A996" s="31"/>
      <c r="B996" s="31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</row>
    <row r="997" spans="1:76" ht="10.5" customHeight="1" x14ac:dyDescent="0.3">
      <c r="A997" s="31"/>
      <c r="B997" s="31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</row>
    <row r="998" spans="1:76" ht="10.5" customHeight="1" x14ac:dyDescent="0.3">
      <c r="A998" s="31"/>
      <c r="B998" s="31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</row>
    <row r="999" spans="1:76" ht="10.5" customHeight="1" x14ac:dyDescent="0.3">
      <c r="A999" s="31"/>
      <c r="B999" s="31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</row>
    <row r="1000" spans="1:76" ht="10.5" customHeight="1" x14ac:dyDescent="0.3">
      <c r="A1000" s="31"/>
      <c r="B1000" s="31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</row>
  </sheetData>
  <mergeCells count="13">
    <mergeCell ref="X1:Y1"/>
    <mergeCell ref="AC1:AD1"/>
    <mergeCell ref="AE1:AP1"/>
    <mergeCell ref="X2:Y2"/>
    <mergeCell ref="AC2:AD2"/>
    <mergeCell ref="AE2:AM2"/>
    <mergeCell ref="AE3:AM3"/>
    <mergeCell ref="A4:BX4"/>
    <mergeCell ref="E5:U5"/>
    <mergeCell ref="W5:AM5"/>
    <mergeCell ref="AO5:BE5"/>
    <mergeCell ref="BG5:BW5"/>
    <mergeCell ref="AC3:AD3"/>
  </mergeCells>
  <pageMargins left="0.7" right="0.7" top="0.75" bottom="0.75" header="0" footer="0"/>
  <pageSetup paperSize="14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BD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Q11" sqref="AQ11"/>
    </sheetView>
  </sheetViews>
  <sheetFormatPr defaultColWidth="14.44140625" defaultRowHeight="15" customHeight="1" x14ac:dyDescent="0.3"/>
  <cols>
    <col min="1" max="1" width="2.5546875" customWidth="1"/>
    <col min="2" max="2" width="24.33203125" customWidth="1"/>
    <col min="3" max="29" width="3.44140625" customWidth="1"/>
    <col min="30" max="31" width="3.44140625" hidden="1" customWidth="1"/>
    <col min="32" max="36" width="3.44140625" customWidth="1"/>
    <col min="37" max="56" width="4.6640625" customWidth="1"/>
  </cols>
  <sheetData>
    <row r="1" spans="1:56" ht="12" customHeight="1" x14ac:dyDescent="0.3">
      <c r="A1" s="271" t="s">
        <v>13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</row>
    <row r="2" spans="1:56" ht="12" customHeight="1" x14ac:dyDescent="0.3">
      <c r="A2" s="34"/>
      <c r="B2" s="16"/>
      <c r="C2" s="16"/>
      <c r="D2" s="35" t="s">
        <v>21</v>
      </c>
      <c r="E2" s="273" t="str">
        <f>IF(Settings!$H$1&lt;&gt;0,Settings!$H$1,"")</f>
        <v/>
      </c>
      <c r="F2" s="274"/>
      <c r="G2" s="274"/>
      <c r="H2" s="274"/>
      <c r="I2" s="274"/>
      <c r="J2" s="274"/>
      <c r="K2" s="274"/>
      <c r="L2" s="274"/>
      <c r="M2" s="274"/>
      <c r="N2" s="15"/>
      <c r="O2" s="16"/>
      <c r="P2" s="243" t="s">
        <v>23</v>
      </c>
      <c r="Q2" s="241"/>
      <c r="R2" s="275" t="str">
        <f>IF(Settings!$B$7&lt;&gt;0,Settings!$B$7,"")</f>
        <v/>
      </c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16"/>
      <c r="AE2" s="16"/>
      <c r="AF2" s="16"/>
      <c r="AG2" s="16"/>
      <c r="AH2" s="16"/>
      <c r="AI2" s="16"/>
      <c r="AJ2" s="37"/>
      <c r="AK2" s="37"/>
      <c r="AL2" s="37"/>
      <c r="AM2" s="37"/>
      <c r="AN2" s="37"/>
      <c r="AO2" s="37"/>
      <c r="AP2" s="37"/>
      <c r="AQ2" s="16"/>
      <c r="AR2" s="15"/>
      <c r="AS2" s="15"/>
      <c r="AT2" s="16"/>
      <c r="AU2" s="16"/>
      <c r="AV2" s="10"/>
      <c r="AW2" s="10"/>
      <c r="AX2" s="10"/>
      <c r="AY2" s="10"/>
      <c r="AZ2" s="10"/>
      <c r="BA2" s="10"/>
      <c r="BB2" s="10"/>
      <c r="BC2" s="10"/>
      <c r="BD2" s="10"/>
    </row>
    <row r="3" spans="1:56" ht="12" customHeight="1" x14ac:dyDescent="0.3">
      <c r="A3" s="34"/>
      <c r="B3" s="16"/>
      <c r="C3" s="16"/>
      <c r="D3" s="35" t="s">
        <v>5</v>
      </c>
      <c r="E3" s="276" t="str">
        <f>IF(Settings!$H$3&lt;&gt;0,Settings!$H$3,"")</f>
        <v/>
      </c>
      <c r="F3" s="234"/>
      <c r="G3" s="234"/>
      <c r="H3" s="234"/>
      <c r="I3" s="234"/>
      <c r="J3" s="234"/>
      <c r="K3" s="234"/>
      <c r="L3" s="234"/>
      <c r="M3" s="234"/>
      <c r="N3" s="15"/>
      <c r="O3" s="16"/>
      <c r="P3" s="243" t="s">
        <v>4</v>
      </c>
      <c r="Q3" s="241"/>
      <c r="R3" s="276" t="str">
        <f>IF(Settings!$H$2&lt;&gt;0,Settings!$H$2,"")</f>
        <v/>
      </c>
      <c r="S3" s="234"/>
      <c r="T3" s="234"/>
      <c r="U3" s="234"/>
      <c r="V3" s="234"/>
      <c r="W3" s="234"/>
      <c r="X3" s="234"/>
      <c r="Y3" s="234"/>
      <c r="Z3" s="234"/>
      <c r="AA3" s="12"/>
      <c r="AB3" s="12"/>
      <c r="AC3" s="12"/>
      <c r="AD3" s="16"/>
      <c r="AE3" s="16"/>
      <c r="AF3" s="16"/>
      <c r="AG3" s="16"/>
      <c r="AH3" s="16"/>
      <c r="AI3" s="16"/>
      <c r="AJ3" s="37"/>
      <c r="AK3" s="37"/>
      <c r="AL3" s="37"/>
      <c r="AM3" s="37"/>
      <c r="AN3" s="37"/>
      <c r="AO3" s="37"/>
      <c r="AP3" s="37"/>
      <c r="AQ3" s="16"/>
      <c r="AR3" s="15"/>
      <c r="AS3" s="15"/>
      <c r="AT3" s="16"/>
      <c r="AU3" s="16"/>
      <c r="AV3" s="10"/>
      <c r="AW3" s="10"/>
      <c r="AX3" s="10"/>
      <c r="AY3" s="10"/>
      <c r="AZ3" s="10"/>
      <c r="BA3" s="10"/>
      <c r="BB3" s="10"/>
      <c r="BC3" s="10"/>
      <c r="BD3" s="10"/>
    </row>
    <row r="4" spans="1:56" ht="12" customHeight="1" x14ac:dyDescent="0.3">
      <c r="A4" s="34"/>
      <c r="B4" s="16"/>
      <c r="C4" s="16"/>
      <c r="D4" s="35" t="s">
        <v>25</v>
      </c>
      <c r="E4" s="277" t="str">
        <f>IF(Settings!$B$6&lt;&gt;0,Settings!$B$6,"")</f>
        <v/>
      </c>
      <c r="F4" s="234"/>
      <c r="G4" s="234"/>
      <c r="H4" s="234"/>
      <c r="I4" s="234"/>
      <c r="J4" s="234"/>
      <c r="K4" s="234"/>
      <c r="L4" s="234"/>
      <c r="M4" s="234"/>
      <c r="N4" s="15"/>
      <c r="O4" s="16"/>
      <c r="P4" s="240" t="s">
        <v>26</v>
      </c>
      <c r="Q4" s="241"/>
      <c r="R4" s="233" t="str">
        <f>IF(Settings!$B$4&lt;&gt;0,Settings!$B$4,"")</f>
        <v/>
      </c>
      <c r="S4" s="234"/>
      <c r="T4" s="234"/>
      <c r="U4" s="234"/>
      <c r="V4" s="234"/>
      <c r="W4" s="234"/>
      <c r="X4" s="234"/>
      <c r="Y4" s="234"/>
      <c r="Z4" s="234"/>
      <c r="AA4" s="15"/>
      <c r="AB4" s="16"/>
      <c r="AC4" s="16"/>
      <c r="AD4" s="16"/>
      <c r="AE4" s="16"/>
      <c r="AF4" s="16"/>
      <c r="AG4" s="16"/>
      <c r="AH4" s="16"/>
      <c r="AI4" s="16"/>
      <c r="AJ4" s="37"/>
      <c r="AK4" s="37"/>
      <c r="AL4" s="37"/>
      <c r="AM4" s="37"/>
      <c r="AN4" s="37"/>
      <c r="AO4" s="37"/>
      <c r="AP4" s="37"/>
      <c r="AQ4" s="16"/>
      <c r="AR4" s="15"/>
      <c r="AS4" s="15"/>
      <c r="AT4" s="16"/>
      <c r="AU4" s="16"/>
      <c r="AV4" s="10"/>
      <c r="AW4" s="10"/>
      <c r="AX4" s="10"/>
      <c r="AY4" s="10"/>
      <c r="AZ4" s="10"/>
      <c r="BA4" s="10"/>
      <c r="BB4" s="10"/>
      <c r="BC4" s="10"/>
      <c r="BD4" s="10"/>
    </row>
    <row r="5" spans="1:56" ht="12" customHeight="1" x14ac:dyDescent="0.3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5"/>
      <c r="AB5" s="16"/>
      <c r="AC5" s="16"/>
      <c r="AD5" s="16"/>
      <c r="AE5" s="16"/>
      <c r="AF5" s="16"/>
      <c r="AG5" s="16"/>
      <c r="AH5" s="16"/>
      <c r="AI5" s="16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</row>
    <row r="6" spans="1:56" ht="15" customHeight="1" x14ac:dyDescent="0.3">
      <c r="A6" s="282" t="s">
        <v>36</v>
      </c>
      <c r="B6" s="283"/>
      <c r="C6" s="278" t="str">
        <f>IF(Settings!E9&lt;&gt;0,Settings!E9&amp;"("&amp;Settings!F9&amp;"%)","")</f>
        <v>Quiz(20%)</v>
      </c>
      <c r="D6" s="279"/>
      <c r="E6" s="279"/>
      <c r="F6" s="279"/>
      <c r="G6" s="279"/>
      <c r="H6" s="279"/>
      <c r="I6" s="279"/>
      <c r="J6" s="279"/>
      <c r="K6" s="279"/>
      <c r="L6" s="278" t="str">
        <f>IF(Settings!E10&lt;&gt;0,Settings!E10&amp;"("&amp;Settings!F10&amp;"%)","")</f>
        <v>Assignment(10%)</v>
      </c>
      <c r="M6" s="279"/>
      <c r="N6" s="279"/>
      <c r="O6" s="279"/>
      <c r="P6" s="279"/>
      <c r="Q6" s="279"/>
      <c r="R6" s="279"/>
      <c r="S6" s="279"/>
      <c r="T6" s="279"/>
      <c r="U6" s="280" t="str">
        <f>IF(Settings!E11&lt;&gt;0,Settings!E11&amp;"("&amp;Settings!F11&amp;"%)","")</f>
        <v>Graded Activity(30%)</v>
      </c>
      <c r="V6" s="281"/>
      <c r="W6" s="281"/>
      <c r="X6" s="281"/>
      <c r="Y6" s="281"/>
      <c r="Z6" s="281"/>
      <c r="AA6" s="281"/>
      <c r="AB6" s="281"/>
      <c r="AC6" s="265"/>
      <c r="AD6" s="264"/>
      <c r="AE6" s="265"/>
      <c r="AF6" s="264" t="str">
        <f>IF(Settings!E12&lt;&gt;0,LEFT(Settings!E12)&amp;"("&amp;Settings!F12&amp;"%)","")</f>
        <v>A(5%)</v>
      </c>
      <c r="AG6" s="265"/>
      <c r="AH6" s="264" t="str">
        <f>IF(Settings!E13&lt;&gt;0,LEFT(Settings!H13)&amp;"("&amp;Settings!F13&amp;"%)","")</f>
        <v>E(35%)</v>
      </c>
      <c r="AI6" s="265"/>
      <c r="AJ6" s="268" t="s">
        <v>38</v>
      </c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</row>
    <row r="7" spans="1:56" ht="14.25" customHeight="1" x14ac:dyDescent="0.3">
      <c r="A7" s="284"/>
      <c r="B7" s="285"/>
      <c r="C7" s="254"/>
      <c r="D7" s="261"/>
      <c r="E7" s="254"/>
      <c r="F7" s="261"/>
      <c r="G7" s="254"/>
      <c r="H7" s="261"/>
      <c r="I7" s="254"/>
      <c r="J7" s="250"/>
      <c r="K7" s="245" t="s">
        <v>42</v>
      </c>
      <c r="L7" s="247"/>
      <c r="M7" s="248"/>
      <c r="N7" s="249"/>
      <c r="O7" s="248"/>
      <c r="P7" s="249"/>
      <c r="Q7" s="248"/>
      <c r="R7" s="249"/>
      <c r="S7" s="250"/>
      <c r="T7" s="245" t="s">
        <v>42</v>
      </c>
      <c r="U7" s="254"/>
      <c r="V7" s="248"/>
      <c r="W7" s="249"/>
      <c r="X7" s="248"/>
      <c r="Y7" s="249"/>
      <c r="Z7" s="248"/>
      <c r="AA7" s="249"/>
      <c r="AB7" s="261"/>
      <c r="AC7" s="245" t="s">
        <v>42</v>
      </c>
      <c r="AD7" s="266"/>
      <c r="AE7" s="267"/>
      <c r="AF7" s="266"/>
      <c r="AG7" s="267"/>
      <c r="AH7" s="266"/>
      <c r="AI7" s="267"/>
      <c r="AJ7" s="269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</row>
    <row r="8" spans="1:56" ht="15" customHeight="1" thickBot="1" x14ac:dyDescent="0.35">
      <c r="A8" s="286"/>
      <c r="B8" s="287"/>
      <c r="C8" s="288" t="s">
        <v>78</v>
      </c>
      <c r="D8" s="252"/>
      <c r="E8" s="289" t="s">
        <v>79</v>
      </c>
      <c r="F8" s="256"/>
      <c r="G8" s="289" t="str">
        <f>CONCATENATE(LEFT(Settings!$E$9),3)</f>
        <v>Q3</v>
      </c>
      <c r="H8" s="256"/>
      <c r="I8" s="289" t="str">
        <f>CONCATENATE(LEFT(Settings!$E$9),4)</f>
        <v>Q4</v>
      </c>
      <c r="J8" s="290"/>
      <c r="K8" s="246"/>
      <c r="L8" s="251" t="s">
        <v>80</v>
      </c>
      <c r="M8" s="252"/>
      <c r="N8" s="253" t="str">
        <f>CONCATENATE(LEFT(Settings!$E$10),2)</f>
        <v>A2</v>
      </c>
      <c r="O8" s="252"/>
      <c r="P8" s="253" t="str">
        <f>CONCATENATE(LEFT(Settings!$E$10),3)</f>
        <v>A3</v>
      </c>
      <c r="Q8" s="252"/>
      <c r="R8" s="253" t="str">
        <f>CONCATENATE(LEFT(Settings!$E$10),4)</f>
        <v>A4</v>
      </c>
      <c r="S8" s="252"/>
      <c r="T8" s="246"/>
      <c r="U8" s="255" t="s">
        <v>81</v>
      </c>
      <c r="V8" s="256"/>
      <c r="W8" s="255" t="str">
        <f>CONCATENATE(LEFT(Settings!$E$11),2)</f>
        <v>G2</v>
      </c>
      <c r="X8" s="256"/>
      <c r="Y8" s="255" t="str">
        <f>CONCATENATE(LEFT(Settings!$E$11),3)</f>
        <v>G3</v>
      </c>
      <c r="Z8" s="256"/>
      <c r="AA8" s="255" t="str">
        <f>CONCATENATE(LEFT(Settings!$E$11),4)</f>
        <v>G4</v>
      </c>
      <c r="AB8" s="256"/>
      <c r="AC8" s="246"/>
      <c r="AD8" s="257"/>
      <c r="AE8" s="258"/>
      <c r="AF8" s="270" t="s">
        <v>86</v>
      </c>
      <c r="AG8" s="258"/>
      <c r="AH8" s="257" t="s">
        <v>82</v>
      </c>
      <c r="AI8" s="258"/>
      <c r="AJ8" s="269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</row>
    <row r="9" spans="1:56" ht="15" customHeight="1" thickBot="1" x14ac:dyDescent="0.35">
      <c r="A9" s="39" t="s">
        <v>54</v>
      </c>
      <c r="B9" s="40" t="s">
        <v>34</v>
      </c>
      <c r="C9" s="41"/>
      <c r="D9" s="43" t="str">
        <f>IF($C$9&lt;&gt;0,VLOOKUP(C9/$C$9*100,TRANSMUTATION_TABLE!$A$2:$B$102,2),"")</f>
        <v/>
      </c>
      <c r="E9" s="41"/>
      <c r="F9" s="43" t="str">
        <f>IF($E$9&lt;&gt;0,VLOOKUP(E9/$E$9*100,TRANSMUTATION_TABLE!$A$2:$B$102,2),"")</f>
        <v/>
      </c>
      <c r="G9" s="41"/>
      <c r="H9" s="43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 t="shared" ref="K9:K69" si="0">IF(COUNT(D9,F9,H9,J9)&gt;0,AVERAGE(D9,F9,H9,J9),"")</f>
        <v/>
      </c>
      <c r="L9" s="84"/>
      <c r="M9" s="43" t="str">
        <f>IF($L$9&lt;&gt;0,VLOOKUP(L9/$L$9*100,TRANSMUTATION_TABLE!$A$2:$B$102,2),"")</f>
        <v/>
      </c>
      <c r="N9" s="41"/>
      <c r="O9" s="43" t="str">
        <f>IF($N$9&lt;&gt;0,VLOOKUP(N9/$N$9*100,TRANSMUTATION_TABLE!$A$2:$B$102,2),"")</f>
        <v/>
      </c>
      <c r="P9" s="41"/>
      <c r="Q9" s="43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 t="shared" ref="T9:T69" si="1">IF(COUNT(M9,O9,Q9,S9)&gt;0,AVERAGE(M9,O9,Q9,S9),"")</f>
        <v/>
      </c>
      <c r="U9" s="84"/>
      <c r="V9" s="43" t="str">
        <f>IF($U$9&lt;&gt;0,VLOOKUP(U9/$U$9*100,TRANSMUTATION_TABLE!$A$2:$B$102,2),"")</f>
        <v/>
      </c>
      <c r="W9" s="41"/>
      <c r="X9" s="43" t="str">
        <f>IF($W$9&lt;&gt;0,VLOOKUP(W9/$W$9*100,TRANSMUTATION_TABLE!$A$2:$B$102,2),"")</f>
        <v/>
      </c>
      <c r="Y9" s="41"/>
      <c r="Z9" s="43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 t="shared" ref="AC9:AC69" si="2">IF(COUNT(V9,X9,Z9,AB9)&gt;0,AVERAGE(V9,X9,Z9,AB9),"")</f>
        <v/>
      </c>
      <c r="AD9" s="41"/>
      <c r="AE9" s="42" t="str">
        <f>IF($AD$9&lt;&gt;0,VLOOKUP(AD9/$AD$9*100,TRANSMUTATION_TABLE!$A$2:$B$102,2),"")</f>
        <v/>
      </c>
      <c r="AF9" s="41">
        <f>Attendance!U6</f>
        <v>0</v>
      </c>
      <c r="AG9" s="42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213" t="str">
        <f>IF(OR(K9&lt;&gt;"",T9&lt;&gt;"",AC9&lt;&gt;"",AI9&lt;&gt;"",AG9&lt;&gt;""),SUM(PRODUCT(K9,IF(Settings!$F$9&lt;&gt;0,Settings!$F$9/100,0)),PRODUCT(Prelim!T9,IF(Settings!$F$10&lt;&gt;0,Settings!$F$10/100,0)),PRODUCT(Prelim!AC9,IF(Settings!$F$11&lt;&gt;0,Settings!$F$11/100,0)),PRODUCT(Prelim!AG9,IF(Settings!$F$12&lt;&gt;0,Settings!$F$12/100,0)),PRODUCT(Prelim!AI9,IF(Settings!$F$13&lt;&gt;0,Settings!$F$13/100,0))),"")</f>
        <v/>
      </c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</row>
    <row r="10" spans="1:56" ht="12" customHeight="1" thickBot="1" x14ac:dyDescent="0.35">
      <c r="A10" s="47"/>
      <c r="B10" s="60"/>
      <c r="C10" s="31"/>
      <c r="D10" s="85" t="str">
        <f>IF(AND(B10&lt;&gt;""),IF($C$9&lt;&gt;0,VLOOKUP(C10/$C$9*100,TRANSMUTATION_TABLE!$A$2:$B$102,2),""),"")</f>
        <v/>
      </c>
      <c r="E10" s="31"/>
      <c r="F10" s="42" t="str">
        <f>IF(AND(B10&lt;&gt;""),IF($E$9&lt;&gt;0,VLOOKUP(E10/$E$9*100,TRANSMUTATION_TABLE!$A$2:$B$102,2),""),"")</f>
        <v/>
      </c>
      <c r="G10" s="31"/>
      <c r="H10" s="42" t="str">
        <f>IF(AND(B10&lt;&gt;""),IF($G$9&lt;&gt;0,VLOOKUP(G10/$G$9*100,TRANSMUTATION_TABLE!$A$2:$B$102,2),""),"")</f>
        <v/>
      </c>
      <c r="I10" s="31"/>
      <c r="J10" s="43" t="str">
        <f>IF(AND(B10&lt;&gt;""),IF($I$9&lt;&gt;0,VLOOKUP(I10/$I$9*100,TRANSMUTATION_TABLE!$A$2:$B$102,2),""),"")</f>
        <v/>
      </c>
      <c r="K10" s="48" t="str">
        <f t="shared" si="0"/>
        <v/>
      </c>
      <c r="L10" s="31"/>
      <c r="M10" s="86" t="str">
        <f>IF(AND(B10&lt;&gt;""),IF($L$9&lt;&gt;0,VLOOKUP(L10/$L$9*100,TRANSMUTATION_TABLE!$A$2:$B$102,2),""),"")</f>
        <v/>
      </c>
      <c r="N10" s="31"/>
      <c r="O10" s="42" t="str">
        <f>IF(AND(B10&lt;&gt;""),IF($N$9&lt;&gt;0,VLOOKUP(N10/$N$9*100,TRANSMUTATION_TABLE!$A$2:$B$102,2),""),"")</f>
        <v/>
      </c>
      <c r="P10" s="31"/>
      <c r="Q10" s="42" t="str">
        <f>IF(AND(B10&lt;&gt;""),IF($P$9&lt;&gt;0,VLOOKUP(P10/$P$9*100,TRANSMUTATION_TABLE!$A$2:$B$102,2),""),"")</f>
        <v/>
      </c>
      <c r="R10" s="31"/>
      <c r="S10" s="43" t="str">
        <f>IF(AND(B10&lt;&gt;""),IF($R$9&lt;&gt;0,VLOOKUP(R10/$R$9*100,TRANSMUTATION_TABLE!$A$2:$B$102,2),""),"")</f>
        <v/>
      </c>
      <c r="T10" s="48" t="str">
        <f t="shared" si="1"/>
        <v/>
      </c>
      <c r="U10" s="31"/>
      <c r="V10" s="42" t="str">
        <f>IF(AND(B10&lt;&gt;""),IF($U$9&lt;&gt;0,VLOOKUP(U10/$U$9*100,TRANSMUTATION_TABLE!$A$2:$B$102,2),""),"")</f>
        <v/>
      </c>
      <c r="W10" s="31"/>
      <c r="X10" s="42" t="str">
        <f>IF(AND(B10&lt;&gt;""),IF($W$9&lt;&gt;0,VLOOKUP(W10/$W$9*100,TRANSMUTATION_TABLE!$A$2:$B$102,2),""),"")</f>
        <v/>
      </c>
      <c r="Y10" s="31"/>
      <c r="Z10" s="42" t="str">
        <f>IF(AND(B10&lt;&gt;""),IF($Y$9&lt;&gt;0,VLOOKUP(Y10/$Y$9*100,TRANSMUTATION_TABLE!$A$2:$B$102,2),""),"")</f>
        <v/>
      </c>
      <c r="AA10" s="31"/>
      <c r="AB10" s="43" t="str">
        <f>IF(AND(B10&lt;&gt;""),IF($AA$9&lt;&gt;0,VLOOKUP(AA10/$AA$9*100,TRANSMUTATION_TABLE!$A$2:$B$102,2),""),"")</f>
        <v/>
      </c>
      <c r="AC10" s="48" t="str">
        <f t="shared" si="2"/>
        <v/>
      </c>
      <c r="AD10" s="31"/>
      <c r="AE10" s="42" t="str">
        <f>IF(AND(B10&lt;&gt;""),IF($AD$9&lt;&gt;0,VLOOKUP(AD10/$AD$9*100,TRANSMUTATION_TABLE!$A$2:$B$102,2),""),"")</f>
        <v/>
      </c>
      <c r="AF10" s="31">
        <f>Attendance!U7</f>
        <v>0</v>
      </c>
      <c r="AG10" s="87" t="str">
        <f>IF(AND(B10&lt;&gt;""),IF($AF$9&lt;&gt;0,VLOOKUP(AF10/$AF$9*100,TRANSMUTATION_TABLE!$A$2:$B$102,2),""),"")</f>
        <v/>
      </c>
      <c r="AH10" s="31"/>
      <c r="AI10" s="45" t="str">
        <f>IF(AND(B10&lt;&gt;""),IF($AH$9&lt;&gt;0,VLOOKUP(AH10/$AH$9*100,TRANSMUTATION_TABLE!$A$2:$B$102,2),""),"")</f>
        <v/>
      </c>
      <c r="AJ10" s="46" t="str">
        <f>IF(OR(K10&lt;&gt;"",T10&lt;&gt;"",AC10&lt;&gt;"",AI10&lt;&gt;"",AG10&lt;&gt;""),SUM(PRODUCT(K10,IF(Settings!$F$9&lt;&gt;0,Settings!$F$9/100,0)),PRODUCT(Prelim!T10,IF(Settings!$F$10&lt;&gt;0,Settings!$F$10/100,0)),PRODUCT(Prelim!AC10,IF(Settings!$F$11&lt;&gt;0,Settings!$F$11/100,0)),PRODUCT(Prelim!AG10,IF(Settings!$F$12&lt;&gt;0,Settings!$F$12/100,0)),PRODUCT(Prelim!AI10,IF(Settings!$F$13&lt;&gt;0,Settings!$F$13/100,0))),"")</f>
        <v/>
      </c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</row>
    <row r="11" spans="1:56" ht="12" customHeight="1" thickBot="1" x14ac:dyDescent="0.35">
      <c r="A11" s="52"/>
      <c r="B11" s="60"/>
      <c r="C11" s="31"/>
      <c r="D11" s="85" t="str">
        <f>IF(AND(B11&lt;&gt;""),IF($C$9&lt;&gt;0,VLOOKUP(C11/$C$9*100,TRANSMUTATION_TABLE!$A$2:$B$102,2),""),"")</f>
        <v/>
      </c>
      <c r="E11" s="31"/>
      <c r="F11" s="42" t="str">
        <f>IF(AND(B11&lt;&gt;""),IF($E$9&lt;&gt;0,VLOOKUP(E11/$E$9*100,TRANSMUTATION_TABLE!$A$2:$B$102,2),""),"")</f>
        <v/>
      </c>
      <c r="G11" s="31"/>
      <c r="H11" s="42" t="str">
        <f>IF(AND(B11&lt;&gt;""),IF($G$9&lt;&gt;0,VLOOKUP(G11/$G$9*100,TRANSMUTATION_TABLE!$A$2:$B$102,2),""),"")</f>
        <v/>
      </c>
      <c r="I11" s="31"/>
      <c r="J11" s="43" t="str">
        <f>IF(AND(B11&lt;&gt;""),IF($I$9&lt;&gt;0,VLOOKUP(I11/$I$9*100,TRANSMUTATION_TABLE!$A$2:$B$102,2),""),"")</f>
        <v/>
      </c>
      <c r="K11" s="48" t="str">
        <f t="shared" si="0"/>
        <v/>
      </c>
      <c r="L11" s="31"/>
      <c r="M11" s="86" t="str">
        <f>IF(AND(B11&lt;&gt;""),IF($L$9&lt;&gt;0,VLOOKUP(L11/$L$9*100,TRANSMUTATION_TABLE!$A$2:$B$102,2),""),"")</f>
        <v/>
      </c>
      <c r="N11" s="31"/>
      <c r="O11" s="42" t="str">
        <f>IF(AND(B11&lt;&gt;""),IF($N$9&lt;&gt;0,VLOOKUP(N11/$N$9*100,TRANSMUTATION_TABLE!$A$2:$B$102,2),""),"")</f>
        <v/>
      </c>
      <c r="P11" s="31"/>
      <c r="Q11" s="42" t="str">
        <f>IF(AND(B11&lt;&gt;""),IF($P$9&lt;&gt;0,VLOOKUP(P11/$P$9*100,TRANSMUTATION_TABLE!$A$2:$B$102,2),""),"")</f>
        <v/>
      </c>
      <c r="R11" s="31"/>
      <c r="S11" s="43" t="str">
        <f>IF(AND(B11&lt;&gt;""),IF($R$9&lt;&gt;0,VLOOKUP(R11/$R$9*100,TRANSMUTATION_TABLE!$A$2:$B$102,2),""),"")</f>
        <v/>
      </c>
      <c r="T11" s="48" t="str">
        <f t="shared" si="1"/>
        <v/>
      </c>
      <c r="U11" s="31"/>
      <c r="V11" s="42" t="str">
        <f>IF(AND(B11&lt;&gt;""),IF($U$9&lt;&gt;0,VLOOKUP(U11/$U$9*100,TRANSMUTATION_TABLE!$A$2:$B$102,2),""),"")</f>
        <v/>
      </c>
      <c r="W11" s="31"/>
      <c r="X11" s="42" t="str">
        <f>IF(AND(B11&lt;&gt;""),IF($W$9&lt;&gt;0,VLOOKUP(W11/$W$9*100,TRANSMUTATION_TABLE!$A$2:$B$102,2),""),"")</f>
        <v/>
      </c>
      <c r="Y11" s="31"/>
      <c r="Z11" s="42" t="str">
        <f>IF(AND(B11&lt;&gt;""),IF($Y$9&lt;&gt;0,VLOOKUP(Y11/$Y$9*100,TRANSMUTATION_TABLE!$A$2:$B$102,2),""),"")</f>
        <v/>
      </c>
      <c r="AA11" s="31"/>
      <c r="AB11" s="43" t="str">
        <f>IF(AND(B11&lt;&gt;""),IF($AA$9&lt;&gt;0,VLOOKUP(AA11/$AA$9*100,TRANSMUTATION_TABLE!$A$2:$B$102,2),""),"")</f>
        <v/>
      </c>
      <c r="AC11" s="48" t="str">
        <f t="shared" si="2"/>
        <v/>
      </c>
      <c r="AD11" s="31"/>
      <c r="AE11" s="42" t="str">
        <f>IF(AND(B11&lt;&gt;""),IF($AD$9&lt;&gt;0,VLOOKUP(AD11/$AD$9*100,TRANSMUTATION_TABLE!$A$2:$B$102,2),""),"")</f>
        <v/>
      </c>
      <c r="AF11" s="31">
        <f>Attendance!U8</f>
        <v>0</v>
      </c>
      <c r="AG11" s="87" t="str">
        <f>IF(AND(B11&lt;&gt;""),IF($AF$9&lt;&gt;0,VLOOKUP(AF11/$AF$9*100,TRANSMUTATION_TABLE!$A$2:$B$102,2),""),"")</f>
        <v/>
      </c>
      <c r="AH11" s="31"/>
      <c r="AI11" s="45" t="str">
        <f>IF(AND(B11&lt;&gt;""),IF($AH$9&lt;&gt;0,VLOOKUP(AH11/$AH$9*100,TRANSMUTATION_TABLE!$A$2:$B$102,2),""),"")</f>
        <v/>
      </c>
      <c r="AJ11" s="46" t="str">
        <f>IF(OR(K11&lt;&gt;"",T11&lt;&gt;"",AC11&lt;&gt;"",AI11&lt;&gt;"",AG11&lt;&gt;""),SUM(PRODUCT(K11,IF(Settings!$F$9&lt;&gt;0,Settings!$F$9/100,0)),PRODUCT(Prelim!T11,IF(Settings!$F$10&lt;&gt;0,Settings!$F$10/100,0)),PRODUCT(Prelim!AC11,IF(Settings!$F$11&lt;&gt;0,Settings!$F$11/100,0)),PRODUCT(Prelim!AG11,IF(Settings!$F$12&lt;&gt;0,Settings!$F$12/100,0)),PRODUCT(Prelim!AI11,IF(Settings!$F$13&lt;&gt;0,Settings!$F$13/100,0))),"")</f>
        <v/>
      </c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</row>
    <row r="12" spans="1:56" ht="12" customHeight="1" thickBot="1" x14ac:dyDescent="0.35">
      <c r="A12" s="52"/>
      <c r="B12" s="60"/>
      <c r="C12" s="31"/>
      <c r="D12" s="85" t="str">
        <f>IF(AND(B12&lt;&gt;""),IF($C$9&lt;&gt;0,VLOOKUP(C12/$C$9*100,TRANSMUTATION_TABLE!$A$2:$B$102,2),""),"")</f>
        <v/>
      </c>
      <c r="E12" s="31"/>
      <c r="F12" s="42" t="str">
        <f>IF(AND(B12&lt;&gt;""),IF($E$9&lt;&gt;0,VLOOKUP(E12/$E$9*100,TRANSMUTATION_TABLE!$A$2:$B$102,2),""),"")</f>
        <v/>
      </c>
      <c r="G12" s="31"/>
      <c r="H12" s="42" t="str">
        <f>IF(AND(B12&lt;&gt;""),IF($G$9&lt;&gt;0,VLOOKUP(G12/$G$9*100,TRANSMUTATION_TABLE!$A$2:$B$102,2),""),"")</f>
        <v/>
      </c>
      <c r="I12" s="31"/>
      <c r="J12" s="43" t="str">
        <f>IF(AND(B12&lt;&gt;""),IF($I$9&lt;&gt;0,VLOOKUP(I12/$I$9*100,TRANSMUTATION_TABLE!$A$2:$B$102,2),""),"")</f>
        <v/>
      </c>
      <c r="K12" s="48" t="str">
        <f t="shared" si="0"/>
        <v/>
      </c>
      <c r="L12" s="31"/>
      <c r="M12" s="86" t="str">
        <f>IF(AND(B12&lt;&gt;""),IF($L$9&lt;&gt;0,VLOOKUP(L12/$L$9*100,TRANSMUTATION_TABLE!$A$2:$B$102,2),""),"")</f>
        <v/>
      </c>
      <c r="N12" s="31"/>
      <c r="O12" s="42" t="str">
        <f>IF(AND(B12&lt;&gt;""),IF($N$9&lt;&gt;0,VLOOKUP(N12/$N$9*100,TRANSMUTATION_TABLE!$A$2:$B$102,2),""),"")</f>
        <v/>
      </c>
      <c r="P12" s="31"/>
      <c r="Q12" s="42" t="str">
        <f>IF(AND(B12&lt;&gt;""),IF($P$9&lt;&gt;0,VLOOKUP(P12/$P$9*100,TRANSMUTATION_TABLE!$A$2:$B$102,2),""),"")</f>
        <v/>
      </c>
      <c r="R12" s="31"/>
      <c r="S12" s="43" t="str">
        <f>IF(AND(B12&lt;&gt;""),IF($R$9&lt;&gt;0,VLOOKUP(R12/$R$9*100,TRANSMUTATION_TABLE!$A$2:$B$102,2),""),"")</f>
        <v/>
      </c>
      <c r="T12" s="48" t="str">
        <f t="shared" si="1"/>
        <v/>
      </c>
      <c r="U12" s="31"/>
      <c r="V12" s="42" t="str">
        <f>IF(AND(B12&lt;&gt;""),IF($U$9&lt;&gt;0,VLOOKUP(U12/$U$9*100,TRANSMUTATION_TABLE!$A$2:$B$102,2),""),"")</f>
        <v/>
      </c>
      <c r="W12" s="31"/>
      <c r="X12" s="42" t="str">
        <f>IF(AND(B12&lt;&gt;""),IF($W$9&lt;&gt;0,VLOOKUP(W12/$W$9*100,TRANSMUTATION_TABLE!$A$2:$B$102,2),""),"")</f>
        <v/>
      </c>
      <c r="Y12" s="31"/>
      <c r="Z12" s="42" t="str">
        <f>IF(AND(B12&lt;&gt;""),IF($Y$9&lt;&gt;0,VLOOKUP(Y12/$Y$9*100,TRANSMUTATION_TABLE!$A$2:$B$102,2),""),"")</f>
        <v/>
      </c>
      <c r="AA12" s="31"/>
      <c r="AB12" s="43" t="str">
        <f>IF(AND(B12&lt;&gt;""),IF($AA$9&lt;&gt;0,VLOOKUP(AA12/$AA$9*100,TRANSMUTATION_TABLE!$A$2:$B$102,2),""),"")</f>
        <v/>
      </c>
      <c r="AC12" s="48" t="str">
        <f t="shared" si="2"/>
        <v/>
      </c>
      <c r="AD12" s="31"/>
      <c r="AE12" s="42" t="str">
        <f>IF(AND(B12&lt;&gt;""),IF($AD$9&lt;&gt;0,VLOOKUP(AD12/$AD$9*100,TRANSMUTATION_TABLE!$A$2:$B$102,2),""),"")</f>
        <v/>
      </c>
      <c r="AF12" s="31">
        <f>Attendance!U9</f>
        <v>0</v>
      </c>
      <c r="AG12" s="87" t="str">
        <f>IF(AND(B12&lt;&gt;""),IF($AF$9&lt;&gt;0,VLOOKUP(AF12/$AF$9*100,TRANSMUTATION_TABLE!$A$2:$B$102,2),""),"")</f>
        <v/>
      </c>
      <c r="AH12" s="31"/>
      <c r="AI12" s="45" t="str">
        <f>IF(AND(B12&lt;&gt;""),IF($AH$9&lt;&gt;0,VLOOKUP(AH12/$AH$9*100,TRANSMUTATION_TABLE!$A$2:$B$102,2),""),"")</f>
        <v/>
      </c>
      <c r="AJ12" s="46" t="str">
        <f>IF(OR(K12&lt;&gt;"",T12&lt;&gt;"",AC12&lt;&gt;"",AI12&lt;&gt;"",AG12&lt;&gt;""),SUM(PRODUCT(K12,IF(Settings!$F$9&lt;&gt;0,Settings!$F$9/100,0)),PRODUCT(Prelim!T12,IF(Settings!$F$10&lt;&gt;0,Settings!$F$10/100,0)),PRODUCT(Prelim!AC12,IF(Settings!$F$11&lt;&gt;0,Settings!$F$11/100,0)),PRODUCT(Prelim!AG12,IF(Settings!$F$12&lt;&gt;0,Settings!$F$12/100,0)),PRODUCT(Prelim!AI12,IF(Settings!$F$13&lt;&gt;0,Settings!$F$13/100,0))),"")</f>
        <v/>
      </c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</row>
    <row r="13" spans="1:56" ht="12" customHeight="1" thickBot="1" x14ac:dyDescent="0.35">
      <c r="A13" s="52"/>
      <c r="B13" s="60"/>
      <c r="C13" s="31"/>
      <c r="D13" s="85" t="str">
        <f>IF(AND(B13&lt;&gt;""),IF($C$9&lt;&gt;0,VLOOKUP(C13/$C$9*100,TRANSMUTATION_TABLE!$A$2:$B$102,2),""),"")</f>
        <v/>
      </c>
      <c r="E13" s="31"/>
      <c r="F13" s="42" t="str">
        <f>IF(AND(B13&lt;&gt;""),IF($E$9&lt;&gt;0,VLOOKUP(E13/$E$9*100,TRANSMUTATION_TABLE!$A$2:$B$102,2),""),"")</f>
        <v/>
      </c>
      <c r="G13" s="31"/>
      <c r="H13" s="42" t="str">
        <f>IF(AND(B13&lt;&gt;""),IF($G$9&lt;&gt;0,VLOOKUP(G13/$G$9*100,TRANSMUTATION_TABLE!$A$2:$B$102,2),""),"")</f>
        <v/>
      </c>
      <c r="I13" s="31"/>
      <c r="J13" s="43" t="str">
        <f>IF(AND(B13&lt;&gt;""),IF($I$9&lt;&gt;0,VLOOKUP(I13/$I$9*100,TRANSMUTATION_TABLE!$A$2:$B$102,2),""),"")</f>
        <v/>
      </c>
      <c r="K13" s="48" t="str">
        <f t="shared" si="0"/>
        <v/>
      </c>
      <c r="L13" s="31"/>
      <c r="M13" s="86" t="str">
        <f>IF(AND(B13&lt;&gt;""),IF($L$9&lt;&gt;0,VLOOKUP(L13/$L$9*100,TRANSMUTATION_TABLE!$A$2:$B$102,2),""),"")</f>
        <v/>
      </c>
      <c r="N13" s="31"/>
      <c r="O13" s="42" t="str">
        <f>IF(AND(B13&lt;&gt;""),IF($N$9&lt;&gt;0,VLOOKUP(N13/$N$9*100,TRANSMUTATION_TABLE!$A$2:$B$102,2),""),"")</f>
        <v/>
      </c>
      <c r="P13" s="31"/>
      <c r="Q13" s="42" t="str">
        <f>IF(AND(B13&lt;&gt;""),IF($P$9&lt;&gt;0,VLOOKUP(P13/$P$9*100,TRANSMUTATION_TABLE!$A$2:$B$102,2),""),"")</f>
        <v/>
      </c>
      <c r="R13" s="31"/>
      <c r="S13" s="43" t="str">
        <f>IF(AND(B13&lt;&gt;""),IF($R$9&lt;&gt;0,VLOOKUP(R13/$R$9*100,TRANSMUTATION_TABLE!$A$2:$B$102,2),""),"")</f>
        <v/>
      </c>
      <c r="T13" s="48" t="str">
        <f t="shared" si="1"/>
        <v/>
      </c>
      <c r="U13" s="31"/>
      <c r="V13" s="42" t="str">
        <f>IF(AND(B13&lt;&gt;""),IF($U$9&lt;&gt;0,VLOOKUP(U13/$U$9*100,TRANSMUTATION_TABLE!$A$2:$B$102,2),""),"")</f>
        <v/>
      </c>
      <c r="W13" s="31"/>
      <c r="X13" s="42" t="str">
        <f>IF(AND(B13&lt;&gt;""),IF($W$9&lt;&gt;0,VLOOKUP(W13/$W$9*100,TRANSMUTATION_TABLE!$A$2:$B$102,2),""),"")</f>
        <v/>
      </c>
      <c r="Y13" s="31"/>
      <c r="Z13" s="42" t="str">
        <f>IF(AND(B13&lt;&gt;""),IF($Y$9&lt;&gt;0,VLOOKUP(Y13/$Y$9*100,TRANSMUTATION_TABLE!$A$2:$B$102,2),""),"")</f>
        <v/>
      </c>
      <c r="AA13" s="31"/>
      <c r="AB13" s="43" t="str">
        <f>IF(AND(B13&lt;&gt;""),IF($AA$9&lt;&gt;0,VLOOKUP(AA13/$AA$9*100,TRANSMUTATION_TABLE!$A$2:$B$102,2),""),"")</f>
        <v/>
      </c>
      <c r="AC13" s="48" t="str">
        <f t="shared" si="2"/>
        <v/>
      </c>
      <c r="AD13" s="31"/>
      <c r="AE13" s="42" t="str">
        <f>IF(AND(B13&lt;&gt;""),IF($AD$9&lt;&gt;0,VLOOKUP(AD13/$AD$9*100,TRANSMUTATION_TABLE!$A$2:$B$102,2),""),"")</f>
        <v/>
      </c>
      <c r="AF13" s="31">
        <f>Attendance!U10</f>
        <v>0</v>
      </c>
      <c r="AG13" s="87" t="str">
        <f>IF(AND(B13&lt;&gt;""),IF($AF$9&lt;&gt;0,VLOOKUP(AF13/$AF$9*100,TRANSMUTATION_TABLE!$A$2:$B$102,2),""),"")</f>
        <v/>
      </c>
      <c r="AH13" s="31"/>
      <c r="AI13" s="45" t="str">
        <f>IF(AND(B13&lt;&gt;""),IF($AH$9&lt;&gt;0,VLOOKUP(AH13/$AH$9*100,TRANSMUTATION_TABLE!$A$2:$B$102,2),""),"")</f>
        <v/>
      </c>
      <c r="AJ13" s="46" t="str">
        <f>IF(OR(K13&lt;&gt;"",T13&lt;&gt;"",AC13&lt;&gt;"",AI13&lt;&gt;"",AG13&lt;&gt;""),SUM(PRODUCT(K13,IF(Settings!$F$9&lt;&gt;0,Settings!$F$9/100,0)),PRODUCT(Prelim!T13,IF(Settings!$F$10&lt;&gt;0,Settings!$F$10/100,0)),PRODUCT(Prelim!AC13,IF(Settings!$F$11&lt;&gt;0,Settings!$F$11/100,0)),PRODUCT(Prelim!AG13,IF(Settings!$F$12&lt;&gt;0,Settings!$F$12/100,0)),PRODUCT(Prelim!AI13,IF(Settings!$F$13&lt;&gt;0,Settings!$F$13/100,0))),"")</f>
        <v/>
      </c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</row>
    <row r="14" spans="1:56" ht="12" customHeight="1" thickBot="1" x14ac:dyDescent="0.35">
      <c r="A14" s="54"/>
      <c r="B14" s="60"/>
      <c r="C14" s="214"/>
      <c r="D14" s="85" t="str">
        <f>IF(AND(B14&lt;&gt;""),IF($C$9&lt;&gt;0,VLOOKUP(C14/$C$9*100,TRANSMUTATION_TABLE!$A$2:$B$102,2),""),"")</f>
        <v/>
      </c>
      <c r="E14" s="214"/>
      <c r="F14" s="42" t="str">
        <f>IF(AND(B14&lt;&gt;""),IF($E$9&lt;&gt;0,VLOOKUP(E14/$E$9*100,TRANSMUTATION_TABLE!$A$2:$B$102,2),""),"")</f>
        <v/>
      </c>
      <c r="G14" s="214"/>
      <c r="H14" s="42" t="str">
        <f>IF(AND(B14&lt;&gt;""),IF($G$9&lt;&gt;0,VLOOKUP(G14/$G$9*100,TRANSMUTATION_TABLE!$A$2:$B$102,2),""),"")</f>
        <v/>
      </c>
      <c r="I14" s="214"/>
      <c r="J14" s="43" t="str">
        <f>IF(AND(B14&lt;&gt;""),IF($I$9&lt;&gt;0,VLOOKUP(I14/$I$9*100,TRANSMUTATION_TABLE!$A$2:$B$102,2),""),"")</f>
        <v/>
      </c>
      <c r="K14" s="48" t="str">
        <f t="shared" si="0"/>
        <v/>
      </c>
      <c r="L14" s="214"/>
      <c r="M14" s="86" t="str">
        <f>IF(AND(B14&lt;&gt;""),IF($L$9&lt;&gt;0,VLOOKUP(L14/$L$9*100,TRANSMUTATION_TABLE!$A$2:$B$102,2),""),"")</f>
        <v/>
      </c>
      <c r="N14" s="214"/>
      <c r="O14" s="42" t="str">
        <f>IF(AND(B14&lt;&gt;""),IF($N$9&lt;&gt;0,VLOOKUP(N14/$N$9*100,TRANSMUTATION_TABLE!$A$2:$B$102,2),""),"")</f>
        <v/>
      </c>
      <c r="P14" s="214"/>
      <c r="Q14" s="42" t="str">
        <f>IF(AND(B14&lt;&gt;""),IF($P$9&lt;&gt;0,VLOOKUP(P14/$P$9*100,TRANSMUTATION_TABLE!$A$2:$B$102,2),""),"")</f>
        <v/>
      </c>
      <c r="R14" s="214"/>
      <c r="S14" s="43" t="str">
        <f>IF(AND(B14&lt;&gt;""),IF($R$9&lt;&gt;0,VLOOKUP(R14/$R$9*100,TRANSMUTATION_TABLE!$A$2:$B$102,2),""),"")</f>
        <v/>
      </c>
      <c r="T14" s="48" t="str">
        <f t="shared" si="1"/>
        <v/>
      </c>
      <c r="U14" s="214"/>
      <c r="V14" s="42" t="str">
        <f>IF(AND(B14&lt;&gt;""),IF($U$9&lt;&gt;0,VLOOKUP(U14/$U$9*100,TRANSMUTATION_TABLE!$A$2:$B$102,2),""),"")</f>
        <v/>
      </c>
      <c r="W14" s="214"/>
      <c r="X14" s="42" t="str">
        <f>IF(AND(B14&lt;&gt;""),IF($W$9&lt;&gt;0,VLOOKUP(W14/$W$9*100,TRANSMUTATION_TABLE!$A$2:$B$102,2),""),"")</f>
        <v/>
      </c>
      <c r="Y14" s="214"/>
      <c r="Z14" s="42" t="str">
        <f>IF(AND(B14&lt;&gt;""),IF($Y$9&lt;&gt;0,VLOOKUP(Y14/$Y$9*100,TRANSMUTATION_TABLE!$A$2:$B$102,2),""),"")</f>
        <v/>
      </c>
      <c r="AA14" s="214"/>
      <c r="AB14" s="43" t="str">
        <f>IF(AND(B14&lt;&gt;""),IF($AA$9&lt;&gt;0,VLOOKUP(AA14/$AA$9*100,TRANSMUTATION_TABLE!$A$2:$B$102,2),""),"")</f>
        <v/>
      </c>
      <c r="AC14" s="48" t="str">
        <f t="shared" si="2"/>
        <v/>
      </c>
      <c r="AD14" s="214"/>
      <c r="AE14" s="42" t="str">
        <f>IF(AND(B14&lt;&gt;""),IF($AD$9&lt;&gt;0,VLOOKUP(AD14/$AD$9*100,TRANSMUTATION_TABLE!$A$2:$B$102,2),""),"")</f>
        <v/>
      </c>
      <c r="AF14" s="214">
        <f>Attendance!U11</f>
        <v>0</v>
      </c>
      <c r="AG14" s="87" t="str">
        <f>IF(AND(B14&lt;&gt;""),IF($AF$9&lt;&gt;0,VLOOKUP(AF14/$AF$9*100,TRANSMUTATION_TABLE!$A$2:$B$102,2),""),"")</f>
        <v/>
      </c>
      <c r="AH14" s="214"/>
      <c r="AI14" s="45" t="str">
        <f>IF(AND(B14&lt;&gt;""),IF($AH$9&lt;&gt;0,VLOOKUP(AH14/$AH$9*100,TRANSMUTATION_TABLE!$A$2:$B$102,2),""),"")</f>
        <v/>
      </c>
      <c r="AJ14" s="46" t="str">
        <f>IF(OR(K14&lt;&gt;"",T14&lt;&gt;"",AC14&lt;&gt;"",AI14&lt;&gt;"",AG14&lt;&gt;""),SUM(PRODUCT(K14,IF(Settings!$F$9&lt;&gt;0,Settings!$F$9/100,0)),PRODUCT(Prelim!T14,IF(Settings!$F$10&lt;&gt;0,Settings!$F$10/100,0)),PRODUCT(Prelim!AC14,IF(Settings!$F$11&lt;&gt;0,Settings!$F$11/100,0)),PRODUCT(Prelim!AG14,IF(Settings!$F$12&lt;&gt;0,Settings!$F$12/100,0)),PRODUCT(Prelim!AI14,IF(Settings!$F$13&lt;&gt;0,Settings!$F$13/100,0))),"")</f>
        <v/>
      </c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</row>
    <row r="15" spans="1:56" ht="12" customHeight="1" thickBot="1" x14ac:dyDescent="0.35">
      <c r="A15" s="59"/>
      <c r="B15" s="60"/>
      <c r="C15" s="31"/>
      <c r="D15" s="85" t="str">
        <f>IF(AND(B15&lt;&gt;""),IF($C$9&lt;&gt;0,VLOOKUP(C15/$C$9*100,TRANSMUTATION_TABLE!$A$2:$B$102,2),""),"")</f>
        <v/>
      </c>
      <c r="E15" s="31"/>
      <c r="F15" s="42" t="str">
        <f>IF(AND(B15&lt;&gt;""),IF($E$9&lt;&gt;0,VLOOKUP(E15/$E$9*100,TRANSMUTATION_TABLE!$A$2:$B$102,2),""),"")</f>
        <v/>
      </c>
      <c r="G15" s="31"/>
      <c r="H15" s="42" t="str">
        <f>IF(AND(B15&lt;&gt;""),IF($G$9&lt;&gt;0,VLOOKUP(G15/$G$9*100,TRANSMUTATION_TABLE!$A$2:$B$102,2),""),"")</f>
        <v/>
      </c>
      <c r="I15" s="31"/>
      <c r="J15" s="43" t="str">
        <f>IF(AND(B15&lt;&gt;""),IF($I$9&lt;&gt;0,VLOOKUP(I15/$I$9*100,TRANSMUTATION_TABLE!$A$2:$B$102,2),""),"")</f>
        <v/>
      </c>
      <c r="K15" s="48" t="str">
        <f t="shared" si="0"/>
        <v/>
      </c>
      <c r="L15" s="31"/>
      <c r="M15" s="88" t="str">
        <f>IF(AND(B15&lt;&gt;""),IF($L$9&lt;&gt;0,VLOOKUP(L15/$L$9*100,TRANSMUTATION_TABLE!$A$2:$B$102,2),""),"")</f>
        <v/>
      </c>
      <c r="N15" s="31"/>
      <c r="O15" s="57" t="str">
        <f>IF(AND(B15&lt;&gt;""),IF($N$9&lt;&gt;0,VLOOKUP(N15/$N$9*100,TRANSMUTATION_TABLE!$A$2:$B$102,2),""),"")</f>
        <v/>
      </c>
      <c r="P15" s="31"/>
      <c r="Q15" s="57" t="str">
        <f>IF(AND(B15&lt;&gt;""),IF($P$9&lt;&gt;0,VLOOKUP(P15/$P$9*100,TRANSMUTATION_TABLE!$A$2:$B$102,2),""),"")</f>
        <v/>
      </c>
      <c r="R15" s="31"/>
      <c r="S15" s="89" t="str">
        <f>IF(AND(B15&lt;&gt;""),IF($R$9&lt;&gt;0,VLOOKUP(R15/$R$9*100,TRANSMUTATION_TABLE!$A$2:$B$102,2),""),"")</f>
        <v/>
      </c>
      <c r="T15" s="48" t="str">
        <f t="shared" si="1"/>
        <v/>
      </c>
      <c r="U15" s="31"/>
      <c r="V15" s="57" t="str">
        <f>IF(AND(B15&lt;&gt;""),IF($U$9&lt;&gt;0,VLOOKUP(U15/$U$9*100,TRANSMUTATION_TABLE!$A$2:$B$102,2),""),"")</f>
        <v/>
      </c>
      <c r="W15" s="31"/>
      <c r="X15" s="57" t="str">
        <f>IF(AND(B15&lt;&gt;""),IF($W$9&lt;&gt;0,VLOOKUP(W15/$W$9*100,TRANSMUTATION_TABLE!$A$2:$B$102,2),""),"")</f>
        <v/>
      </c>
      <c r="Y15" s="31"/>
      <c r="Z15" s="57" t="str">
        <f>IF(AND(B15&lt;&gt;""),IF($Y$9&lt;&gt;0,VLOOKUP(Y15/$Y$9*100,TRANSMUTATION_TABLE!$A$2:$B$102,2),""),"")</f>
        <v/>
      </c>
      <c r="AA15" s="31"/>
      <c r="AB15" s="89" t="str">
        <f>IF(AND(B15&lt;&gt;""),IF($AA$9&lt;&gt;0,VLOOKUP(AA15/$AA$9*100,TRANSMUTATION_TABLE!$A$2:$B$102,2),""),"")</f>
        <v/>
      </c>
      <c r="AC15" s="48" t="str">
        <f t="shared" si="2"/>
        <v/>
      </c>
      <c r="AD15" s="31"/>
      <c r="AE15" s="57" t="str">
        <f>IF(AND(B15&lt;&gt;""),IF($AD$9&lt;&gt;0,VLOOKUP(AD15/$AD$9*100,TRANSMUTATION_TABLE!$A$2:$B$102,2),""),"")</f>
        <v/>
      </c>
      <c r="AF15" s="31">
        <f>Attendance!U12</f>
        <v>0</v>
      </c>
      <c r="AG15" s="87" t="str">
        <f>IF(AND(B15&lt;&gt;""),IF($AF$9&lt;&gt;0,VLOOKUP(AF15/$AF$9*100,TRANSMUTATION_TABLE!$A$2:$B$102,2),""),"")</f>
        <v/>
      </c>
      <c r="AH15" s="31"/>
      <c r="AI15" s="45" t="str">
        <f>IF(AND(B15&lt;&gt;""),IF($AH$9&lt;&gt;0,VLOOKUP(AH15/$AH$9*100,TRANSMUTATION_TABLE!$A$2:$B$102,2),""),"")</f>
        <v/>
      </c>
      <c r="AJ15" s="46" t="str">
        <f>IF(OR(K15&lt;&gt;"",T15&lt;&gt;"",AC15&lt;&gt;"",AI15&lt;&gt;"",AG15&lt;&gt;""),SUM(PRODUCT(K15,IF(Settings!$F$9&lt;&gt;0,Settings!$F$9/100,0)),PRODUCT(Prelim!T15,IF(Settings!$F$10&lt;&gt;0,Settings!$F$10/100,0)),PRODUCT(Prelim!AC15,IF(Settings!$F$11&lt;&gt;0,Settings!$F$11/100,0)),PRODUCT(Prelim!AG15,IF(Settings!$F$12&lt;&gt;0,Settings!$F$12/100,0)),PRODUCT(Prelim!AI15,IF(Settings!$F$13&lt;&gt;0,Settings!$F$13/100,0))),"")</f>
        <v/>
      </c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</row>
    <row r="16" spans="1:56" ht="12" customHeight="1" thickBot="1" x14ac:dyDescent="0.35">
      <c r="A16" s="52"/>
      <c r="B16" s="60"/>
      <c r="C16" s="31"/>
      <c r="D16" s="85" t="str">
        <f>IF(AND(B16&lt;&gt;""),IF($C$9&lt;&gt;0,VLOOKUP(C16/$C$9*100,TRANSMUTATION_TABLE!$A$2:$B$102,2),""),"")</f>
        <v/>
      </c>
      <c r="E16" s="31"/>
      <c r="F16" s="42" t="str">
        <f>IF(AND(B16&lt;&gt;""),IF($E$9&lt;&gt;0,VLOOKUP(E16/$E$9*100,TRANSMUTATION_TABLE!$A$2:$B$102,2),""),"")</f>
        <v/>
      </c>
      <c r="G16" s="31"/>
      <c r="H16" s="42" t="str">
        <f>IF(AND(B16&lt;&gt;""),IF($G$9&lt;&gt;0,VLOOKUP(G16/$G$9*100,TRANSMUTATION_TABLE!$A$2:$B$102,2),""),"")</f>
        <v/>
      </c>
      <c r="I16" s="31"/>
      <c r="J16" s="43" t="str">
        <f>IF(AND(B16&lt;&gt;""),IF($I$9&lt;&gt;0,VLOOKUP(I16/$I$9*100,TRANSMUTATION_TABLE!$A$2:$B$102,2),""),"")</f>
        <v/>
      </c>
      <c r="K16" s="48" t="str">
        <f t="shared" si="0"/>
        <v/>
      </c>
      <c r="L16" s="31"/>
      <c r="M16" s="86" t="str">
        <f>IF(AND(B16&lt;&gt;""),IF($L$9&lt;&gt;0,VLOOKUP(L16/$L$9*100,TRANSMUTATION_TABLE!$A$2:$B$102,2),""),"")</f>
        <v/>
      </c>
      <c r="N16" s="31"/>
      <c r="O16" s="42" t="str">
        <f>IF(AND(B16&lt;&gt;""),IF($N$9&lt;&gt;0,VLOOKUP(N16/$N$9*100,TRANSMUTATION_TABLE!$A$2:$B$102,2),""),"")</f>
        <v/>
      </c>
      <c r="P16" s="31"/>
      <c r="Q16" s="42" t="str">
        <f>IF(AND(B16&lt;&gt;""),IF($P$9&lt;&gt;0,VLOOKUP(P16/$P$9*100,TRANSMUTATION_TABLE!$A$2:$B$102,2),""),"")</f>
        <v/>
      </c>
      <c r="R16" s="31"/>
      <c r="S16" s="43" t="str">
        <f>IF(AND(B16&lt;&gt;""),IF($R$9&lt;&gt;0,VLOOKUP(R16/$R$9*100,TRANSMUTATION_TABLE!$A$2:$B$102,2),""),"")</f>
        <v/>
      </c>
      <c r="T16" s="48" t="str">
        <f t="shared" si="1"/>
        <v/>
      </c>
      <c r="U16" s="31"/>
      <c r="V16" s="42" t="str">
        <f>IF(AND(B16&lt;&gt;""),IF($U$9&lt;&gt;0,VLOOKUP(U16/$U$9*100,TRANSMUTATION_TABLE!$A$2:$B$102,2),""),"")</f>
        <v/>
      </c>
      <c r="W16" s="31"/>
      <c r="X16" s="42" t="str">
        <f>IF(AND(B16&lt;&gt;""),IF($W$9&lt;&gt;0,VLOOKUP(W16/$W$9*100,TRANSMUTATION_TABLE!$A$2:$B$102,2),""),"")</f>
        <v/>
      </c>
      <c r="Y16" s="31"/>
      <c r="Z16" s="42" t="str">
        <f>IF(AND(B16&lt;&gt;""),IF($Y$9&lt;&gt;0,VLOOKUP(Y16/$Y$9*100,TRANSMUTATION_TABLE!$A$2:$B$102,2),""),"")</f>
        <v/>
      </c>
      <c r="AA16" s="31"/>
      <c r="AB16" s="43" t="str">
        <f>IF(AND(B16&lt;&gt;""),IF($AA$9&lt;&gt;0,VLOOKUP(AA16/$AA$9*100,TRANSMUTATION_TABLE!$A$2:$B$102,2),""),"")</f>
        <v/>
      </c>
      <c r="AC16" s="48" t="str">
        <f t="shared" si="2"/>
        <v/>
      </c>
      <c r="AD16" s="31"/>
      <c r="AE16" s="42" t="str">
        <f>IF(AND(B16&lt;&gt;""),IF($AD$9&lt;&gt;0,VLOOKUP(AD16/$AD$9*100,TRANSMUTATION_TABLE!$A$2:$B$102,2),""),"")</f>
        <v/>
      </c>
      <c r="AF16" s="31">
        <f>Attendance!U13</f>
        <v>0</v>
      </c>
      <c r="AG16" s="87" t="str">
        <f>IF(AND(B16&lt;&gt;""),IF($AF$9&lt;&gt;0,VLOOKUP(AF16/$AF$9*100,TRANSMUTATION_TABLE!$A$2:$B$102,2),""),"")</f>
        <v/>
      </c>
      <c r="AH16" s="31"/>
      <c r="AI16" s="45" t="str">
        <f>IF(AND(B16&lt;&gt;""),IF($AH$9&lt;&gt;0,VLOOKUP(AH16/$AH$9*100,TRANSMUTATION_TABLE!$A$2:$B$102,2),""),"")</f>
        <v/>
      </c>
      <c r="AJ16" s="46" t="str">
        <f>IF(OR(K16&lt;&gt;"",T16&lt;&gt;"",AC16&lt;&gt;"",AI16&lt;&gt;"",AG16&lt;&gt;""),SUM(PRODUCT(K16,IF(Settings!$F$9&lt;&gt;0,Settings!$F$9/100,0)),PRODUCT(Prelim!T16,IF(Settings!$F$10&lt;&gt;0,Settings!$F$10/100,0)),PRODUCT(Prelim!AC16,IF(Settings!$F$11&lt;&gt;0,Settings!$F$11/100,0)),PRODUCT(Prelim!AG16,IF(Settings!$F$12&lt;&gt;0,Settings!$F$12/100,0)),PRODUCT(Prelim!AI16,IF(Settings!$F$13&lt;&gt;0,Settings!$F$13/100,0))),"")</f>
        <v/>
      </c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</row>
    <row r="17" spans="1:56" ht="12" customHeight="1" thickBot="1" x14ac:dyDescent="0.35">
      <c r="A17" s="52"/>
      <c r="B17" s="60"/>
      <c r="C17" s="31"/>
      <c r="D17" s="85" t="str">
        <f>IF(AND(B17&lt;&gt;""),IF($C$9&lt;&gt;0,VLOOKUP(C17/$C$9*100,TRANSMUTATION_TABLE!$A$2:$B$102,2),""),"")</f>
        <v/>
      </c>
      <c r="E17" s="31"/>
      <c r="F17" s="42" t="str">
        <f>IF(AND(B17&lt;&gt;""),IF($E$9&lt;&gt;0,VLOOKUP(E17/$E$9*100,TRANSMUTATION_TABLE!$A$2:$B$102,2),""),"")</f>
        <v/>
      </c>
      <c r="G17" s="31"/>
      <c r="H17" s="42" t="str">
        <f>IF(AND(B17&lt;&gt;""),IF($G$9&lt;&gt;0,VLOOKUP(G17/$G$9*100,TRANSMUTATION_TABLE!$A$2:$B$102,2),""),"")</f>
        <v/>
      </c>
      <c r="I17" s="31"/>
      <c r="J17" s="43" t="str">
        <f>IF(AND(B17&lt;&gt;""),IF($I$9&lt;&gt;0,VLOOKUP(I17/$I$9*100,TRANSMUTATION_TABLE!$A$2:$B$102,2),""),"")</f>
        <v/>
      </c>
      <c r="K17" s="48" t="str">
        <f t="shared" si="0"/>
        <v/>
      </c>
      <c r="L17" s="31"/>
      <c r="M17" s="86" t="str">
        <f>IF(AND(B17&lt;&gt;""),IF($L$9&lt;&gt;0,VLOOKUP(L17/$L$9*100,TRANSMUTATION_TABLE!$A$2:$B$102,2),""),"")</f>
        <v/>
      </c>
      <c r="N17" s="31"/>
      <c r="O17" s="42" t="str">
        <f>IF(AND(B17&lt;&gt;""),IF($N$9&lt;&gt;0,VLOOKUP(N17/$N$9*100,TRANSMUTATION_TABLE!$A$2:$B$102,2),""),"")</f>
        <v/>
      </c>
      <c r="P17" s="31"/>
      <c r="Q17" s="42" t="str">
        <f>IF(AND(B17&lt;&gt;""),IF($P$9&lt;&gt;0,VLOOKUP(P17/$P$9*100,TRANSMUTATION_TABLE!$A$2:$B$102,2),""),"")</f>
        <v/>
      </c>
      <c r="R17" s="31"/>
      <c r="S17" s="43" t="str">
        <f>IF(AND(B17&lt;&gt;""),IF($R$9&lt;&gt;0,VLOOKUP(R17/$R$9*100,TRANSMUTATION_TABLE!$A$2:$B$102,2),""),"")</f>
        <v/>
      </c>
      <c r="T17" s="48" t="str">
        <f t="shared" si="1"/>
        <v/>
      </c>
      <c r="U17" s="31"/>
      <c r="V17" s="42" t="str">
        <f>IF(AND(B17&lt;&gt;""),IF($U$9&lt;&gt;0,VLOOKUP(U17/$U$9*100,TRANSMUTATION_TABLE!$A$2:$B$102,2),""),"")</f>
        <v/>
      </c>
      <c r="W17" s="31"/>
      <c r="X17" s="42" t="str">
        <f>IF(AND(B17&lt;&gt;""),IF($W$9&lt;&gt;0,VLOOKUP(W17/$W$9*100,TRANSMUTATION_TABLE!$A$2:$B$102,2),""),"")</f>
        <v/>
      </c>
      <c r="Y17" s="31"/>
      <c r="Z17" s="42" t="str">
        <f>IF(AND(B17&lt;&gt;""),IF($Y$9&lt;&gt;0,VLOOKUP(Y17/$Y$9*100,TRANSMUTATION_TABLE!$A$2:$B$102,2),""),"")</f>
        <v/>
      </c>
      <c r="AA17" s="31"/>
      <c r="AB17" s="43" t="str">
        <f>IF(AND(B17&lt;&gt;""),IF($AA$9&lt;&gt;0,VLOOKUP(AA17/$AA$9*100,TRANSMUTATION_TABLE!$A$2:$B$102,2),""),"")</f>
        <v/>
      </c>
      <c r="AC17" s="48" t="str">
        <f t="shared" si="2"/>
        <v/>
      </c>
      <c r="AD17" s="31"/>
      <c r="AE17" s="42" t="str">
        <f>IF(AND(B17&lt;&gt;""),IF($AD$9&lt;&gt;0,VLOOKUP(AD17/$AD$9*100,TRANSMUTATION_TABLE!$A$2:$B$102,2),""),"")</f>
        <v/>
      </c>
      <c r="AF17" s="31">
        <f>Attendance!U14</f>
        <v>0</v>
      </c>
      <c r="AG17" s="87" t="str">
        <f>IF(AND(B17&lt;&gt;""),IF($AF$9&lt;&gt;0,VLOOKUP(AF17/$AF$9*100,TRANSMUTATION_TABLE!$A$2:$B$102,2),""),"")</f>
        <v/>
      </c>
      <c r="AH17" s="31"/>
      <c r="AI17" s="45" t="str">
        <f>IF(AND(B17&lt;&gt;""),IF($AH$9&lt;&gt;0,VLOOKUP(AH17/$AH$9*100,TRANSMUTATION_TABLE!$A$2:$B$102,2),""),"")</f>
        <v/>
      </c>
      <c r="AJ17" s="46" t="str">
        <f>IF(OR(K17&lt;&gt;"",T17&lt;&gt;"",AC17&lt;&gt;"",AI17&lt;&gt;"",AG17&lt;&gt;""),SUM(PRODUCT(K17,IF(Settings!$F$9&lt;&gt;0,Settings!$F$9/100,0)),PRODUCT(Prelim!T17,IF(Settings!$F$10&lt;&gt;0,Settings!$F$10/100,0)),PRODUCT(Prelim!AC17,IF(Settings!$F$11&lt;&gt;0,Settings!$F$11/100,0)),PRODUCT(Prelim!AG17,IF(Settings!$F$12&lt;&gt;0,Settings!$F$12/100,0)),PRODUCT(Prelim!AI17,IF(Settings!$F$13&lt;&gt;0,Settings!$F$13/100,0))),"")</f>
        <v/>
      </c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</row>
    <row r="18" spans="1:56" ht="12" customHeight="1" thickBot="1" x14ac:dyDescent="0.35">
      <c r="A18" s="52"/>
      <c r="B18" s="60"/>
      <c r="C18" s="31"/>
      <c r="D18" s="85" t="str">
        <f>IF(AND(B18&lt;&gt;""),IF($C$9&lt;&gt;0,VLOOKUP(C18/$C$9*100,TRANSMUTATION_TABLE!$A$2:$B$102,2),""),"")</f>
        <v/>
      </c>
      <c r="E18" s="31"/>
      <c r="F18" s="42" t="str">
        <f>IF(AND(B18&lt;&gt;""),IF($E$9&lt;&gt;0,VLOOKUP(E18/$E$9*100,TRANSMUTATION_TABLE!$A$2:$B$102,2),""),"")</f>
        <v/>
      </c>
      <c r="G18" s="31"/>
      <c r="H18" s="42" t="str">
        <f>IF(AND(B18&lt;&gt;""),IF($G$9&lt;&gt;0,VLOOKUP(G18/$G$9*100,TRANSMUTATION_TABLE!$A$2:$B$102,2),""),"")</f>
        <v/>
      </c>
      <c r="I18" s="31"/>
      <c r="J18" s="43" t="str">
        <f>IF(AND(B18&lt;&gt;""),IF($I$9&lt;&gt;0,VLOOKUP(I18/$I$9*100,TRANSMUTATION_TABLE!$A$2:$B$102,2),""),"")</f>
        <v/>
      </c>
      <c r="K18" s="48" t="str">
        <f t="shared" si="0"/>
        <v/>
      </c>
      <c r="L18" s="31"/>
      <c r="M18" s="86" t="str">
        <f>IF(AND(B18&lt;&gt;""),IF($L$9&lt;&gt;0,VLOOKUP(L18/$L$9*100,TRANSMUTATION_TABLE!$A$2:$B$102,2),""),"")</f>
        <v/>
      </c>
      <c r="N18" s="31"/>
      <c r="O18" s="42" t="str">
        <f>IF(AND(B18&lt;&gt;""),IF($N$9&lt;&gt;0,VLOOKUP(N18/$N$9*100,TRANSMUTATION_TABLE!$A$2:$B$102,2),""),"")</f>
        <v/>
      </c>
      <c r="P18" s="31"/>
      <c r="Q18" s="42" t="str">
        <f>IF(AND(B18&lt;&gt;""),IF($P$9&lt;&gt;0,VLOOKUP(P18/$P$9*100,TRANSMUTATION_TABLE!$A$2:$B$102,2),""),"")</f>
        <v/>
      </c>
      <c r="R18" s="31"/>
      <c r="S18" s="43" t="str">
        <f>IF(AND(B18&lt;&gt;""),IF($R$9&lt;&gt;0,VLOOKUP(R18/$R$9*100,TRANSMUTATION_TABLE!$A$2:$B$102,2),""),"")</f>
        <v/>
      </c>
      <c r="T18" s="48" t="str">
        <f t="shared" si="1"/>
        <v/>
      </c>
      <c r="U18" s="31"/>
      <c r="V18" s="42" t="str">
        <f>IF(AND(B18&lt;&gt;""),IF($U$9&lt;&gt;0,VLOOKUP(U18/$U$9*100,TRANSMUTATION_TABLE!$A$2:$B$102,2),""),"")</f>
        <v/>
      </c>
      <c r="W18" s="31"/>
      <c r="X18" s="42" t="str">
        <f>IF(AND(B18&lt;&gt;""),IF($W$9&lt;&gt;0,VLOOKUP(W18/$W$9*100,TRANSMUTATION_TABLE!$A$2:$B$102,2),""),"")</f>
        <v/>
      </c>
      <c r="Y18" s="31"/>
      <c r="Z18" s="42" t="str">
        <f>IF(AND(B18&lt;&gt;""),IF($Y$9&lt;&gt;0,VLOOKUP(Y18/$Y$9*100,TRANSMUTATION_TABLE!$A$2:$B$102,2),""),"")</f>
        <v/>
      </c>
      <c r="AA18" s="31"/>
      <c r="AB18" s="43" t="str">
        <f>IF(AND(B18&lt;&gt;""),IF($AA$9&lt;&gt;0,VLOOKUP(AA18/$AA$9*100,TRANSMUTATION_TABLE!$A$2:$B$102,2),""),"")</f>
        <v/>
      </c>
      <c r="AC18" s="48" t="str">
        <f t="shared" si="2"/>
        <v/>
      </c>
      <c r="AD18" s="31"/>
      <c r="AE18" s="42" t="str">
        <f>IF(AND(B18&lt;&gt;""),IF($AD$9&lt;&gt;0,VLOOKUP(AD18/$AD$9*100,TRANSMUTATION_TABLE!$A$2:$B$102,2),""),"")</f>
        <v/>
      </c>
      <c r="AF18" s="31">
        <f>Attendance!U15</f>
        <v>0</v>
      </c>
      <c r="AG18" s="87" t="str">
        <f>IF(AND(B18&lt;&gt;""),IF($AF$9&lt;&gt;0,VLOOKUP(AF18/$AF$9*100,TRANSMUTATION_TABLE!$A$2:$B$102,2),""),"")</f>
        <v/>
      </c>
      <c r="AH18" s="31"/>
      <c r="AI18" s="45" t="str">
        <f>IF(AND(B18&lt;&gt;""),IF($AH$9&lt;&gt;0,VLOOKUP(AH18/$AH$9*100,TRANSMUTATION_TABLE!$A$2:$B$102,2),""),"")</f>
        <v/>
      </c>
      <c r="AJ18" s="46" t="str">
        <f>IF(OR(K18&lt;&gt;"",T18&lt;&gt;"",AC18&lt;&gt;"",AI18&lt;&gt;"",AG18&lt;&gt;""),SUM(PRODUCT(K18,IF(Settings!$F$9&lt;&gt;0,Settings!$F$9/100,0)),PRODUCT(Prelim!T18,IF(Settings!$F$10&lt;&gt;0,Settings!$F$10/100,0)),PRODUCT(Prelim!AC18,IF(Settings!$F$11&lt;&gt;0,Settings!$F$11/100,0)),PRODUCT(Prelim!AG18,IF(Settings!$F$12&lt;&gt;0,Settings!$F$12/100,0)),PRODUCT(Prelim!AI18,IF(Settings!$F$13&lt;&gt;0,Settings!$F$13/100,0))),"")</f>
        <v/>
      </c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</row>
    <row r="19" spans="1:56" ht="12" customHeight="1" thickBot="1" x14ac:dyDescent="0.35">
      <c r="A19" s="54"/>
      <c r="B19" s="60"/>
      <c r="C19" s="214"/>
      <c r="D19" s="85" t="str">
        <f>IF(AND(B19&lt;&gt;""),IF($C$9&lt;&gt;0,VLOOKUP(C19/$C$9*100,TRANSMUTATION_TABLE!$A$2:$B$102,2),""),"")</f>
        <v/>
      </c>
      <c r="E19" s="214"/>
      <c r="F19" s="42" t="str">
        <f>IF(AND(B19&lt;&gt;""),IF($E$9&lt;&gt;0,VLOOKUP(E19/$E$9*100,TRANSMUTATION_TABLE!$A$2:$B$102,2),""),"")</f>
        <v/>
      </c>
      <c r="G19" s="214"/>
      <c r="H19" s="42" t="str">
        <f>IF(AND(B19&lt;&gt;""),IF($G$9&lt;&gt;0,VLOOKUP(G19/$G$9*100,TRANSMUTATION_TABLE!$A$2:$B$102,2),""),"")</f>
        <v/>
      </c>
      <c r="I19" s="214"/>
      <c r="J19" s="43" t="str">
        <f>IF(AND(B19&lt;&gt;""),IF($I$9&lt;&gt;0,VLOOKUP(I19/$I$9*100,TRANSMUTATION_TABLE!$A$2:$B$102,2),""),"")</f>
        <v/>
      </c>
      <c r="K19" s="48" t="str">
        <f t="shared" si="0"/>
        <v/>
      </c>
      <c r="L19" s="214"/>
      <c r="M19" s="86" t="str">
        <f>IF(AND(B19&lt;&gt;""),IF($L$9&lt;&gt;0,VLOOKUP(L19/$L$9*100,TRANSMUTATION_TABLE!$A$2:$B$102,2),""),"")</f>
        <v/>
      </c>
      <c r="N19" s="214"/>
      <c r="O19" s="42" t="str">
        <f>IF(AND(B19&lt;&gt;""),IF($N$9&lt;&gt;0,VLOOKUP(N19/$N$9*100,TRANSMUTATION_TABLE!$A$2:$B$102,2),""),"")</f>
        <v/>
      </c>
      <c r="P19" s="214"/>
      <c r="Q19" s="42" t="str">
        <f>IF(AND(B19&lt;&gt;""),IF($P$9&lt;&gt;0,VLOOKUP(P19/$P$9*100,TRANSMUTATION_TABLE!$A$2:$B$102,2),""),"")</f>
        <v/>
      </c>
      <c r="R19" s="214"/>
      <c r="S19" s="43" t="str">
        <f>IF(AND(B19&lt;&gt;""),IF($R$9&lt;&gt;0,VLOOKUP(R19/$R$9*100,TRANSMUTATION_TABLE!$A$2:$B$102,2),""),"")</f>
        <v/>
      </c>
      <c r="T19" s="48" t="str">
        <f t="shared" si="1"/>
        <v/>
      </c>
      <c r="U19" s="214"/>
      <c r="V19" s="42" t="str">
        <f>IF(AND(B19&lt;&gt;""),IF($U$9&lt;&gt;0,VLOOKUP(U19/$U$9*100,TRANSMUTATION_TABLE!$A$2:$B$102,2),""),"")</f>
        <v/>
      </c>
      <c r="W19" s="214"/>
      <c r="X19" s="42" t="str">
        <f>IF(AND(B19&lt;&gt;""),IF($W$9&lt;&gt;0,VLOOKUP(W19/$W$9*100,TRANSMUTATION_TABLE!$A$2:$B$102,2),""),"")</f>
        <v/>
      </c>
      <c r="Y19" s="214"/>
      <c r="Z19" s="42" t="str">
        <f>IF(AND(B19&lt;&gt;""),IF($Y$9&lt;&gt;0,VLOOKUP(Y19/$Y$9*100,TRANSMUTATION_TABLE!$A$2:$B$102,2),""),"")</f>
        <v/>
      </c>
      <c r="AA19" s="214"/>
      <c r="AB19" s="43" t="str">
        <f>IF(AND(B19&lt;&gt;""),IF($AA$9&lt;&gt;0,VLOOKUP(AA19/$AA$9*100,TRANSMUTATION_TABLE!$A$2:$B$102,2),""),"")</f>
        <v/>
      </c>
      <c r="AC19" s="48" t="str">
        <f t="shared" si="2"/>
        <v/>
      </c>
      <c r="AD19" s="214"/>
      <c r="AE19" s="42" t="str">
        <f>IF(AND(B19&lt;&gt;""),IF($AD$9&lt;&gt;0,VLOOKUP(AD19/$AD$9*100,TRANSMUTATION_TABLE!$A$2:$B$102,2),""),"")</f>
        <v/>
      </c>
      <c r="AF19" s="214">
        <f>Attendance!U16</f>
        <v>0</v>
      </c>
      <c r="AG19" s="87" t="str">
        <f>IF(AND(B19&lt;&gt;""),IF($AF$9&lt;&gt;0,VLOOKUP(AF19/$AF$9*100,TRANSMUTATION_TABLE!$A$2:$B$102,2),""),"")</f>
        <v/>
      </c>
      <c r="AH19" s="214"/>
      <c r="AI19" s="45" t="str">
        <f>IF(AND(B19&lt;&gt;""),IF($AH$9&lt;&gt;0,VLOOKUP(AH19/$AH$9*100,TRANSMUTATION_TABLE!$A$2:$B$102,2),""),"")</f>
        <v/>
      </c>
      <c r="AJ19" s="46" t="str">
        <f>IF(OR(K19&lt;&gt;"",T19&lt;&gt;"",AC19&lt;&gt;"",AI19&lt;&gt;"",AG19&lt;&gt;""),SUM(PRODUCT(K19,IF(Settings!$F$9&lt;&gt;0,Settings!$F$9/100,0)),PRODUCT(Prelim!T19,IF(Settings!$F$10&lt;&gt;0,Settings!$F$10/100,0)),PRODUCT(Prelim!AC19,IF(Settings!$F$11&lt;&gt;0,Settings!$F$11/100,0)),PRODUCT(Prelim!AG19,IF(Settings!$F$12&lt;&gt;0,Settings!$F$12/100,0)),PRODUCT(Prelim!AI19,IF(Settings!$F$13&lt;&gt;0,Settings!$F$13/100,0))),"")</f>
        <v/>
      </c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</row>
    <row r="20" spans="1:56" ht="12" customHeight="1" thickBot="1" x14ac:dyDescent="0.35">
      <c r="A20" s="47"/>
      <c r="B20" s="60"/>
      <c r="C20" s="31"/>
      <c r="D20" s="85" t="str">
        <f>IF(AND(B20&lt;&gt;""),IF($C$9&lt;&gt;0,VLOOKUP(C20/$C$9*100,TRANSMUTATION_TABLE!$A$2:$B$102,2),""),"")</f>
        <v/>
      </c>
      <c r="E20" s="31"/>
      <c r="F20" s="42" t="str">
        <f>IF(AND(B20&lt;&gt;""),IF($E$9&lt;&gt;0,VLOOKUP(E20/$E$9*100,TRANSMUTATION_TABLE!$A$2:$B$102,2),""),"")</f>
        <v/>
      </c>
      <c r="G20" s="31"/>
      <c r="H20" s="42" t="str">
        <f>IF(AND(B20&lt;&gt;""),IF($G$9&lt;&gt;0,VLOOKUP(G20/$G$9*100,TRANSMUTATION_TABLE!$A$2:$B$102,2),""),"")</f>
        <v/>
      </c>
      <c r="I20" s="31"/>
      <c r="J20" s="43" t="str">
        <f>IF(AND(B20&lt;&gt;""),IF($I$9&lt;&gt;0,VLOOKUP(I20/$I$9*100,TRANSMUTATION_TABLE!$A$2:$B$102,2),""),"")</f>
        <v/>
      </c>
      <c r="K20" s="48" t="str">
        <f t="shared" si="0"/>
        <v/>
      </c>
      <c r="L20" s="31"/>
      <c r="M20" s="88" t="str">
        <f>IF(AND(B20&lt;&gt;""),IF($L$9&lt;&gt;0,VLOOKUP(L20/$L$9*100,TRANSMUTATION_TABLE!$A$2:$B$102,2),""),"")</f>
        <v/>
      </c>
      <c r="N20" s="31"/>
      <c r="O20" s="57" t="str">
        <f>IF(AND(B20&lt;&gt;""),IF($N$9&lt;&gt;0,VLOOKUP(N20/$N$9*100,TRANSMUTATION_TABLE!$A$2:$B$102,2),""),"")</f>
        <v/>
      </c>
      <c r="P20" s="31"/>
      <c r="Q20" s="57" t="str">
        <f>IF(AND(B20&lt;&gt;""),IF($P$9&lt;&gt;0,VLOOKUP(P20/$P$9*100,TRANSMUTATION_TABLE!$A$2:$B$102,2),""),"")</f>
        <v/>
      </c>
      <c r="R20" s="31"/>
      <c r="S20" s="89" t="str">
        <f>IF(AND(B20&lt;&gt;""),IF($R$9&lt;&gt;0,VLOOKUP(R20/$R$9*100,TRANSMUTATION_TABLE!$A$2:$B$102,2),""),"")</f>
        <v/>
      </c>
      <c r="T20" s="48" t="str">
        <f t="shared" si="1"/>
        <v/>
      </c>
      <c r="U20" s="31"/>
      <c r="V20" s="57" t="str">
        <f>IF(AND(B20&lt;&gt;""),IF($U$9&lt;&gt;0,VLOOKUP(U20/$U$9*100,TRANSMUTATION_TABLE!$A$2:$B$102,2),""),"")</f>
        <v/>
      </c>
      <c r="W20" s="31"/>
      <c r="X20" s="57" t="str">
        <f>IF(AND(B20&lt;&gt;""),IF($W$9&lt;&gt;0,VLOOKUP(W20/$W$9*100,TRANSMUTATION_TABLE!$A$2:$B$102,2),""),"")</f>
        <v/>
      </c>
      <c r="Y20" s="31"/>
      <c r="Z20" s="57" t="str">
        <f>IF(AND(B20&lt;&gt;""),IF($Y$9&lt;&gt;0,VLOOKUP(Y20/$Y$9*100,TRANSMUTATION_TABLE!$A$2:$B$102,2),""),"")</f>
        <v/>
      </c>
      <c r="AA20" s="31"/>
      <c r="AB20" s="89" t="str">
        <f>IF(AND(B20&lt;&gt;""),IF($AA$9&lt;&gt;0,VLOOKUP(AA20/$AA$9*100,TRANSMUTATION_TABLE!$A$2:$B$102,2),""),"")</f>
        <v/>
      </c>
      <c r="AC20" s="48" t="str">
        <f t="shared" si="2"/>
        <v/>
      </c>
      <c r="AD20" s="31"/>
      <c r="AE20" s="57" t="str">
        <f>IF(AND(B20&lt;&gt;""),IF($AD$9&lt;&gt;0,VLOOKUP(AD20/$AD$9*100,TRANSMUTATION_TABLE!$A$2:$B$102,2),""),"")</f>
        <v/>
      </c>
      <c r="AF20" s="31">
        <f>Attendance!U17</f>
        <v>0</v>
      </c>
      <c r="AG20" s="87" t="str">
        <f>IF(AND(B20&lt;&gt;""),IF($AF$9&lt;&gt;0,VLOOKUP(AF20/$AF$9*100,TRANSMUTATION_TABLE!$A$2:$B$102,2),""),"")</f>
        <v/>
      </c>
      <c r="AH20" s="31"/>
      <c r="AI20" s="45" t="str">
        <f>IF(AND(B20&lt;&gt;""),IF($AH$9&lt;&gt;0,VLOOKUP(AH20/$AH$9*100,TRANSMUTATION_TABLE!$A$2:$B$102,2),""),"")</f>
        <v/>
      </c>
      <c r="AJ20" s="46" t="str">
        <f>IF(OR(K20&lt;&gt;"",T20&lt;&gt;"",AC20&lt;&gt;"",AI20&lt;&gt;"",AG20&lt;&gt;""),SUM(PRODUCT(K20,IF(Settings!$F$9&lt;&gt;0,Settings!$F$9/100,0)),PRODUCT(Prelim!T20,IF(Settings!$F$10&lt;&gt;0,Settings!$F$10/100,0)),PRODUCT(Prelim!AC20,IF(Settings!$F$11&lt;&gt;0,Settings!$F$11/100,0)),PRODUCT(Prelim!AG20,IF(Settings!$F$12&lt;&gt;0,Settings!$F$12/100,0)),PRODUCT(Prelim!AI20,IF(Settings!$F$13&lt;&gt;0,Settings!$F$13/100,0))),"")</f>
        <v/>
      </c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</row>
    <row r="21" spans="1:56" ht="12" customHeight="1" thickBot="1" x14ac:dyDescent="0.35">
      <c r="A21" s="52"/>
      <c r="B21" s="60"/>
      <c r="C21" s="31"/>
      <c r="D21" s="85" t="str">
        <f>IF(AND(B21&lt;&gt;""),IF($C$9&lt;&gt;0,VLOOKUP(C21/$C$9*100,TRANSMUTATION_TABLE!$A$2:$B$102,2),""),"")</f>
        <v/>
      </c>
      <c r="E21" s="31"/>
      <c r="F21" s="42" t="str">
        <f>IF(AND(B21&lt;&gt;""),IF($E$9&lt;&gt;0,VLOOKUP(E21/$E$9*100,TRANSMUTATION_TABLE!$A$2:$B$102,2),""),"")</f>
        <v/>
      </c>
      <c r="G21" s="31"/>
      <c r="H21" s="42" t="str">
        <f>IF(AND(B21&lt;&gt;""),IF($G$9&lt;&gt;0,VLOOKUP(G21/$G$9*100,TRANSMUTATION_TABLE!$A$2:$B$102,2),""),"")</f>
        <v/>
      </c>
      <c r="I21" s="31"/>
      <c r="J21" s="43" t="str">
        <f>IF(AND(B21&lt;&gt;""),IF($I$9&lt;&gt;0,VLOOKUP(I21/$I$9*100,TRANSMUTATION_TABLE!$A$2:$B$102,2),""),"")</f>
        <v/>
      </c>
      <c r="K21" s="48" t="str">
        <f t="shared" si="0"/>
        <v/>
      </c>
      <c r="L21" s="31"/>
      <c r="M21" s="86" t="str">
        <f>IF(AND(B21&lt;&gt;""),IF($L$9&lt;&gt;0,VLOOKUP(L21/$L$9*100,TRANSMUTATION_TABLE!$A$2:$B$102,2),""),"")</f>
        <v/>
      </c>
      <c r="N21" s="31"/>
      <c r="O21" s="42" t="str">
        <f>IF(AND(B21&lt;&gt;""),IF($N$9&lt;&gt;0,VLOOKUP(N21/$N$9*100,TRANSMUTATION_TABLE!$A$2:$B$102,2),""),"")</f>
        <v/>
      </c>
      <c r="P21" s="31"/>
      <c r="Q21" s="42" t="str">
        <f>IF(AND(B21&lt;&gt;""),IF($P$9&lt;&gt;0,VLOOKUP(P21/$P$9*100,TRANSMUTATION_TABLE!$A$2:$B$102,2),""),"")</f>
        <v/>
      </c>
      <c r="R21" s="31"/>
      <c r="S21" s="43" t="str">
        <f>IF(AND(B21&lt;&gt;""),IF($R$9&lt;&gt;0,VLOOKUP(R21/$R$9*100,TRANSMUTATION_TABLE!$A$2:$B$102,2),""),"")</f>
        <v/>
      </c>
      <c r="T21" s="48" t="str">
        <f t="shared" si="1"/>
        <v/>
      </c>
      <c r="U21" s="31"/>
      <c r="V21" s="42" t="str">
        <f>IF(AND(B21&lt;&gt;""),IF($U$9&lt;&gt;0,VLOOKUP(U21/$U$9*100,TRANSMUTATION_TABLE!$A$2:$B$102,2),""),"")</f>
        <v/>
      </c>
      <c r="W21" s="31"/>
      <c r="X21" s="42" t="str">
        <f>IF(AND(B21&lt;&gt;""),IF($W$9&lt;&gt;0,VLOOKUP(W21/$W$9*100,TRANSMUTATION_TABLE!$A$2:$B$102,2),""),"")</f>
        <v/>
      </c>
      <c r="Y21" s="31"/>
      <c r="Z21" s="42" t="str">
        <f>IF(AND(B21&lt;&gt;""),IF($Y$9&lt;&gt;0,VLOOKUP(Y21/$Y$9*100,TRANSMUTATION_TABLE!$A$2:$B$102,2),""),"")</f>
        <v/>
      </c>
      <c r="AA21" s="31"/>
      <c r="AB21" s="43" t="str">
        <f>IF(AND(B21&lt;&gt;""),IF($AA$9&lt;&gt;0,VLOOKUP(AA21/$AA$9*100,TRANSMUTATION_TABLE!$A$2:$B$102,2),""),"")</f>
        <v/>
      </c>
      <c r="AC21" s="48" t="str">
        <f t="shared" si="2"/>
        <v/>
      </c>
      <c r="AD21" s="31"/>
      <c r="AE21" s="42" t="str">
        <f>IF(AND(B21&lt;&gt;""),IF($AD$9&lt;&gt;0,VLOOKUP(AD21/$AD$9*100,TRANSMUTATION_TABLE!$A$2:$B$102,2),""),"")</f>
        <v/>
      </c>
      <c r="AF21" s="31">
        <f>Attendance!U18</f>
        <v>0</v>
      </c>
      <c r="AG21" s="87" t="str">
        <f>IF(AND(B21&lt;&gt;""),IF($AF$9&lt;&gt;0,VLOOKUP(AF21/$AF$9*100,TRANSMUTATION_TABLE!$A$2:$B$102,2),""),"")</f>
        <v/>
      </c>
      <c r="AH21" s="31"/>
      <c r="AI21" s="45" t="str">
        <f>IF(AND(B21&lt;&gt;""),IF($AH$9&lt;&gt;0,VLOOKUP(AH21/$AH$9*100,TRANSMUTATION_TABLE!$A$2:$B$102,2),""),"")</f>
        <v/>
      </c>
      <c r="AJ21" s="46" t="str">
        <f>IF(OR(K21&lt;&gt;"",T21&lt;&gt;"",AC21&lt;&gt;"",AI21&lt;&gt;"",AG21&lt;&gt;""),SUM(PRODUCT(K21,IF(Settings!$F$9&lt;&gt;0,Settings!$F$9/100,0)),PRODUCT(Prelim!T21,IF(Settings!$F$10&lt;&gt;0,Settings!$F$10/100,0)),PRODUCT(Prelim!AC21,IF(Settings!$F$11&lt;&gt;0,Settings!$F$11/100,0)),PRODUCT(Prelim!AG21,IF(Settings!$F$12&lt;&gt;0,Settings!$F$12/100,0)),PRODUCT(Prelim!AI21,IF(Settings!$F$13&lt;&gt;0,Settings!$F$13/100,0))),"")</f>
        <v/>
      </c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</row>
    <row r="22" spans="1:56" ht="12" customHeight="1" thickBot="1" x14ac:dyDescent="0.35">
      <c r="A22" s="52"/>
      <c r="B22" s="60"/>
      <c r="C22" s="31"/>
      <c r="D22" s="85" t="str">
        <f>IF(AND(B22&lt;&gt;""),IF($C$9&lt;&gt;0,VLOOKUP(C22/$C$9*100,TRANSMUTATION_TABLE!$A$2:$B$102,2),""),"")</f>
        <v/>
      </c>
      <c r="E22" s="31"/>
      <c r="F22" s="42" t="str">
        <f>IF(AND(B22&lt;&gt;""),IF($E$9&lt;&gt;0,VLOOKUP(E22/$E$9*100,TRANSMUTATION_TABLE!$A$2:$B$102,2),""),"")</f>
        <v/>
      </c>
      <c r="G22" s="31"/>
      <c r="H22" s="42" t="str">
        <f>IF(AND(B22&lt;&gt;""),IF($G$9&lt;&gt;0,VLOOKUP(G22/$G$9*100,TRANSMUTATION_TABLE!$A$2:$B$102,2),""),"")</f>
        <v/>
      </c>
      <c r="I22" s="31"/>
      <c r="J22" s="43" t="str">
        <f>IF(AND(B22&lt;&gt;""),IF($I$9&lt;&gt;0,VLOOKUP(I22/$I$9*100,TRANSMUTATION_TABLE!$A$2:$B$102,2),""),"")</f>
        <v/>
      </c>
      <c r="K22" s="48" t="str">
        <f t="shared" si="0"/>
        <v/>
      </c>
      <c r="L22" s="31"/>
      <c r="M22" s="86" t="str">
        <f>IF(AND(B22&lt;&gt;""),IF($L$9&lt;&gt;0,VLOOKUP(L22/$L$9*100,TRANSMUTATION_TABLE!$A$2:$B$102,2),""),"")</f>
        <v/>
      </c>
      <c r="N22" s="31"/>
      <c r="O22" s="42" t="str">
        <f>IF(AND(B22&lt;&gt;""),IF($N$9&lt;&gt;0,VLOOKUP(N22/$N$9*100,TRANSMUTATION_TABLE!$A$2:$B$102,2),""),"")</f>
        <v/>
      </c>
      <c r="P22" s="31"/>
      <c r="Q22" s="42" t="str">
        <f>IF(AND(B22&lt;&gt;""),IF($P$9&lt;&gt;0,VLOOKUP(P22/$P$9*100,TRANSMUTATION_TABLE!$A$2:$B$102,2),""),"")</f>
        <v/>
      </c>
      <c r="R22" s="31"/>
      <c r="S22" s="43" t="str">
        <f>IF(AND(B22&lt;&gt;""),IF($R$9&lt;&gt;0,VLOOKUP(R22/$R$9*100,TRANSMUTATION_TABLE!$A$2:$B$102,2),""),"")</f>
        <v/>
      </c>
      <c r="T22" s="48" t="str">
        <f t="shared" si="1"/>
        <v/>
      </c>
      <c r="U22" s="31"/>
      <c r="V22" s="42" t="str">
        <f>IF(AND(B22&lt;&gt;""),IF($U$9&lt;&gt;0,VLOOKUP(U22/$U$9*100,TRANSMUTATION_TABLE!$A$2:$B$102,2),""),"")</f>
        <v/>
      </c>
      <c r="W22" s="31"/>
      <c r="X22" s="42" t="str">
        <f>IF(AND(B22&lt;&gt;""),IF($W$9&lt;&gt;0,VLOOKUP(W22/$W$9*100,TRANSMUTATION_TABLE!$A$2:$B$102,2),""),"")</f>
        <v/>
      </c>
      <c r="Y22" s="31"/>
      <c r="Z22" s="42" t="str">
        <f>IF(AND(B22&lt;&gt;""),IF($Y$9&lt;&gt;0,VLOOKUP(Y22/$Y$9*100,TRANSMUTATION_TABLE!$A$2:$B$102,2),""),"")</f>
        <v/>
      </c>
      <c r="AA22" s="31"/>
      <c r="AB22" s="43" t="str">
        <f>IF(AND(B22&lt;&gt;""),IF($AA$9&lt;&gt;0,VLOOKUP(AA22/$AA$9*100,TRANSMUTATION_TABLE!$A$2:$B$102,2),""),"")</f>
        <v/>
      </c>
      <c r="AC22" s="48" t="str">
        <f t="shared" si="2"/>
        <v/>
      </c>
      <c r="AD22" s="31"/>
      <c r="AE22" s="42" t="str">
        <f>IF(AND(B22&lt;&gt;""),IF($AD$9&lt;&gt;0,VLOOKUP(AD22/$AD$9*100,TRANSMUTATION_TABLE!$A$2:$B$102,2),""),"")</f>
        <v/>
      </c>
      <c r="AF22" s="31">
        <f>Attendance!U19</f>
        <v>0</v>
      </c>
      <c r="AG22" s="87" t="str">
        <f>IF(AND(B22&lt;&gt;""),IF($AF$9&lt;&gt;0,VLOOKUP(AF22/$AF$9*100,TRANSMUTATION_TABLE!$A$2:$B$102,2),""),"")</f>
        <v/>
      </c>
      <c r="AH22" s="31"/>
      <c r="AI22" s="45" t="str">
        <f>IF(AND(B22&lt;&gt;""),IF($AH$9&lt;&gt;0,VLOOKUP(AH22/$AH$9*100,TRANSMUTATION_TABLE!$A$2:$B$102,2),""),"")</f>
        <v/>
      </c>
      <c r="AJ22" s="46" t="str">
        <f>IF(OR(K22&lt;&gt;"",T22&lt;&gt;"",AC22&lt;&gt;"",AI22&lt;&gt;"",AG22&lt;&gt;""),SUM(PRODUCT(K22,IF(Settings!$F$9&lt;&gt;0,Settings!$F$9/100,0)),PRODUCT(Prelim!T22,IF(Settings!$F$10&lt;&gt;0,Settings!$F$10/100,0)),PRODUCT(Prelim!AC22,IF(Settings!$F$11&lt;&gt;0,Settings!$F$11/100,0)),PRODUCT(Prelim!AG22,IF(Settings!$F$12&lt;&gt;0,Settings!$F$12/100,0)),PRODUCT(Prelim!AI22,IF(Settings!$F$13&lt;&gt;0,Settings!$F$13/100,0))),"")</f>
        <v/>
      </c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</row>
    <row r="23" spans="1:56" ht="12" customHeight="1" thickBot="1" x14ac:dyDescent="0.35">
      <c r="A23" s="52"/>
      <c r="B23" s="60"/>
      <c r="C23" s="31"/>
      <c r="D23" s="85" t="str">
        <f>IF(AND(B23&lt;&gt;""),IF($C$9&lt;&gt;0,VLOOKUP(C23/$C$9*100,TRANSMUTATION_TABLE!$A$2:$B$102,2),""),"")</f>
        <v/>
      </c>
      <c r="E23" s="31"/>
      <c r="F23" s="42" t="str">
        <f>IF(AND(B23&lt;&gt;""),IF($E$9&lt;&gt;0,VLOOKUP(E23/$E$9*100,TRANSMUTATION_TABLE!$A$2:$B$102,2),""),"")</f>
        <v/>
      </c>
      <c r="G23" s="31"/>
      <c r="H23" s="42" t="str">
        <f>IF(AND(B23&lt;&gt;""),IF($G$9&lt;&gt;0,VLOOKUP(G23/$G$9*100,TRANSMUTATION_TABLE!$A$2:$B$102,2),""),"")</f>
        <v/>
      </c>
      <c r="I23" s="31"/>
      <c r="J23" s="43" t="str">
        <f>IF(AND(B23&lt;&gt;""),IF($I$9&lt;&gt;0,VLOOKUP(I23/$I$9*100,TRANSMUTATION_TABLE!$A$2:$B$102,2),""),"")</f>
        <v/>
      </c>
      <c r="K23" s="48" t="str">
        <f t="shared" si="0"/>
        <v/>
      </c>
      <c r="L23" s="31"/>
      <c r="M23" s="86" t="str">
        <f>IF(AND(B23&lt;&gt;""),IF($L$9&lt;&gt;0,VLOOKUP(L23/$L$9*100,TRANSMUTATION_TABLE!$A$2:$B$102,2),""),"")</f>
        <v/>
      </c>
      <c r="N23" s="31"/>
      <c r="O23" s="42" t="str">
        <f>IF(AND(B23&lt;&gt;""),IF($N$9&lt;&gt;0,VLOOKUP(N23/$N$9*100,TRANSMUTATION_TABLE!$A$2:$B$102,2),""),"")</f>
        <v/>
      </c>
      <c r="P23" s="31"/>
      <c r="Q23" s="42" t="str">
        <f>IF(AND(B23&lt;&gt;""),IF($P$9&lt;&gt;0,VLOOKUP(P23/$P$9*100,TRANSMUTATION_TABLE!$A$2:$B$102,2),""),"")</f>
        <v/>
      </c>
      <c r="R23" s="31"/>
      <c r="S23" s="43" t="str">
        <f>IF(AND(B23&lt;&gt;""),IF($R$9&lt;&gt;0,VLOOKUP(R23/$R$9*100,TRANSMUTATION_TABLE!$A$2:$B$102,2),""),"")</f>
        <v/>
      </c>
      <c r="T23" s="48" t="str">
        <f t="shared" si="1"/>
        <v/>
      </c>
      <c r="U23" s="31"/>
      <c r="V23" s="42" t="str">
        <f>IF(AND(B23&lt;&gt;""),IF($U$9&lt;&gt;0,VLOOKUP(U23/$U$9*100,TRANSMUTATION_TABLE!$A$2:$B$102,2),""),"")</f>
        <v/>
      </c>
      <c r="W23" s="31"/>
      <c r="X23" s="42" t="str">
        <f>IF(AND(B23&lt;&gt;""),IF($W$9&lt;&gt;0,VLOOKUP(W23/$W$9*100,TRANSMUTATION_TABLE!$A$2:$B$102,2),""),"")</f>
        <v/>
      </c>
      <c r="Y23" s="31"/>
      <c r="Z23" s="42" t="str">
        <f>IF(AND(B23&lt;&gt;""),IF($Y$9&lt;&gt;0,VLOOKUP(Y23/$Y$9*100,TRANSMUTATION_TABLE!$A$2:$B$102,2),""),"")</f>
        <v/>
      </c>
      <c r="AA23" s="31"/>
      <c r="AB23" s="43" t="str">
        <f>IF(AND(B23&lt;&gt;""),IF($AA$9&lt;&gt;0,VLOOKUP(AA23/$AA$9*100,TRANSMUTATION_TABLE!$A$2:$B$102,2),""),"")</f>
        <v/>
      </c>
      <c r="AC23" s="48" t="str">
        <f t="shared" si="2"/>
        <v/>
      </c>
      <c r="AD23" s="31"/>
      <c r="AE23" s="42" t="str">
        <f>IF(AND(B23&lt;&gt;""),IF($AD$9&lt;&gt;0,VLOOKUP(AD23/$AD$9*100,TRANSMUTATION_TABLE!$A$2:$B$102,2),""),"")</f>
        <v/>
      </c>
      <c r="AF23" s="31">
        <f>Attendance!U20</f>
        <v>0</v>
      </c>
      <c r="AG23" s="87" t="str">
        <f>IF(AND(B23&lt;&gt;""),IF($AF$9&lt;&gt;0,VLOOKUP(AF23/$AF$9*100,TRANSMUTATION_TABLE!$A$2:$B$102,2),""),"")</f>
        <v/>
      </c>
      <c r="AH23" s="31"/>
      <c r="AI23" s="45" t="str">
        <f>IF(AND(B23&lt;&gt;""),IF($AH$9&lt;&gt;0,VLOOKUP(AH23/$AH$9*100,TRANSMUTATION_TABLE!$A$2:$B$102,2),""),"")</f>
        <v/>
      </c>
      <c r="AJ23" s="46" t="str">
        <f>IF(OR(K23&lt;&gt;"",T23&lt;&gt;"",AC23&lt;&gt;"",AI23&lt;&gt;"",AG23&lt;&gt;""),SUM(PRODUCT(K23,IF(Settings!$F$9&lt;&gt;0,Settings!$F$9/100,0)),PRODUCT(Prelim!T23,IF(Settings!$F$10&lt;&gt;0,Settings!$F$10/100,0)),PRODUCT(Prelim!AC23,IF(Settings!$F$11&lt;&gt;0,Settings!$F$11/100,0)),PRODUCT(Prelim!AG23,IF(Settings!$F$12&lt;&gt;0,Settings!$F$12/100,0)),PRODUCT(Prelim!AI23,IF(Settings!$F$13&lt;&gt;0,Settings!$F$13/100,0))),"")</f>
        <v/>
      </c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</row>
    <row r="24" spans="1:56" ht="12" customHeight="1" thickBot="1" x14ac:dyDescent="0.35">
      <c r="A24" s="54"/>
      <c r="B24" s="60"/>
      <c r="C24" s="214"/>
      <c r="D24" s="85" t="str">
        <f>IF(AND(B24&lt;&gt;""),IF($C$9&lt;&gt;0,VLOOKUP(C24/$C$9*100,TRANSMUTATION_TABLE!$A$2:$B$102,2),""),"")</f>
        <v/>
      </c>
      <c r="E24" s="214"/>
      <c r="F24" s="42" t="str">
        <f>IF(AND(B24&lt;&gt;""),IF($E$9&lt;&gt;0,VLOOKUP(E24/$E$9*100,TRANSMUTATION_TABLE!$A$2:$B$102,2),""),"")</f>
        <v/>
      </c>
      <c r="G24" s="214"/>
      <c r="H24" s="42" t="str">
        <f>IF(AND(B24&lt;&gt;""),IF($G$9&lt;&gt;0,VLOOKUP(G24/$G$9*100,TRANSMUTATION_TABLE!$A$2:$B$102,2),""),"")</f>
        <v/>
      </c>
      <c r="I24" s="214"/>
      <c r="J24" s="43" t="str">
        <f>IF(AND(B24&lt;&gt;""),IF($I$9&lt;&gt;0,VLOOKUP(I24/$I$9*100,TRANSMUTATION_TABLE!$A$2:$B$102,2),""),"")</f>
        <v/>
      </c>
      <c r="K24" s="48" t="str">
        <f t="shared" si="0"/>
        <v/>
      </c>
      <c r="L24" s="214"/>
      <c r="M24" s="86" t="str">
        <f>IF(AND(B24&lt;&gt;""),IF($L$9&lt;&gt;0,VLOOKUP(L24/$L$9*100,TRANSMUTATION_TABLE!$A$2:$B$102,2),""),"")</f>
        <v/>
      </c>
      <c r="N24" s="214"/>
      <c r="O24" s="42" t="str">
        <f>IF(AND(B24&lt;&gt;""),IF($N$9&lt;&gt;0,VLOOKUP(N24/$N$9*100,TRANSMUTATION_TABLE!$A$2:$B$102,2),""),"")</f>
        <v/>
      </c>
      <c r="P24" s="214"/>
      <c r="Q24" s="42" t="str">
        <f>IF(AND(B24&lt;&gt;""),IF($P$9&lt;&gt;0,VLOOKUP(P24/$P$9*100,TRANSMUTATION_TABLE!$A$2:$B$102,2),""),"")</f>
        <v/>
      </c>
      <c r="R24" s="214"/>
      <c r="S24" s="43" t="str">
        <f>IF(AND(B24&lt;&gt;""),IF($R$9&lt;&gt;0,VLOOKUP(R24/$R$9*100,TRANSMUTATION_TABLE!$A$2:$B$102,2),""),"")</f>
        <v/>
      </c>
      <c r="T24" s="48" t="str">
        <f t="shared" si="1"/>
        <v/>
      </c>
      <c r="U24" s="214"/>
      <c r="V24" s="42" t="str">
        <f>IF(AND(B24&lt;&gt;""),IF($U$9&lt;&gt;0,VLOOKUP(U24/$U$9*100,TRANSMUTATION_TABLE!$A$2:$B$102,2),""),"")</f>
        <v/>
      </c>
      <c r="W24" s="214"/>
      <c r="X24" s="42" t="str">
        <f>IF(AND(B24&lt;&gt;""),IF($W$9&lt;&gt;0,VLOOKUP(W24/$W$9*100,TRANSMUTATION_TABLE!$A$2:$B$102,2),""),"")</f>
        <v/>
      </c>
      <c r="Y24" s="214"/>
      <c r="Z24" s="42" t="str">
        <f>IF(AND(B24&lt;&gt;""),IF($Y$9&lt;&gt;0,VLOOKUP(Y24/$Y$9*100,TRANSMUTATION_TABLE!$A$2:$B$102,2),""),"")</f>
        <v/>
      </c>
      <c r="AA24" s="214"/>
      <c r="AB24" s="43" t="str">
        <f>IF(AND(B24&lt;&gt;""),IF($AA$9&lt;&gt;0,VLOOKUP(AA24/$AA$9*100,TRANSMUTATION_TABLE!$A$2:$B$102,2),""),"")</f>
        <v/>
      </c>
      <c r="AC24" s="48" t="str">
        <f t="shared" si="2"/>
        <v/>
      </c>
      <c r="AD24" s="214"/>
      <c r="AE24" s="42" t="str">
        <f>IF(AND(B24&lt;&gt;""),IF($AD$9&lt;&gt;0,VLOOKUP(AD24/$AD$9*100,TRANSMUTATION_TABLE!$A$2:$B$102,2),""),"")</f>
        <v/>
      </c>
      <c r="AF24" s="214">
        <f>Attendance!U21</f>
        <v>0</v>
      </c>
      <c r="AG24" s="87" t="str">
        <f>IF(AND(B24&lt;&gt;""),IF($AF$9&lt;&gt;0,VLOOKUP(AF24/$AF$9*100,TRANSMUTATION_TABLE!$A$2:$B$102,2),""),"")</f>
        <v/>
      </c>
      <c r="AH24" s="214"/>
      <c r="AI24" s="45" t="str">
        <f>IF(AND(B24&lt;&gt;""),IF($AH$9&lt;&gt;0,VLOOKUP(AH24/$AH$9*100,TRANSMUTATION_TABLE!$A$2:$B$102,2),""),"")</f>
        <v/>
      </c>
      <c r="AJ24" s="46" t="str">
        <f>IF(OR(K24&lt;&gt;"",T24&lt;&gt;"",AC24&lt;&gt;"",AI24&lt;&gt;"",AG24&lt;&gt;""),SUM(PRODUCT(K24,IF(Settings!$F$9&lt;&gt;0,Settings!$F$9/100,0)),PRODUCT(Prelim!T24,IF(Settings!$F$10&lt;&gt;0,Settings!$F$10/100,0)),PRODUCT(Prelim!AC24,IF(Settings!$F$11&lt;&gt;0,Settings!$F$11/100,0)),PRODUCT(Prelim!AG24,IF(Settings!$F$12&lt;&gt;0,Settings!$F$12/100,0)),PRODUCT(Prelim!AI24,IF(Settings!$F$13&lt;&gt;0,Settings!$F$13/100,0))),"")</f>
        <v/>
      </c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</row>
    <row r="25" spans="1:56" ht="12" customHeight="1" thickBot="1" x14ac:dyDescent="0.35">
      <c r="A25" s="47"/>
      <c r="B25" s="60"/>
      <c r="C25" s="31"/>
      <c r="D25" s="85" t="str">
        <f>IF(AND(B25&lt;&gt;""),IF($C$9&lt;&gt;0,VLOOKUP(C25/$C$9*100,TRANSMUTATION_TABLE!$A$2:$B$102,2),""),"")</f>
        <v/>
      </c>
      <c r="E25" s="31"/>
      <c r="F25" s="42" t="str">
        <f>IF(AND(B25&lt;&gt;""),IF($E$9&lt;&gt;0,VLOOKUP(E25/$E$9*100,TRANSMUTATION_TABLE!$A$2:$B$102,2),""),"")</f>
        <v/>
      </c>
      <c r="G25" s="31"/>
      <c r="H25" s="42" t="str">
        <f>IF(AND(B25&lt;&gt;""),IF($G$9&lt;&gt;0,VLOOKUP(G25/$G$9*100,TRANSMUTATION_TABLE!$A$2:$B$102,2),""),"")</f>
        <v/>
      </c>
      <c r="I25" s="31"/>
      <c r="J25" s="43" t="str">
        <f>IF(AND(B25&lt;&gt;""),IF($I$9&lt;&gt;0,VLOOKUP(I25/$I$9*100,TRANSMUTATION_TABLE!$A$2:$B$102,2),""),"")</f>
        <v/>
      </c>
      <c r="K25" s="48" t="str">
        <f t="shared" si="0"/>
        <v/>
      </c>
      <c r="L25" s="31"/>
      <c r="M25" s="88" t="str">
        <f>IF(AND(B25&lt;&gt;""),IF($L$9&lt;&gt;0,VLOOKUP(L25/$L$9*100,TRANSMUTATION_TABLE!$A$2:$B$102,2),""),"")</f>
        <v/>
      </c>
      <c r="N25" s="31"/>
      <c r="O25" s="57" t="str">
        <f>IF(AND(B25&lt;&gt;""),IF($N$9&lt;&gt;0,VLOOKUP(N25/$N$9*100,TRANSMUTATION_TABLE!$A$2:$B$102,2),""),"")</f>
        <v/>
      </c>
      <c r="P25" s="31"/>
      <c r="Q25" s="57" t="str">
        <f>IF(AND(B25&lt;&gt;""),IF($P$9&lt;&gt;0,VLOOKUP(P25/$P$9*100,TRANSMUTATION_TABLE!$A$2:$B$102,2),""),"")</f>
        <v/>
      </c>
      <c r="R25" s="31"/>
      <c r="S25" s="89" t="str">
        <f>IF(AND(B25&lt;&gt;""),IF($R$9&lt;&gt;0,VLOOKUP(R25/$R$9*100,TRANSMUTATION_TABLE!$A$2:$B$102,2),""),"")</f>
        <v/>
      </c>
      <c r="T25" s="48" t="str">
        <f t="shared" si="1"/>
        <v/>
      </c>
      <c r="U25" s="31"/>
      <c r="V25" s="57" t="str">
        <f>IF(AND(B25&lt;&gt;""),IF($U$9&lt;&gt;0,VLOOKUP(U25/$U$9*100,TRANSMUTATION_TABLE!$A$2:$B$102,2),""),"")</f>
        <v/>
      </c>
      <c r="W25" s="31"/>
      <c r="X25" s="57" t="str">
        <f>IF(AND(B25&lt;&gt;""),IF($W$9&lt;&gt;0,VLOOKUP(W25/$W$9*100,TRANSMUTATION_TABLE!$A$2:$B$102,2),""),"")</f>
        <v/>
      </c>
      <c r="Y25" s="31"/>
      <c r="Z25" s="57" t="str">
        <f>IF(AND(B25&lt;&gt;""),IF($Y$9&lt;&gt;0,VLOOKUP(Y25/$Y$9*100,TRANSMUTATION_TABLE!$A$2:$B$102,2),""),"")</f>
        <v/>
      </c>
      <c r="AA25" s="31"/>
      <c r="AB25" s="89" t="str">
        <f>IF(AND(B25&lt;&gt;""),IF($AA$9&lt;&gt;0,VLOOKUP(AA25/$AA$9*100,TRANSMUTATION_TABLE!$A$2:$B$102,2),""),"")</f>
        <v/>
      </c>
      <c r="AC25" s="48" t="str">
        <f t="shared" si="2"/>
        <v/>
      </c>
      <c r="AD25" s="31"/>
      <c r="AE25" s="57" t="str">
        <f>IF(AND(B25&lt;&gt;""),IF($AD$9&lt;&gt;0,VLOOKUP(AD25/$AD$9*100,TRANSMUTATION_TABLE!$A$2:$B$102,2),""),"")</f>
        <v/>
      </c>
      <c r="AF25" s="31">
        <f>Attendance!U22</f>
        <v>0</v>
      </c>
      <c r="AG25" s="87" t="str">
        <f>IF(AND(B25&lt;&gt;""),IF($AF$9&lt;&gt;0,VLOOKUP(AF25/$AF$9*100,TRANSMUTATION_TABLE!$A$2:$B$102,2),""),"")</f>
        <v/>
      </c>
      <c r="AH25" s="31"/>
      <c r="AI25" s="45" t="str">
        <f>IF(AND(B25&lt;&gt;""),IF($AH$9&lt;&gt;0,VLOOKUP(AH25/$AH$9*100,TRANSMUTATION_TABLE!$A$2:$B$102,2),""),"")</f>
        <v/>
      </c>
      <c r="AJ25" s="46" t="str">
        <f>IF(OR(K25&lt;&gt;"",T25&lt;&gt;"",AC25&lt;&gt;"",AI25&lt;&gt;"",AG25&lt;&gt;""),SUM(PRODUCT(K25,IF(Settings!$F$9&lt;&gt;0,Settings!$F$9/100,0)),PRODUCT(Prelim!T25,IF(Settings!$F$10&lt;&gt;0,Settings!$F$10/100,0)),PRODUCT(Prelim!AC25,IF(Settings!$F$11&lt;&gt;0,Settings!$F$11/100,0)),PRODUCT(Prelim!AG25,IF(Settings!$F$12&lt;&gt;0,Settings!$F$12/100,0)),PRODUCT(Prelim!AI25,IF(Settings!$F$13&lt;&gt;0,Settings!$F$13/100,0))),"")</f>
        <v/>
      </c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</row>
    <row r="26" spans="1:56" ht="12" customHeight="1" thickBot="1" x14ac:dyDescent="0.35">
      <c r="A26" s="52"/>
      <c r="B26" s="60"/>
      <c r="C26" s="31"/>
      <c r="D26" s="85" t="str">
        <f>IF(AND(B26&lt;&gt;""),IF($C$9&lt;&gt;0,VLOOKUP(C26/$C$9*100,TRANSMUTATION_TABLE!$A$2:$B$102,2),""),"")</f>
        <v/>
      </c>
      <c r="E26" s="31"/>
      <c r="F26" s="42" t="str">
        <f>IF(AND(B26&lt;&gt;""),IF($E$9&lt;&gt;0,VLOOKUP(E26/$E$9*100,TRANSMUTATION_TABLE!$A$2:$B$102,2),""),"")</f>
        <v/>
      </c>
      <c r="G26" s="31"/>
      <c r="H26" s="42" t="str">
        <f>IF(AND(B26&lt;&gt;""),IF($G$9&lt;&gt;0,VLOOKUP(G26/$G$9*100,TRANSMUTATION_TABLE!$A$2:$B$102,2),""),"")</f>
        <v/>
      </c>
      <c r="I26" s="31"/>
      <c r="J26" s="43" t="str">
        <f>IF(AND(B26&lt;&gt;""),IF($I$9&lt;&gt;0,VLOOKUP(I26/$I$9*100,TRANSMUTATION_TABLE!$A$2:$B$102,2),""),"")</f>
        <v/>
      </c>
      <c r="K26" s="48" t="str">
        <f t="shared" si="0"/>
        <v/>
      </c>
      <c r="L26" s="31"/>
      <c r="M26" s="86" t="str">
        <f>IF(AND(B26&lt;&gt;""),IF($L$9&lt;&gt;0,VLOOKUP(L26/$L$9*100,TRANSMUTATION_TABLE!$A$2:$B$102,2),""),"")</f>
        <v/>
      </c>
      <c r="N26" s="31"/>
      <c r="O26" s="42" t="str">
        <f>IF(AND(B26&lt;&gt;""),IF($N$9&lt;&gt;0,VLOOKUP(N26/$N$9*100,TRANSMUTATION_TABLE!$A$2:$B$102,2),""),"")</f>
        <v/>
      </c>
      <c r="P26" s="31"/>
      <c r="Q26" s="42" t="str">
        <f>IF(AND(B26&lt;&gt;""),IF($P$9&lt;&gt;0,VLOOKUP(P26/$P$9*100,TRANSMUTATION_TABLE!$A$2:$B$102,2),""),"")</f>
        <v/>
      </c>
      <c r="R26" s="31"/>
      <c r="S26" s="43" t="str">
        <f>IF(AND(B26&lt;&gt;""),IF($R$9&lt;&gt;0,VLOOKUP(R26/$R$9*100,TRANSMUTATION_TABLE!$A$2:$B$102,2),""),"")</f>
        <v/>
      </c>
      <c r="T26" s="48" t="str">
        <f t="shared" si="1"/>
        <v/>
      </c>
      <c r="U26" s="31"/>
      <c r="V26" s="42" t="str">
        <f>IF(AND(B26&lt;&gt;""),IF($U$9&lt;&gt;0,VLOOKUP(U26/$U$9*100,TRANSMUTATION_TABLE!$A$2:$B$102,2),""),"")</f>
        <v/>
      </c>
      <c r="W26" s="31"/>
      <c r="X26" s="42" t="str">
        <f>IF(AND(B26&lt;&gt;""),IF($W$9&lt;&gt;0,VLOOKUP(W26/$W$9*100,TRANSMUTATION_TABLE!$A$2:$B$102,2),""),"")</f>
        <v/>
      </c>
      <c r="Y26" s="31"/>
      <c r="Z26" s="42" t="str">
        <f>IF(AND(B26&lt;&gt;""),IF($Y$9&lt;&gt;0,VLOOKUP(Y26/$Y$9*100,TRANSMUTATION_TABLE!$A$2:$B$102,2),""),"")</f>
        <v/>
      </c>
      <c r="AA26" s="31"/>
      <c r="AB26" s="43" t="str">
        <f>IF(AND(B26&lt;&gt;""),IF($AA$9&lt;&gt;0,VLOOKUP(AA26/$AA$9*100,TRANSMUTATION_TABLE!$A$2:$B$102,2),""),"")</f>
        <v/>
      </c>
      <c r="AC26" s="48" t="str">
        <f t="shared" si="2"/>
        <v/>
      </c>
      <c r="AD26" s="31"/>
      <c r="AE26" s="42" t="str">
        <f>IF(AND(B26&lt;&gt;""),IF($AD$9&lt;&gt;0,VLOOKUP(AD26/$AD$9*100,TRANSMUTATION_TABLE!$A$2:$B$102,2),""),"")</f>
        <v/>
      </c>
      <c r="AF26" s="31">
        <f>Attendance!U23</f>
        <v>0</v>
      </c>
      <c r="AG26" s="87" t="str">
        <f>IF(AND(B26&lt;&gt;""),IF($AF$9&lt;&gt;0,VLOOKUP(AF26/$AF$9*100,TRANSMUTATION_TABLE!$A$2:$B$102,2),""),"")</f>
        <v/>
      </c>
      <c r="AH26" s="31"/>
      <c r="AI26" s="45" t="str">
        <f>IF(AND(B26&lt;&gt;""),IF($AH$9&lt;&gt;0,VLOOKUP(AH26/$AH$9*100,TRANSMUTATION_TABLE!$A$2:$B$102,2),""),"")</f>
        <v/>
      </c>
      <c r="AJ26" s="46" t="str">
        <f>IF(OR(K26&lt;&gt;"",T26&lt;&gt;"",AC26&lt;&gt;"",AI26&lt;&gt;"",AG26&lt;&gt;""),SUM(PRODUCT(K26,IF(Settings!$F$9&lt;&gt;0,Settings!$F$9/100,0)),PRODUCT(Prelim!T26,IF(Settings!$F$10&lt;&gt;0,Settings!$F$10/100,0)),PRODUCT(Prelim!AC26,IF(Settings!$F$11&lt;&gt;0,Settings!$F$11/100,0)),PRODUCT(Prelim!AG26,IF(Settings!$F$12&lt;&gt;0,Settings!$F$12/100,0)),PRODUCT(Prelim!AI26,IF(Settings!$F$13&lt;&gt;0,Settings!$F$13/100,0))),"")</f>
        <v/>
      </c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</row>
    <row r="27" spans="1:56" ht="12" customHeight="1" thickBot="1" x14ac:dyDescent="0.35">
      <c r="A27" s="52"/>
      <c r="B27" s="60"/>
      <c r="C27" s="31"/>
      <c r="D27" s="85" t="str">
        <f>IF(AND(B27&lt;&gt;""),IF($C$9&lt;&gt;0,VLOOKUP(C27/$C$9*100,TRANSMUTATION_TABLE!$A$2:$B$102,2),""),"")</f>
        <v/>
      </c>
      <c r="E27" s="31"/>
      <c r="F27" s="42" t="str">
        <f>IF(AND(B27&lt;&gt;""),IF($E$9&lt;&gt;0,VLOOKUP(E27/$E$9*100,TRANSMUTATION_TABLE!$A$2:$B$102,2),""),"")</f>
        <v/>
      </c>
      <c r="G27" s="31"/>
      <c r="H27" s="42" t="str">
        <f>IF(AND(B27&lt;&gt;""),IF($G$9&lt;&gt;0,VLOOKUP(G27/$G$9*100,TRANSMUTATION_TABLE!$A$2:$B$102,2),""),"")</f>
        <v/>
      </c>
      <c r="I27" s="31"/>
      <c r="J27" s="43" t="str">
        <f>IF(AND(B27&lt;&gt;""),IF($I$9&lt;&gt;0,VLOOKUP(I27/$I$9*100,TRANSMUTATION_TABLE!$A$2:$B$102,2),""),"")</f>
        <v/>
      </c>
      <c r="K27" s="48" t="str">
        <f t="shared" si="0"/>
        <v/>
      </c>
      <c r="L27" s="31"/>
      <c r="M27" s="86" t="str">
        <f>IF(AND(B27&lt;&gt;""),IF($L$9&lt;&gt;0,VLOOKUP(L27/$L$9*100,TRANSMUTATION_TABLE!$A$2:$B$102,2),""),"")</f>
        <v/>
      </c>
      <c r="N27" s="31"/>
      <c r="O27" s="42" t="str">
        <f>IF(AND(B27&lt;&gt;""),IF($N$9&lt;&gt;0,VLOOKUP(N27/$N$9*100,TRANSMUTATION_TABLE!$A$2:$B$102,2),""),"")</f>
        <v/>
      </c>
      <c r="P27" s="31"/>
      <c r="Q27" s="42" t="str">
        <f>IF(AND(B27&lt;&gt;""),IF($P$9&lt;&gt;0,VLOOKUP(P27/$P$9*100,TRANSMUTATION_TABLE!$A$2:$B$102,2),""),"")</f>
        <v/>
      </c>
      <c r="R27" s="31"/>
      <c r="S27" s="43" t="str">
        <f>IF(AND(B27&lt;&gt;""),IF($R$9&lt;&gt;0,VLOOKUP(R27/$R$9*100,TRANSMUTATION_TABLE!$A$2:$B$102,2),""),"")</f>
        <v/>
      </c>
      <c r="T27" s="48" t="str">
        <f t="shared" si="1"/>
        <v/>
      </c>
      <c r="U27" s="31"/>
      <c r="V27" s="42" t="str">
        <f>IF(AND(B27&lt;&gt;""),IF($U$9&lt;&gt;0,VLOOKUP(U27/$U$9*100,TRANSMUTATION_TABLE!$A$2:$B$102,2),""),"")</f>
        <v/>
      </c>
      <c r="W27" s="31"/>
      <c r="X27" s="42" t="str">
        <f>IF(AND(B27&lt;&gt;""),IF($W$9&lt;&gt;0,VLOOKUP(W27/$W$9*100,TRANSMUTATION_TABLE!$A$2:$B$102,2),""),"")</f>
        <v/>
      </c>
      <c r="Y27" s="31"/>
      <c r="Z27" s="42" t="str">
        <f>IF(AND(B27&lt;&gt;""),IF($Y$9&lt;&gt;0,VLOOKUP(Y27/$Y$9*100,TRANSMUTATION_TABLE!$A$2:$B$102,2),""),"")</f>
        <v/>
      </c>
      <c r="AA27" s="31"/>
      <c r="AB27" s="43" t="str">
        <f>IF(AND(B27&lt;&gt;""),IF($AA$9&lt;&gt;0,VLOOKUP(AA27/$AA$9*100,TRANSMUTATION_TABLE!$A$2:$B$102,2),""),"")</f>
        <v/>
      </c>
      <c r="AC27" s="48" t="str">
        <f t="shared" si="2"/>
        <v/>
      </c>
      <c r="AD27" s="31"/>
      <c r="AE27" s="42" t="str">
        <f>IF(AND(B27&lt;&gt;""),IF($AD$9&lt;&gt;0,VLOOKUP(AD27/$AD$9*100,TRANSMUTATION_TABLE!$A$2:$B$102,2),""),"")</f>
        <v/>
      </c>
      <c r="AF27" s="31">
        <f>Attendance!U24</f>
        <v>0</v>
      </c>
      <c r="AG27" s="87" t="str">
        <f>IF(AND(B27&lt;&gt;""),IF($AF$9&lt;&gt;0,VLOOKUP(AF27/$AF$9*100,TRANSMUTATION_TABLE!$A$2:$B$102,2),""),"")</f>
        <v/>
      </c>
      <c r="AH27" s="31"/>
      <c r="AI27" s="45" t="str">
        <f>IF(AND(B27&lt;&gt;""),IF($AH$9&lt;&gt;0,VLOOKUP(AH27/$AH$9*100,TRANSMUTATION_TABLE!$A$2:$B$102,2),""),"")</f>
        <v/>
      </c>
      <c r="AJ27" s="46" t="str">
        <f>IF(OR(K27&lt;&gt;"",T27&lt;&gt;"",AC27&lt;&gt;"",AI27&lt;&gt;"",AG27&lt;&gt;""),SUM(PRODUCT(K27,IF(Settings!$F$9&lt;&gt;0,Settings!$F$9/100,0)),PRODUCT(Prelim!T27,IF(Settings!$F$10&lt;&gt;0,Settings!$F$10/100,0)),PRODUCT(Prelim!AC27,IF(Settings!$F$11&lt;&gt;0,Settings!$F$11/100,0)),PRODUCT(Prelim!AG27,IF(Settings!$F$12&lt;&gt;0,Settings!$F$12/100,0)),PRODUCT(Prelim!AI27,IF(Settings!$F$13&lt;&gt;0,Settings!$F$13/100,0))),"")</f>
        <v/>
      </c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</row>
    <row r="28" spans="1:56" ht="12" customHeight="1" thickBot="1" x14ac:dyDescent="0.35">
      <c r="A28" s="52"/>
      <c r="B28" s="60"/>
      <c r="C28" s="31"/>
      <c r="D28" s="85" t="str">
        <f>IF(AND(B28&lt;&gt;""),IF($C$9&lt;&gt;0,VLOOKUP(C28/$C$9*100,TRANSMUTATION_TABLE!$A$2:$B$102,2),""),"")</f>
        <v/>
      </c>
      <c r="E28" s="31"/>
      <c r="F28" s="42" t="str">
        <f>IF(AND(B28&lt;&gt;""),IF($E$9&lt;&gt;0,VLOOKUP(E28/$E$9*100,TRANSMUTATION_TABLE!$A$2:$B$102,2),""),"")</f>
        <v/>
      </c>
      <c r="G28" s="31"/>
      <c r="H28" s="42" t="str">
        <f>IF(AND(B28&lt;&gt;""),IF($G$9&lt;&gt;0,VLOOKUP(G28/$G$9*100,TRANSMUTATION_TABLE!$A$2:$B$102,2),""),"")</f>
        <v/>
      </c>
      <c r="I28" s="31"/>
      <c r="J28" s="43" t="str">
        <f>IF(AND(B28&lt;&gt;""),IF($I$9&lt;&gt;0,VLOOKUP(I28/$I$9*100,TRANSMUTATION_TABLE!$A$2:$B$102,2),""),"")</f>
        <v/>
      </c>
      <c r="K28" s="48" t="str">
        <f t="shared" si="0"/>
        <v/>
      </c>
      <c r="L28" s="31"/>
      <c r="M28" s="86" t="str">
        <f>IF(AND(B28&lt;&gt;""),IF($L$9&lt;&gt;0,VLOOKUP(L28/$L$9*100,TRANSMUTATION_TABLE!$A$2:$B$102,2),""),"")</f>
        <v/>
      </c>
      <c r="N28" s="31"/>
      <c r="O28" s="42" t="str">
        <f>IF(AND(B28&lt;&gt;""),IF($N$9&lt;&gt;0,VLOOKUP(N28/$N$9*100,TRANSMUTATION_TABLE!$A$2:$B$102,2),""),"")</f>
        <v/>
      </c>
      <c r="P28" s="31"/>
      <c r="Q28" s="42" t="str">
        <f>IF(AND(B28&lt;&gt;""),IF($P$9&lt;&gt;0,VLOOKUP(P28/$P$9*100,TRANSMUTATION_TABLE!$A$2:$B$102,2),""),"")</f>
        <v/>
      </c>
      <c r="R28" s="31"/>
      <c r="S28" s="43" t="str">
        <f>IF(AND(B28&lt;&gt;""),IF($R$9&lt;&gt;0,VLOOKUP(R28/$R$9*100,TRANSMUTATION_TABLE!$A$2:$B$102,2),""),"")</f>
        <v/>
      </c>
      <c r="T28" s="48" t="str">
        <f t="shared" si="1"/>
        <v/>
      </c>
      <c r="U28" s="31"/>
      <c r="V28" s="42" t="str">
        <f>IF(AND(B28&lt;&gt;""),IF($U$9&lt;&gt;0,VLOOKUP(U28/$U$9*100,TRANSMUTATION_TABLE!$A$2:$B$102,2),""),"")</f>
        <v/>
      </c>
      <c r="W28" s="31"/>
      <c r="X28" s="42" t="str">
        <f>IF(AND(B28&lt;&gt;""),IF($W$9&lt;&gt;0,VLOOKUP(W28/$W$9*100,TRANSMUTATION_TABLE!$A$2:$B$102,2),""),"")</f>
        <v/>
      </c>
      <c r="Y28" s="31"/>
      <c r="Z28" s="42" t="str">
        <f>IF(AND(B28&lt;&gt;""),IF($Y$9&lt;&gt;0,VLOOKUP(Y28/$Y$9*100,TRANSMUTATION_TABLE!$A$2:$B$102,2),""),"")</f>
        <v/>
      </c>
      <c r="AA28" s="31"/>
      <c r="AB28" s="43" t="str">
        <f>IF(AND(B28&lt;&gt;""),IF($AA$9&lt;&gt;0,VLOOKUP(AA28/$AA$9*100,TRANSMUTATION_TABLE!$A$2:$B$102,2),""),"")</f>
        <v/>
      </c>
      <c r="AC28" s="48" t="str">
        <f t="shared" si="2"/>
        <v/>
      </c>
      <c r="AD28" s="31"/>
      <c r="AE28" s="42" t="str">
        <f>IF(AND(B28&lt;&gt;""),IF($AD$9&lt;&gt;0,VLOOKUP(AD28/$AD$9*100,TRANSMUTATION_TABLE!$A$2:$B$102,2),""),"")</f>
        <v/>
      </c>
      <c r="AF28" s="31">
        <f>Attendance!U25</f>
        <v>0</v>
      </c>
      <c r="AG28" s="87" t="str">
        <f>IF(AND(B28&lt;&gt;""),IF($AF$9&lt;&gt;0,VLOOKUP(AF28/$AF$9*100,TRANSMUTATION_TABLE!$A$2:$B$102,2),""),"")</f>
        <v/>
      </c>
      <c r="AH28" s="31"/>
      <c r="AI28" s="45" t="str">
        <f>IF(AND(B28&lt;&gt;""),IF($AH$9&lt;&gt;0,VLOOKUP(AH28/$AH$9*100,TRANSMUTATION_TABLE!$A$2:$B$102,2),""),"")</f>
        <v/>
      </c>
      <c r="AJ28" s="46" t="str">
        <f>IF(OR(K28&lt;&gt;"",T28&lt;&gt;"",AC28&lt;&gt;"",AI28&lt;&gt;"",AG28&lt;&gt;""),SUM(PRODUCT(K28,IF(Settings!$F$9&lt;&gt;0,Settings!$F$9/100,0)),PRODUCT(Prelim!T28,IF(Settings!$F$10&lt;&gt;0,Settings!$F$10/100,0)),PRODUCT(Prelim!AC28,IF(Settings!$F$11&lt;&gt;0,Settings!$F$11/100,0)),PRODUCT(Prelim!AG28,IF(Settings!$F$12&lt;&gt;0,Settings!$F$12/100,0)),PRODUCT(Prelim!AI28,IF(Settings!$F$13&lt;&gt;0,Settings!$F$13/100,0))),"")</f>
        <v/>
      </c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</row>
    <row r="29" spans="1:56" ht="12" customHeight="1" thickBot="1" x14ac:dyDescent="0.35">
      <c r="A29" s="54"/>
      <c r="B29" s="60"/>
      <c r="C29" s="214"/>
      <c r="D29" s="85" t="str">
        <f>IF(AND(B29&lt;&gt;""),IF($C$9&lt;&gt;0,VLOOKUP(C29/$C$9*100,TRANSMUTATION_TABLE!$A$2:$B$102,2),""),"")</f>
        <v/>
      </c>
      <c r="E29" s="214"/>
      <c r="F29" s="42" t="str">
        <f>IF(AND(B29&lt;&gt;""),IF($E$9&lt;&gt;0,VLOOKUP(E29/$E$9*100,TRANSMUTATION_TABLE!$A$2:$B$102,2),""),"")</f>
        <v/>
      </c>
      <c r="G29" s="214"/>
      <c r="H29" s="42" t="str">
        <f>IF(AND(B29&lt;&gt;""),IF($G$9&lt;&gt;0,VLOOKUP(G29/$G$9*100,TRANSMUTATION_TABLE!$A$2:$B$102,2),""),"")</f>
        <v/>
      </c>
      <c r="I29" s="214"/>
      <c r="J29" s="43" t="str">
        <f>IF(AND(B29&lt;&gt;""),IF($I$9&lt;&gt;0,VLOOKUP(I29/$I$9*100,TRANSMUTATION_TABLE!$A$2:$B$102,2),""),"")</f>
        <v/>
      </c>
      <c r="K29" s="48" t="str">
        <f t="shared" si="0"/>
        <v/>
      </c>
      <c r="L29" s="214"/>
      <c r="M29" s="86" t="str">
        <f>IF(AND(B29&lt;&gt;""),IF($L$9&lt;&gt;0,VLOOKUP(L29/$L$9*100,TRANSMUTATION_TABLE!$A$2:$B$102,2),""),"")</f>
        <v/>
      </c>
      <c r="N29" s="214"/>
      <c r="O29" s="42" t="str">
        <f>IF(AND(B29&lt;&gt;""),IF($N$9&lt;&gt;0,VLOOKUP(N29/$N$9*100,TRANSMUTATION_TABLE!$A$2:$B$102,2),""),"")</f>
        <v/>
      </c>
      <c r="P29" s="214"/>
      <c r="Q29" s="42" t="str">
        <f>IF(AND(B29&lt;&gt;""),IF($P$9&lt;&gt;0,VLOOKUP(P29/$P$9*100,TRANSMUTATION_TABLE!$A$2:$B$102,2),""),"")</f>
        <v/>
      </c>
      <c r="R29" s="214"/>
      <c r="S29" s="43" t="str">
        <f>IF(AND(B29&lt;&gt;""),IF($R$9&lt;&gt;0,VLOOKUP(R29/$R$9*100,TRANSMUTATION_TABLE!$A$2:$B$102,2),""),"")</f>
        <v/>
      </c>
      <c r="T29" s="48" t="str">
        <f t="shared" si="1"/>
        <v/>
      </c>
      <c r="U29" s="214"/>
      <c r="V29" s="42" t="str">
        <f>IF(AND(B29&lt;&gt;""),IF($U$9&lt;&gt;0,VLOOKUP(U29/$U$9*100,TRANSMUTATION_TABLE!$A$2:$B$102,2),""),"")</f>
        <v/>
      </c>
      <c r="W29" s="214"/>
      <c r="X29" s="42" t="str">
        <f>IF(AND(B29&lt;&gt;""),IF($W$9&lt;&gt;0,VLOOKUP(W29/$W$9*100,TRANSMUTATION_TABLE!$A$2:$B$102,2),""),"")</f>
        <v/>
      </c>
      <c r="Y29" s="214"/>
      <c r="Z29" s="42" t="str">
        <f>IF(AND(B29&lt;&gt;""),IF($Y$9&lt;&gt;0,VLOOKUP(Y29/$Y$9*100,TRANSMUTATION_TABLE!$A$2:$B$102,2),""),"")</f>
        <v/>
      </c>
      <c r="AA29" s="214"/>
      <c r="AB29" s="43" t="str">
        <f>IF(AND(B29&lt;&gt;""),IF($AA$9&lt;&gt;0,VLOOKUP(AA29/$AA$9*100,TRANSMUTATION_TABLE!$A$2:$B$102,2),""),"")</f>
        <v/>
      </c>
      <c r="AC29" s="48" t="str">
        <f t="shared" si="2"/>
        <v/>
      </c>
      <c r="AD29" s="214"/>
      <c r="AE29" s="42" t="str">
        <f>IF(AND(B29&lt;&gt;""),IF($AD$9&lt;&gt;0,VLOOKUP(AD29/$AD$9*100,TRANSMUTATION_TABLE!$A$2:$B$102,2),""),"")</f>
        <v/>
      </c>
      <c r="AF29" s="214">
        <f>Attendance!U26</f>
        <v>0</v>
      </c>
      <c r="AG29" s="87" t="str">
        <f>IF(AND(B29&lt;&gt;""),IF($AF$9&lt;&gt;0,VLOOKUP(AF29/$AF$9*100,TRANSMUTATION_TABLE!$A$2:$B$102,2),""),"")</f>
        <v/>
      </c>
      <c r="AH29" s="214"/>
      <c r="AI29" s="45" t="str">
        <f>IF(AND(B29&lt;&gt;""),IF($AH$9&lt;&gt;0,VLOOKUP(AH29/$AH$9*100,TRANSMUTATION_TABLE!$A$2:$B$102,2),""),"")</f>
        <v/>
      </c>
      <c r="AJ29" s="46" t="str">
        <f>IF(OR(K29&lt;&gt;"",T29&lt;&gt;"",AC29&lt;&gt;"",AI29&lt;&gt;"",AG29&lt;&gt;""),SUM(PRODUCT(K29,IF(Settings!$F$9&lt;&gt;0,Settings!$F$9/100,0)),PRODUCT(Prelim!T29,IF(Settings!$F$10&lt;&gt;0,Settings!$F$10/100,0)),PRODUCT(Prelim!AC29,IF(Settings!$F$11&lt;&gt;0,Settings!$F$11/100,0)),PRODUCT(Prelim!AG29,IF(Settings!$F$12&lt;&gt;0,Settings!$F$12/100,0)),PRODUCT(Prelim!AI29,IF(Settings!$F$13&lt;&gt;0,Settings!$F$13/100,0))),"")</f>
        <v/>
      </c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</row>
    <row r="30" spans="1:56" ht="12" customHeight="1" thickBot="1" x14ac:dyDescent="0.35">
      <c r="A30" s="47"/>
      <c r="B30" s="60"/>
      <c r="C30" s="31"/>
      <c r="D30" s="85" t="str">
        <f>IF(AND(B30&lt;&gt;""),IF($C$9&lt;&gt;0,VLOOKUP(C30/$C$9*100,TRANSMUTATION_TABLE!$A$2:$B$102,2),""),"")</f>
        <v/>
      </c>
      <c r="E30" s="31"/>
      <c r="F30" s="42" t="str">
        <f>IF(AND(B30&lt;&gt;""),IF($E$9&lt;&gt;0,VLOOKUP(E30/$E$9*100,TRANSMUTATION_TABLE!$A$2:$B$102,2),""),"")</f>
        <v/>
      </c>
      <c r="G30" s="31"/>
      <c r="H30" s="42" t="str">
        <f>IF(AND(B30&lt;&gt;""),IF($G$9&lt;&gt;0,VLOOKUP(G30/$G$9*100,TRANSMUTATION_TABLE!$A$2:$B$102,2),""),"")</f>
        <v/>
      </c>
      <c r="I30" s="31"/>
      <c r="J30" s="43" t="str">
        <f>IF(AND(B30&lt;&gt;""),IF($I$9&lt;&gt;0,VLOOKUP(I30/$I$9*100,TRANSMUTATION_TABLE!$A$2:$B$102,2),""),"")</f>
        <v/>
      </c>
      <c r="K30" s="48" t="str">
        <f t="shared" si="0"/>
        <v/>
      </c>
      <c r="L30" s="31"/>
      <c r="M30" s="88" t="str">
        <f>IF(AND(B30&lt;&gt;""),IF($L$9&lt;&gt;0,VLOOKUP(L30/$L$9*100,TRANSMUTATION_TABLE!$A$2:$B$102,2),""),"")</f>
        <v/>
      </c>
      <c r="N30" s="31"/>
      <c r="O30" s="57" t="str">
        <f>IF(AND(B30&lt;&gt;""),IF($N$9&lt;&gt;0,VLOOKUP(N30/$N$9*100,TRANSMUTATION_TABLE!$A$2:$B$102,2),""),"")</f>
        <v/>
      </c>
      <c r="P30" s="31"/>
      <c r="Q30" s="57" t="str">
        <f>IF(AND(B30&lt;&gt;""),IF($P$9&lt;&gt;0,VLOOKUP(P30/$P$9*100,TRANSMUTATION_TABLE!$A$2:$B$102,2),""),"")</f>
        <v/>
      </c>
      <c r="R30" s="31"/>
      <c r="S30" s="89" t="str">
        <f>IF(AND(B30&lt;&gt;""),IF($R$9&lt;&gt;0,VLOOKUP(R30/$R$9*100,TRANSMUTATION_TABLE!$A$2:$B$102,2),""),"")</f>
        <v/>
      </c>
      <c r="T30" s="48" t="str">
        <f t="shared" si="1"/>
        <v/>
      </c>
      <c r="U30" s="31"/>
      <c r="V30" s="57" t="str">
        <f>IF(AND(B30&lt;&gt;""),IF($U$9&lt;&gt;0,VLOOKUP(U30/$U$9*100,TRANSMUTATION_TABLE!$A$2:$B$102,2),""),"")</f>
        <v/>
      </c>
      <c r="W30" s="31"/>
      <c r="X30" s="57" t="str">
        <f>IF(AND(B30&lt;&gt;""),IF($W$9&lt;&gt;0,VLOOKUP(W30/$W$9*100,TRANSMUTATION_TABLE!$A$2:$B$102,2),""),"")</f>
        <v/>
      </c>
      <c r="Y30" s="31"/>
      <c r="Z30" s="57" t="str">
        <f>IF(AND(B30&lt;&gt;""),IF($Y$9&lt;&gt;0,VLOOKUP(Y30/$Y$9*100,TRANSMUTATION_TABLE!$A$2:$B$102,2),""),"")</f>
        <v/>
      </c>
      <c r="AA30" s="31"/>
      <c r="AB30" s="89" t="str">
        <f>IF(AND(B30&lt;&gt;""),IF($AA$9&lt;&gt;0,VLOOKUP(AA30/$AA$9*100,TRANSMUTATION_TABLE!$A$2:$B$102,2),""),"")</f>
        <v/>
      </c>
      <c r="AC30" s="48" t="str">
        <f t="shared" si="2"/>
        <v/>
      </c>
      <c r="AD30" s="31"/>
      <c r="AE30" s="57" t="str">
        <f>IF(AND(B30&lt;&gt;""),IF($AD$9&lt;&gt;0,VLOOKUP(AD30/$AD$9*100,TRANSMUTATION_TABLE!$A$2:$B$102,2),""),"")</f>
        <v/>
      </c>
      <c r="AF30" s="31">
        <f>Attendance!U27</f>
        <v>0</v>
      </c>
      <c r="AG30" s="87" t="str">
        <f>IF(AND(B30&lt;&gt;""),IF($AF$9&lt;&gt;0,VLOOKUP(AF30/$AF$9*100,TRANSMUTATION_TABLE!$A$2:$B$102,2),""),"")</f>
        <v/>
      </c>
      <c r="AH30" s="31"/>
      <c r="AI30" s="45" t="str">
        <f>IF(AND(B30&lt;&gt;""),IF($AH$9&lt;&gt;0,VLOOKUP(AH30/$AH$9*100,TRANSMUTATION_TABLE!$A$2:$B$102,2),""),"")</f>
        <v/>
      </c>
      <c r="AJ30" s="46" t="str">
        <f>IF(OR(K30&lt;&gt;"",T30&lt;&gt;"",AC30&lt;&gt;"",AI30&lt;&gt;"",AG30&lt;&gt;""),SUM(PRODUCT(K30,IF(Settings!$F$9&lt;&gt;0,Settings!$F$9/100,0)),PRODUCT(Prelim!T30,IF(Settings!$F$10&lt;&gt;0,Settings!$F$10/100,0)),PRODUCT(Prelim!AC30,IF(Settings!$F$11&lt;&gt;0,Settings!$F$11/100,0)),PRODUCT(Prelim!AG30,IF(Settings!$F$12&lt;&gt;0,Settings!$F$12/100,0)),PRODUCT(Prelim!AI30,IF(Settings!$F$13&lt;&gt;0,Settings!$F$13/100,0))),"")</f>
        <v/>
      </c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</row>
    <row r="31" spans="1:56" ht="12" customHeight="1" thickBot="1" x14ac:dyDescent="0.35">
      <c r="A31" s="52"/>
      <c r="B31" s="60"/>
      <c r="C31" s="31"/>
      <c r="D31" s="85" t="str">
        <f>IF(AND(B31&lt;&gt;""),IF($C$9&lt;&gt;0,VLOOKUP(C31/$C$9*100,TRANSMUTATION_TABLE!$A$2:$B$102,2),""),"")</f>
        <v/>
      </c>
      <c r="E31" s="31"/>
      <c r="F31" s="42" t="str">
        <f>IF(AND(B31&lt;&gt;""),IF($E$9&lt;&gt;0,VLOOKUP(E31/$E$9*100,TRANSMUTATION_TABLE!$A$2:$B$102,2),""),"")</f>
        <v/>
      </c>
      <c r="G31" s="31"/>
      <c r="H31" s="42" t="str">
        <f>IF(AND(B31&lt;&gt;""),IF($G$9&lt;&gt;0,VLOOKUP(G31/$G$9*100,TRANSMUTATION_TABLE!$A$2:$B$102,2),""),"")</f>
        <v/>
      </c>
      <c r="I31" s="31"/>
      <c r="J31" s="43" t="str">
        <f>IF(AND(B31&lt;&gt;""),IF($I$9&lt;&gt;0,VLOOKUP(I31/$I$9*100,TRANSMUTATION_TABLE!$A$2:$B$102,2),""),"")</f>
        <v/>
      </c>
      <c r="K31" s="48" t="str">
        <f t="shared" si="0"/>
        <v/>
      </c>
      <c r="L31" s="31"/>
      <c r="M31" s="86" t="str">
        <f>IF(AND(B31&lt;&gt;""),IF($L$9&lt;&gt;0,VLOOKUP(L31/$L$9*100,TRANSMUTATION_TABLE!$A$2:$B$102,2),""),"")</f>
        <v/>
      </c>
      <c r="N31" s="31"/>
      <c r="O31" s="42" t="str">
        <f>IF(AND(B31&lt;&gt;""),IF($N$9&lt;&gt;0,VLOOKUP(N31/$N$9*100,TRANSMUTATION_TABLE!$A$2:$B$102,2),""),"")</f>
        <v/>
      </c>
      <c r="P31" s="31"/>
      <c r="Q31" s="42" t="str">
        <f>IF(AND(B31&lt;&gt;""),IF($P$9&lt;&gt;0,VLOOKUP(P31/$P$9*100,TRANSMUTATION_TABLE!$A$2:$B$102,2),""),"")</f>
        <v/>
      </c>
      <c r="R31" s="31"/>
      <c r="S31" s="43" t="str">
        <f>IF(AND(B31&lt;&gt;""),IF($R$9&lt;&gt;0,VLOOKUP(R31/$R$9*100,TRANSMUTATION_TABLE!$A$2:$B$102,2),""),"")</f>
        <v/>
      </c>
      <c r="T31" s="48" t="str">
        <f t="shared" si="1"/>
        <v/>
      </c>
      <c r="U31" s="31"/>
      <c r="V31" s="42" t="str">
        <f>IF(AND(B31&lt;&gt;""),IF($U$9&lt;&gt;0,VLOOKUP(U31/$U$9*100,TRANSMUTATION_TABLE!$A$2:$B$102,2),""),"")</f>
        <v/>
      </c>
      <c r="W31" s="31"/>
      <c r="X31" s="42" t="str">
        <f>IF(AND(B31&lt;&gt;""),IF($W$9&lt;&gt;0,VLOOKUP(W31/$W$9*100,TRANSMUTATION_TABLE!$A$2:$B$102,2),""),"")</f>
        <v/>
      </c>
      <c r="Y31" s="31"/>
      <c r="Z31" s="42" t="str">
        <f>IF(AND(B31&lt;&gt;""),IF($Y$9&lt;&gt;0,VLOOKUP(Y31/$Y$9*100,TRANSMUTATION_TABLE!$A$2:$B$102,2),""),"")</f>
        <v/>
      </c>
      <c r="AA31" s="31"/>
      <c r="AB31" s="43" t="str">
        <f>IF(AND(B31&lt;&gt;""),IF($AA$9&lt;&gt;0,VLOOKUP(AA31/$AA$9*100,TRANSMUTATION_TABLE!$A$2:$B$102,2),""),"")</f>
        <v/>
      </c>
      <c r="AC31" s="48" t="str">
        <f t="shared" si="2"/>
        <v/>
      </c>
      <c r="AD31" s="31"/>
      <c r="AE31" s="42" t="str">
        <f>IF(AND(B31&lt;&gt;""),IF($AD$9&lt;&gt;0,VLOOKUP(AD31/$AD$9*100,TRANSMUTATION_TABLE!$A$2:$B$102,2),""),"")</f>
        <v/>
      </c>
      <c r="AF31" s="31">
        <f>Attendance!U28</f>
        <v>0</v>
      </c>
      <c r="AG31" s="87" t="str">
        <f>IF(AND(B31&lt;&gt;""),IF($AF$9&lt;&gt;0,VLOOKUP(AF31/$AF$9*100,TRANSMUTATION_TABLE!$A$2:$B$102,2),""),"")</f>
        <v/>
      </c>
      <c r="AH31" s="31"/>
      <c r="AI31" s="45" t="str">
        <f>IF(AND(B31&lt;&gt;""),IF($AH$9&lt;&gt;0,VLOOKUP(AH31/$AH$9*100,TRANSMUTATION_TABLE!$A$2:$B$102,2),""),"")</f>
        <v/>
      </c>
      <c r="AJ31" s="46" t="str">
        <f>IF(OR(K31&lt;&gt;"",T31&lt;&gt;"",AC31&lt;&gt;"",AI31&lt;&gt;"",AG31&lt;&gt;""),SUM(PRODUCT(K31,IF(Settings!$F$9&lt;&gt;0,Settings!$F$9/100,0)),PRODUCT(Prelim!T31,IF(Settings!$F$10&lt;&gt;0,Settings!$F$10/100,0)),PRODUCT(Prelim!AC31,IF(Settings!$F$11&lt;&gt;0,Settings!$F$11/100,0)),PRODUCT(Prelim!AG31,IF(Settings!$F$12&lt;&gt;0,Settings!$F$12/100,0)),PRODUCT(Prelim!AI31,IF(Settings!$F$13&lt;&gt;0,Settings!$F$13/100,0))),"")</f>
        <v/>
      </c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</row>
    <row r="32" spans="1:56" ht="12" customHeight="1" thickBot="1" x14ac:dyDescent="0.35">
      <c r="A32" s="52"/>
      <c r="B32" s="60"/>
      <c r="C32" s="31"/>
      <c r="D32" s="85" t="str">
        <f>IF(AND(B32&lt;&gt;""),IF($C$9&lt;&gt;0,VLOOKUP(C32/$C$9*100,TRANSMUTATION_TABLE!$A$2:$B$102,2),""),"")</f>
        <v/>
      </c>
      <c r="E32" s="31"/>
      <c r="F32" s="42" t="str">
        <f>IF(AND(B32&lt;&gt;""),IF($E$9&lt;&gt;0,VLOOKUP(E32/$E$9*100,TRANSMUTATION_TABLE!$A$2:$B$102,2),""),"")</f>
        <v/>
      </c>
      <c r="G32" s="31"/>
      <c r="H32" s="42" t="str">
        <f>IF(AND(B32&lt;&gt;""),IF($G$9&lt;&gt;0,VLOOKUP(G32/$G$9*100,TRANSMUTATION_TABLE!$A$2:$B$102,2),""),"")</f>
        <v/>
      </c>
      <c r="I32" s="31"/>
      <c r="J32" s="43" t="str">
        <f>IF(AND(B32&lt;&gt;""),IF($I$9&lt;&gt;0,VLOOKUP(I32/$I$9*100,TRANSMUTATION_TABLE!$A$2:$B$102,2),""),"")</f>
        <v/>
      </c>
      <c r="K32" s="48" t="str">
        <f t="shared" si="0"/>
        <v/>
      </c>
      <c r="L32" s="31"/>
      <c r="M32" s="86" t="str">
        <f>IF(AND(B32&lt;&gt;""),IF($L$9&lt;&gt;0,VLOOKUP(L32/$L$9*100,TRANSMUTATION_TABLE!$A$2:$B$102,2),""),"")</f>
        <v/>
      </c>
      <c r="N32" s="31"/>
      <c r="O32" s="42" t="str">
        <f>IF(AND(B32&lt;&gt;""),IF($N$9&lt;&gt;0,VLOOKUP(N32/$N$9*100,TRANSMUTATION_TABLE!$A$2:$B$102,2),""),"")</f>
        <v/>
      </c>
      <c r="P32" s="31"/>
      <c r="Q32" s="42" t="str">
        <f>IF(AND(B32&lt;&gt;""),IF($P$9&lt;&gt;0,VLOOKUP(P32/$P$9*100,TRANSMUTATION_TABLE!$A$2:$B$102,2),""),"")</f>
        <v/>
      </c>
      <c r="R32" s="31"/>
      <c r="S32" s="43" t="str">
        <f>IF(AND(B32&lt;&gt;""),IF($R$9&lt;&gt;0,VLOOKUP(R32/$R$9*100,TRANSMUTATION_TABLE!$A$2:$B$102,2),""),"")</f>
        <v/>
      </c>
      <c r="T32" s="48" t="str">
        <f t="shared" si="1"/>
        <v/>
      </c>
      <c r="U32" s="31"/>
      <c r="V32" s="42" t="str">
        <f>IF(AND(B32&lt;&gt;""),IF($U$9&lt;&gt;0,VLOOKUP(U32/$U$9*100,TRANSMUTATION_TABLE!$A$2:$B$102,2),""),"")</f>
        <v/>
      </c>
      <c r="W32" s="31"/>
      <c r="X32" s="42" t="str">
        <f>IF(AND(B32&lt;&gt;""),IF($W$9&lt;&gt;0,VLOOKUP(W32/$W$9*100,TRANSMUTATION_TABLE!$A$2:$B$102,2),""),"")</f>
        <v/>
      </c>
      <c r="Y32" s="31"/>
      <c r="Z32" s="42" t="str">
        <f>IF(AND(B32&lt;&gt;""),IF($Y$9&lt;&gt;0,VLOOKUP(Y32/$Y$9*100,TRANSMUTATION_TABLE!$A$2:$B$102,2),""),"")</f>
        <v/>
      </c>
      <c r="AA32" s="31"/>
      <c r="AB32" s="43" t="str">
        <f>IF(AND(B32&lt;&gt;""),IF($AA$9&lt;&gt;0,VLOOKUP(AA32/$AA$9*100,TRANSMUTATION_TABLE!$A$2:$B$102,2),""),"")</f>
        <v/>
      </c>
      <c r="AC32" s="48" t="str">
        <f t="shared" si="2"/>
        <v/>
      </c>
      <c r="AD32" s="31"/>
      <c r="AE32" s="42" t="str">
        <f>IF(AND(B32&lt;&gt;""),IF($AD$9&lt;&gt;0,VLOOKUP(AD32/$AD$9*100,TRANSMUTATION_TABLE!$A$2:$B$102,2),""),"")</f>
        <v/>
      </c>
      <c r="AF32" s="31">
        <f>Attendance!U29</f>
        <v>0</v>
      </c>
      <c r="AG32" s="87" t="str">
        <f>IF(AND(B32&lt;&gt;""),IF($AF$9&lt;&gt;0,VLOOKUP(AF32/$AF$9*100,TRANSMUTATION_TABLE!$A$2:$B$102,2),""),"")</f>
        <v/>
      </c>
      <c r="AH32" s="31"/>
      <c r="AI32" s="45" t="str">
        <f>IF(AND(B32&lt;&gt;""),IF($AH$9&lt;&gt;0,VLOOKUP(AH32/$AH$9*100,TRANSMUTATION_TABLE!$A$2:$B$102,2),""),"")</f>
        <v/>
      </c>
      <c r="AJ32" s="46" t="str">
        <f>IF(OR(K32&lt;&gt;"",T32&lt;&gt;"",AC32&lt;&gt;"",AI32&lt;&gt;"",AG32&lt;&gt;""),SUM(PRODUCT(K32,IF(Settings!$F$9&lt;&gt;0,Settings!$F$9/100,0)),PRODUCT(Prelim!T32,IF(Settings!$F$10&lt;&gt;0,Settings!$F$10/100,0)),PRODUCT(Prelim!AC32,IF(Settings!$F$11&lt;&gt;0,Settings!$F$11/100,0)),PRODUCT(Prelim!AG32,IF(Settings!$F$12&lt;&gt;0,Settings!$F$12/100,0)),PRODUCT(Prelim!AI32,IF(Settings!$F$13&lt;&gt;0,Settings!$F$13/100,0))),"")</f>
        <v/>
      </c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</row>
    <row r="33" spans="1:56" ht="12" customHeight="1" thickBot="1" x14ac:dyDescent="0.35">
      <c r="A33" s="52"/>
      <c r="B33" s="60"/>
      <c r="C33" s="31"/>
      <c r="D33" s="85" t="str">
        <f>IF(AND(B33&lt;&gt;""),IF($C$9&lt;&gt;0,VLOOKUP(C33/$C$9*100,TRANSMUTATION_TABLE!$A$2:$B$102,2),""),"")</f>
        <v/>
      </c>
      <c r="E33" s="31"/>
      <c r="F33" s="42" t="str">
        <f>IF(AND(B33&lt;&gt;""),IF($E$9&lt;&gt;0,VLOOKUP(E33/$E$9*100,TRANSMUTATION_TABLE!$A$2:$B$102,2),""),"")</f>
        <v/>
      </c>
      <c r="G33" s="31"/>
      <c r="H33" s="42" t="str">
        <f>IF(AND(B33&lt;&gt;""),IF($G$9&lt;&gt;0,VLOOKUP(G33/$G$9*100,TRANSMUTATION_TABLE!$A$2:$B$102,2),""),"")</f>
        <v/>
      </c>
      <c r="I33" s="31"/>
      <c r="J33" s="43" t="str">
        <f>IF(AND(B33&lt;&gt;""),IF($I$9&lt;&gt;0,VLOOKUP(I33/$I$9*100,TRANSMUTATION_TABLE!$A$2:$B$102,2),""),"")</f>
        <v/>
      </c>
      <c r="K33" s="48" t="str">
        <f t="shared" si="0"/>
        <v/>
      </c>
      <c r="L33" s="31"/>
      <c r="M33" s="86" t="str">
        <f>IF(AND(B33&lt;&gt;""),IF($L$9&lt;&gt;0,VLOOKUP(L33/$L$9*100,TRANSMUTATION_TABLE!$A$2:$B$102,2),""),"")</f>
        <v/>
      </c>
      <c r="N33" s="31"/>
      <c r="O33" s="42" t="str">
        <f>IF(AND(B33&lt;&gt;""),IF($N$9&lt;&gt;0,VLOOKUP(N33/$N$9*100,TRANSMUTATION_TABLE!$A$2:$B$102,2),""),"")</f>
        <v/>
      </c>
      <c r="P33" s="31"/>
      <c r="Q33" s="42" t="str">
        <f>IF(AND(B33&lt;&gt;""),IF($P$9&lt;&gt;0,VLOOKUP(P33/$P$9*100,TRANSMUTATION_TABLE!$A$2:$B$102,2),""),"")</f>
        <v/>
      </c>
      <c r="R33" s="31"/>
      <c r="S33" s="43" t="str">
        <f>IF(AND(B33&lt;&gt;""),IF($R$9&lt;&gt;0,VLOOKUP(R33/$R$9*100,TRANSMUTATION_TABLE!$A$2:$B$102,2),""),"")</f>
        <v/>
      </c>
      <c r="T33" s="48" t="str">
        <f t="shared" si="1"/>
        <v/>
      </c>
      <c r="U33" s="31"/>
      <c r="V33" s="42" t="str">
        <f>IF(AND(B33&lt;&gt;""),IF($U$9&lt;&gt;0,VLOOKUP(U33/$U$9*100,TRANSMUTATION_TABLE!$A$2:$B$102,2),""),"")</f>
        <v/>
      </c>
      <c r="W33" s="31"/>
      <c r="X33" s="42" t="str">
        <f>IF(AND(B33&lt;&gt;""),IF($W$9&lt;&gt;0,VLOOKUP(W33/$W$9*100,TRANSMUTATION_TABLE!$A$2:$B$102,2),""),"")</f>
        <v/>
      </c>
      <c r="Y33" s="31"/>
      <c r="Z33" s="42" t="str">
        <f>IF(AND(B33&lt;&gt;""),IF($Y$9&lt;&gt;0,VLOOKUP(Y33/$Y$9*100,TRANSMUTATION_TABLE!$A$2:$B$102,2),""),"")</f>
        <v/>
      </c>
      <c r="AA33" s="31"/>
      <c r="AB33" s="43" t="str">
        <f>IF(AND(B33&lt;&gt;""),IF($AA$9&lt;&gt;0,VLOOKUP(AA33/$AA$9*100,TRANSMUTATION_TABLE!$A$2:$B$102,2),""),"")</f>
        <v/>
      </c>
      <c r="AC33" s="48" t="str">
        <f t="shared" si="2"/>
        <v/>
      </c>
      <c r="AD33" s="31"/>
      <c r="AE33" s="42" t="str">
        <f>IF(AND(B33&lt;&gt;""),IF($AD$9&lt;&gt;0,VLOOKUP(AD33/$AD$9*100,TRANSMUTATION_TABLE!$A$2:$B$102,2),""),"")</f>
        <v/>
      </c>
      <c r="AF33" s="31">
        <f>Attendance!U30</f>
        <v>0</v>
      </c>
      <c r="AG33" s="87" t="str">
        <f>IF(AND(B33&lt;&gt;""),IF($AF$9&lt;&gt;0,VLOOKUP(AF33/$AF$9*100,TRANSMUTATION_TABLE!$A$2:$B$102,2),""),"")</f>
        <v/>
      </c>
      <c r="AH33" s="31"/>
      <c r="AI33" s="45" t="str">
        <f>IF(AND(B33&lt;&gt;""),IF($AH$9&lt;&gt;0,VLOOKUP(AH33/$AH$9*100,TRANSMUTATION_TABLE!$A$2:$B$102,2),""),"")</f>
        <v/>
      </c>
      <c r="AJ33" s="46" t="str">
        <f>IF(OR(K33&lt;&gt;"",T33&lt;&gt;"",AC33&lt;&gt;"",AI33&lt;&gt;"",AG33&lt;&gt;""),SUM(PRODUCT(K33,IF(Settings!$F$9&lt;&gt;0,Settings!$F$9/100,0)),PRODUCT(Prelim!T33,IF(Settings!$F$10&lt;&gt;0,Settings!$F$10/100,0)),PRODUCT(Prelim!AC33,IF(Settings!$F$11&lt;&gt;0,Settings!$F$11/100,0)),PRODUCT(Prelim!AG33,IF(Settings!$F$12&lt;&gt;0,Settings!$F$12/100,0)),PRODUCT(Prelim!AI33,IF(Settings!$F$13&lt;&gt;0,Settings!$F$13/100,0))),"")</f>
        <v/>
      </c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</row>
    <row r="34" spans="1:56" ht="12" customHeight="1" thickBot="1" x14ac:dyDescent="0.35">
      <c r="A34" s="54"/>
      <c r="B34" s="60"/>
      <c r="C34" s="214"/>
      <c r="D34" s="85" t="str">
        <f>IF(AND(B34&lt;&gt;""),IF($C$9&lt;&gt;0,VLOOKUP(C34/$C$9*100,TRANSMUTATION_TABLE!$A$2:$B$102,2),""),"")</f>
        <v/>
      </c>
      <c r="E34" s="214"/>
      <c r="F34" s="42" t="str">
        <f>IF(AND(B34&lt;&gt;""),IF($E$9&lt;&gt;0,VLOOKUP(E34/$E$9*100,TRANSMUTATION_TABLE!$A$2:$B$102,2),""),"")</f>
        <v/>
      </c>
      <c r="G34" s="214"/>
      <c r="H34" s="42" t="str">
        <f>IF(AND(B34&lt;&gt;""),IF($G$9&lt;&gt;0,VLOOKUP(G34/$G$9*100,TRANSMUTATION_TABLE!$A$2:$B$102,2),""),"")</f>
        <v/>
      </c>
      <c r="I34" s="214"/>
      <c r="J34" s="43" t="str">
        <f>IF(AND(B34&lt;&gt;""),IF($I$9&lt;&gt;0,VLOOKUP(I34/$I$9*100,TRANSMUTATION_TABLE!$A$2:$B$102,2),""),"")</f>
        <v/>
      </c>
      <c r="K34" s="48" t="str">
        <f t="shared" si="0"/>
        <v/>
      </c>
      <c r="L34" s="214"/>
      <c r="M34" s="86" t="str">
        <f>IF(AND(B34&lt;&gt;""),IF($L$9&lt;&gt;0,VLOOKUP(L34/$L$9*100,TRANSMUTATION_TABLE!$A$2:$B$102,2),""),"")</f>
        <v/>
      </c>
      <c r="N34" s="214"/>
      <c r="O34" s="42" t="str">
        <f>IF(AND(B34&lt;&gt;""),IF($N$9&lt;&gt;0,VLOOKUP(N34/$N$9*100,TRANSMUTATION_TABLE!$A$2:$B$102,2),""),"")</f>
        <v/>
      </c>
      <c r="P34" s="214"/>
      <c r="Q34" s="42" t="str">
        <f>IF(AND(B34&lt;&gt;""),IF($P$9&lt;&gt;0,VLOOKUP(P34/$P$9*100,TRANSMUTATION_TABLE!$A$2:$B$102,2),""),"")</f>
        <v/>
      </c>
      <c r="R34" s="214"/>
      <c r="S34" s="43" t="str">
        <f>IF(AND(B34&lt;&gt;""),IF($R$9&lt;&gt;0,VLOOKUP(R34/$R$9*100,TRANSMUTATION_TABLE!$A$2:$B$102,2),""),"")</f>
        <v/>
      </c>
      <c r="T34" s="48" t="str">
        <f t="shared" si="1"/>
        <v/>
      </c>
      <c r="U34" s="214"/>
      <c r="V34" s="42" t="str">
        <f>IF(AND(B34&lt;&gt;""),IF($U$9&lt;&gt;0,VLOOKUP(U34/$U$9*100,TRANSMUTATION_TABLE!$A$2:$B$102,2),""),"")</f>
        <v/>
      </c>
      <c r="W34" s="214"/>
      <c r="X34" s="42" t="str">
        <f>IF(AND(B34&lt;&gt;""),IF($W$9&lt;&gt;0,VLOOKUP(W34/$W$9*100,TRANSMUTATION_TABLE!$A$2:$B$102,2),""),"")</f>
        <v/>
      </c>
      <c r="Y34" s="214"/>
      <c r="Z34" s="42" t="str">
        <f>IF(AND(B34&lt;&gt;""),IF($Y$9&lt;&gt;0,VLOOKUP(Y34/$Y$9*100,TRANSMUTATION_TABLE!$A$2:$B$102,2),""),"")</f>
        <v/>
      </c>
      <c r="AA34" s="214"/>
      <c r="AB34" s="43" t="str">
        <f>IF(AND(B34&lt;&gt;""),IF($AA$9&lt;&gt;0,VLOOKUP(AA34/$AA$9*100,TRANSMUTATION_TABLE!$A$2:$B$102,2),""),"")</f>
        <v/>
      </c>
      <c r="AC34" s="48" t="str">
        <f t="shared" si="2"/>
        <v/>
      </c>
      <c r="AD34" s="214"/>
      <c r="AE34" s="42" t="str">
        <f>IF(AND(B34&lt;&gt;""),IF($AD$9&lt;&gt;0,VLOOKUP(AD34/$AD$9*100,TRANSMUTATION_TABLE!$A$2:$B$102,2),""),"")</f>
        <v/>
      </c>
      <c r="AF34" s="214">
        <f>Attendance!U31</f>
        <v>0</v>
      </c>
      <c r="AG34" s="87" t="str">
        <f>IF(AND(B34&lt;&gt;""),IF($AF$9&lt;&gt;0,VLOOKUP(AF34/$AF$9*100,TRANSMUTATION_TABLE!$A$2:$B$102,2),""),"")</f>
        <v/>
      </c>
      <c r="AH34" s="214"/>
      <c r="AI34" s="45" t="str">
        <f>IF(AND(B34&lt;&gt;""),IF($AH$9&lt;&gt;0,VLOOKUP(AH34/$AH$9*100,TRANSMUTATION_TABLE!$A$2:$B$102,2),""),"")</f>
        <v/>
      </c>
      <c r="AJ34" s="46" t="str">
        <f>IF(OR(K34&lt;&gt;"",T34&lt;&gt;"",AC34&lt;&gt;"",AI34&lt;&gt;"",AG34&lt;&gt;""),SUM(PRODUCT(K34,IF(Settings!$F$9&lt;&gt;0,Settings!$F$9/100,0)),PRODUCT(Prelim!T34,IF(Settings!$F$10&lt;&gt;0,Settings!$F$10/100,0)),PRODUCT(Prelim!AC34,IF(Settings!$F$11&lt;&gt;0,Settings!$F$11/100,0)),PRODUCT(Prelim!AG34,IF(Settings!$F$12&lt;&gt;0,Settings!$F$12/100,0)),PRODUCT(Prelim!AI34,IF(Settings!$F$13&lt;&gt;0,Settings!$F$13/100,0))),"")</f>
        <v/>
      </c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</row>
    <row r="35" spans="1:56" ht="12" customHeight="1" thickBot="1" x14ac:dyDescent="0.35">
      <c r="A35" s="47"/>
      <c r="B35" s="60"/>
      <c r="C35" s="31"/>
      <c r="D35" s="85" t="str">
        <f>IF(AND(B35&lt;&gt;""),IF($C$9&lt;&gt;0,VLOOKUP(C35/$C$9*100,TRANSMUTATION_TABLE!$A$2:$B$102,2),""),"")</f>
        <v/>
      </c>
      <c r="E35" s="31"/>
      <c r="F35" s="42" t="str">
        <f>IF(AND(B35&lt;&gt;""),IF($E$9&lt;&gt;0,VLOOKUP(E35/$E$9*100,TRANSMUTATION_TABLE!$A$2:$B$102,2),""),"")</f>
        <v/>
      </c>
      <c r="G35" s="31"/>
      <c r="H35" s="42" t="str">
        <f>IF(AND(B35&lt;&gt;""),IF($G$9&lt;&gt;0,VLOOKUP(G35/$G$9*100,TRANSMUTATION_TABLE!$A$2:$B$102,2),""),"")</f>
        <v/>
      </c>
      <c r="I35" s="31"/>
      <c r="J35" s="43" t="str">
        <f>IF(AND(B35&lt;&gt;""),IF($I$9&lt;&gt;0,VLOOKUP(I35/$I$9*100,TRANSMUTATION_TABLE!$A$2:$B$102,2),""),"")</f>
        <v/>
      </c>
      <c r="K35" s="48" t="str">
        <f t="shared" si="0"/>
        <v/>
      </c>
      <c r="L35" s="31"/>
      <c r="M35" s="88" t="str">
        <f>IF(AND(B35&lt;&gt;""),IF($L$9&lt;&gt;0,VLOOKUP(L35/$L$9*100,TRANSMUTATION_TABLE!$A$2:$B$102,2),""),"")</f>
        <v/>
      </c>
      <c r="N35" s="31"/>
      <c r="O35" s="57" t="str">
        <f>IF(AND(B35&lt;&gt;""),IF($N$9&lt;&gt;0,VLOOKUP(N35/$N$9*100,TRANSMUTATION_TABLE!$A$2:$B$102,2),""),"")</f>
        <v/>
      </c>
      <c r="P35" s="31"/>
      <c r="Q35" s="57" t="str">
        <f>IF(AND(B35&lt;&gt;""),IF($P$9&lt;&gt;0,VLOOKUP(P35/$P$9*100,TRANSMUTATION_TABLE!$A$2:$B$102,2),""),"")</f>
        <v/>
      </c>
      <c r="R35" s="31"/>
      <c r="S35" s="89" t="str">
        <f>IF(AND(B35&lt;&gt;""),IF($R$9&lt;&gt;0,VLOOKUP(R35/$R$9*100,TRANSMUTATION_TABLE!$A$2:$B$102,2),""),"")</f>
        <v/>
      </c>
      <c r="T35" s="48" t="str">
        <f t="shared" si="1"/>
        <v/>
      </c>
      <c r="U35" s="31"/>
      <c r="V35" s="57" t="str">
        <f>IF(AND(B35&lt;&gt;""),IF($U$9&lt;&gt;0,VLOOKUP(U35/$U$9*100,TRANSMUTATION_TABLE!$A$2:$B$102,2),""),"")</f>
        <v/>
      </c>
      <c r="W35" s="31"/>
      <c r="X35" s="57" t="str">
        <f>IF(AND(B35&lt;&gt;""),IF($W$9&lt;&gt;0,VLOOKUP(W35/$W$9*100,TRANSMUTATION_TABLE!$A$2:$B$102,2),""),"")</f>
        <v/>
      </c>
      <c r="Y35" s="31"/>
      <c r="Z35" s="57" t="str">
        <f>IF(AND(B35&lt;&gt;""),IF($Y$9&lt;&gt;0,VLOOKUP(Y35/$Y$9*100,TRANSMUTATION_TABLE!$A$2:$B$102,2),""),"")</f>
        <v/>
      </c>
      <c r="AA35" s="31"/>
      <c r="AB35" s="89" t="str">
        <f>IF(AND(B35&lt;&gt;""),IF($AA$9&lt;&gt;0,VLOOKUP(AA35/$AA$9*100,TRANSMUTATION_TABLE!$A$2:$B$102,2),""),"")</f>
        <v/>
      </c>
      <c r="AC35" s="48" t="str">
        <f t="shared" si="2"/>
        <v/>
      </c>
      <c r="AD35" s="31"/>
      <c r="AE35" s="57" t="str">
        <f>IF(AND(B35&lt;&gt;""),IF($AD$9&lt;&gt;0,VLOOKUP(AD35/$AD$9*100,TRANSMUTATION_TABLE!$A$2:$B$102,2),""),"")</f>
        <v/>
      </c>
      <c r="AF35" s="31">
        <f>Attendance!U32</f>
        <v>0</v>
      </c>
      <c r="AG35" s="87" t="str">
        <f>IF(AND(B35&lt;&gt;""),IF($AF$9&lt;&gt;0,VLOOKUP(AF35/$AF$9*100,TRANSMUTATION_TABLE!$A$2:$B$102,2),""),"")</f>
        <v/>
      </c>
      <c r="AH35" s="31"/>
      <c r="AI35" s="45" t="str">
        <f>IF(AND(B35&lt;&gt;""),IF($AH$9&lt;&gt;0,VLOOKUP(AH35/$AH$9*100,TRANSMUTATION_TABLE!$A$2:$B$102,2),""),"")</f>
        <v/>
      </c>
      <c r="AJ35" s="46" t="str">
        <f>IF(OR(K35&lt;&gt;"",T35&lt;&gt;"",AC35&lt;&gt;"",AI35&lt;&gt;"",AG35&lt;&gt;""),SUM(PRODUCT(K35,IF(Settings!$F$9&lt;&gt;0,Settings!$F$9/100,0)),PRODUCT(Prelim!T35,IF(Settings!$F$10&lt;&gt;0,Settings!$F$10/100,0)),PRODUCT(Prelim!AC35,IF(Settings!$F$11&lt;&gt;0,Settings!$F$11/100,0)),PRODUCT(Prelim!AG35,IF(Settings!$F$12&lt;&gt;0,Settings!$F$12/100,0)),PRODUCT(Prelim!AI35,IF(Settings!$F$13&lt;&gt;0,Settings!$F$13/100,0))),"")</f>
        <v/>
      </c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</row>
    <row r="36" spans="1:56" ht="12" customHeight="1" thickBot="1" x14ac:dyDescent="0.35">
      <c r="A36" s="52"/>
      <c r="B36" s="60"/>
      <c r="C36" s="31"/>
      <c r="D36" s="85" t="str">
        <f>IF(AND(B36&lt;&gt;""),IF($C$9&lt;&gt;0,VLOOKUP(C36/$C$9*100,TRANSMUTATION_TABLE!$A$2:$B$102,2),""),"")</f>
        <v/>
      </c>
      <c r="E36" s="31"/>
      <c r="F36" s="42" t="str">
        <f>IF(AND(B36&lt;&gt;""),IF($E$9&lt;&gt;0,VLOOKUP(E36/$E$9*100,TRANSMUTATION_TABLE!$A$2:$B$102,2),""),"")</f>
        <v/>
      </c>
      <c r="G36" s="31"/>
      <c r="H36" s="42" t="str">
        <f>IF(AND(B36&lt;&gt;""),IF($G$9&lt;&gt;0,VLOOKUP(G36/$G$9*100,TRANSMUTATION_TABLE!$A$2:$B$102,2),""),"")</f>
        <v/>
      </c>
      <c r="I36" s="31"/>
      <c r="J36" s="43" t="str">
        <f>IF(AND(B36&lt;&gt;""),IF($I$9&lt;&gt;0,VLOOKUP(I36/$I$9*100,TRANSMUTATION_TABLE!$A$2:$B$102,2),""),"")</f>
        <v/>
      </c>
      <c r="K36" s="48" t="str">
        <f t="shared" si="0"/>
        <v/>
      </c>
      <c r="L36" s="31"/>
      <c r="M36" s="86" t="str">
        <f>IF(AND(B36&lt;&gt;""),IF($L$9&lt;&gt;0,VLOOKUP(L36/$L$9*100,TRANSMUTATION_TABLE!$A$2:$B$102,2),""),"")</f>
        <v/>
      </c>
      <c r="N36" s="31"/>
      <c r="O36" s="42" t="str">
        <f>IF(AND(B36&lt;&gt;""),IF($N$9&lt;&gt;0,VLOOKUP(N36/$N$9*100,TRANSMUTATION_TABLE!$A$2:$B$102,2),""),"")</f>
        <v/>
      </c>
      <c r="P36" s="31"/>
      <c r="Q36" s="42" t="str">
        <f>IF(AND(B36&lt;&gt;""),IF($P$9&lt;&gt;0,VLOOKUP(P36/$P$9*100,TRANSMUTATION_TABLE!$A$2:$B$102,2),""),"")</f>
        <v/>
      </c>
      <c r="R36" s="31"/>
      <c r="S36" s="43" t="str">
        <f>IF(AND(B36&lt;&gt;""),IF($R$9&lt;&gt;0,VLOOKUP(R36/$R$9*100,TRANSMUTATION_TABLE!$A$2:$B$102,2),""),"")</f>
        <v/>
      </c>
      <c r="T36" s="48" t="str">
        <f t="shared" si="1"/>
        <v/>
      </c>
      <c r="U36" s="31"/>
      <c r="V36" s="42" t="str">
        <f>IF(AND(B36&lt;&gt;""),IF($U$9&lt;&gt;0,VLOOKUP(U36/$U$9*100,TRANSMUTATION_TABLE!$A$2:$B$102,2),""),"")</f>
        <v/>
      </c>
      <c r="W36" s="31"/>
      <c r="X36" s="42" t="str">
        <f>IF(AND(B36&lt;&gt;""),IF($W$9&lt;&gt;0,VLOOKUP(W36/$W$9*100,TRANSMUTATION_TABLE!$A$2:$B$102,2),""),"")</f>
        <v/>
      </c>
      <c r="Y36" s="31"/>
      <c r="Z36" s="42" t="str">
        <f>IF(AND(B36&lt;&gt;""),IF($Y$9&lt;&gt;0,VLOOKUP(Y36/$Y$9*100,TRANSMUTATION_TABLE!$A$2:$B$102,2),""),"")</f>
        <v/>
      </c>
      <c r="AA36" s="31"/>
      <c r="AB36" s="43" t="str">
        <f>IF(AND(B36&lt;&gt;""),IF($AA$9&lt;&gt;0,VLOOKUP(AA36/$AA$9*100,TRANSMUTATION_TABLE!$A$2:$B$102,2),""),"")</f>
        <v/>
      </c>
      <c r="AC36" s="48" t="str">
        <f t="shared" si="2"/>
        <v/>
      </c>
      <c r="AD36" s="31"/>
      <c r="AE36" s="42" t="str">
        <f>IF(AND(B36&lt;&gt;""),IF($AD$9&lt;&gt;0,VLOOKUP(AD36/$AD$9*100,TRANSMUTATION_TABLE!$A$2:$B$102,2),""),"")</f>
        <v/>
      </c>
      <c r="AF36" s="31">
        <f>Attendance!U33</f>
        <v>0</v>
      </c>
      <c r="AG36" s="87" t="str">
        <f>IF(AND(B36&lt;&gt;""),IF($AF$9&lt;&gt;0,VLOOKUP(AF36/$AF$9*100,TRANSMUTATION_TABLE!$A$2:$B$102,2),""),"")</f>
        <v/>
      </c>
      <c r="AH36" s="31"/>
      <c r="AI36" s="45" t="str">
        <f>IF(AND(B36&lt;&gt;""),IF($AH$9&lt;&gt;0,VLOOKUP(AH36/$AH$9*100,TRANSMUTATION_TABLE!$A$2:$B$102,2),""),"")</f>
        <v/>
      </c>
      <c r="AJ36" s="46" t="str">
        <f>IF(OR(K36&lt;&gt;"",T36&lt;&gt;"",AC36&lt;&gt;"",AI36&lt;&gt;"",AG36&lt;&gt;""),SUM(PRODUCT(K36,IF(Settings!$F$9&lt;&gt;0,Settings!$F$9/100,0)),PRODUCT(Prelim!T36,IF(Settings!$F$10&lt;&gt;0,Settings!$F$10/100,0)),PRODUCT(Prelim!AC36,IF(Settings!$F$11&lt;&gt;0,Settings!$F$11/100,0)),PRODUCT(Prelim!AG36,IF(Settings!$F$12&lt;&gt;0,Settings!$F$12/100,0)),PRODUCT(Prelim!AI36,IF(Settings!$F$13&lt;&gt;0,Settings!$F$13/100,0))),"")</f>
        <v/>
      </c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</row>
    <row r="37" spans="1:56" ht="12" customHeight="1" thickBot="1" x14ac:dyDescent="0.35">
      <c r="A37" s="52"/>
      <c r="B37" s="60"/>
      <c r="C37" s="31"/>
      <c r="D37" s="85" t="str">
        <f>IF(AND(B37&lt;&gt;""),IF($C$9&lt;&gt;0,VLOOKUP(C37/$C$9*100,TRANSMUTATION_TABLE!$A$2:$B$102,2),""),"")</f>
        <v/>
      </c>
      <c r="E37" s="31"/>
      <c r="F37" s="42" t="str">
        <f>IF(AND(B37&lt;&gt;""),IF($E$9&lt;&gt;0,VLOOKUP(E37/$E$9*100,TRANSMUTATION_TABLE!$A$2:$B$102,2),""),"")</f>
        <v/>
      </c>
      <c r="G37" s="31"/>
      <c r="H37" s="42" t="str">
        <f>IF(AND(B37&lt;&gt;""),IF($G$9&lt;&gt;0,VLOOKUP(G37/$G$9*100,TRANSMUTATION_TABLE!$A$2:$B$102,2),""),"")</f>
        <v/>
      </c>
      <c r="I37" s="31"/>
      <c r="J37" s="43" t="str">
        <f>IF(AND(B37&lt;&gt;""),IF($I$9&lt;&gt;0,VLOOKUP(I37/$I$9*100,TRANSMUTATION_TABLE!$A$2:$B$102,2),""),"")</f>
        <v/>
      </c>
      <c r="K37" s="48" t="str">
        <f t="shared" si="0"/>
        <v/>
      </c>
      <c r="L37" s="31"/>
      <c r="M37" s="86" t="str">
        <f>IF(AND(B37&lt;&gt;""),IF($L$9&lt;&gt;0,VLOOKUP(L37/$L$9*100,TRANSMUTATION_TABLE!$A$2:$B$102,2),""),"")</f>
        <v/>
      </c>
      <c r="N37" s="31"/>
      <c r="O37" s="42" t="str">
        <f>IF(AND(B37&lt;&gt;""),IF($N$9&lt;&gt;0,VLOOKUP(N37/$N$9*100,TRANSMUTATION_TABLE!$A$2:$B$102,2),""),"")</f>
        <v/>
      </c>
      <c r="P37" s="31"/>
      <c r="Q37" s="42" t="str">
        <f>IF(AND(B37&lt;&gt;""),IF($P$9&lt;&gt;0,VLOOKUP(P37/$P$9*100,TRANSMUTATION_TABLE!$A$2:$B$102,2),""),"")</f>
        <v/>
      </c>
      <c r="R37" s="31"/>
      <c r="S37" s="43" t="str">
        <f>IF(AND(B37&lt;&gt;""),IF($R$9&lt;&gt;0,VLOOKUP(R37/$R$9*100,TRANSMUTATION_TABLE!$A$2:$B$102,2),""),"")</f>
        <v/>
      </c>
      <c r="T37" s="48" t="str">
        <f t="shared" si="1"/>
        <v/>
      </c>
      <c r="U37" s="31"/>
      <c r="V37" s="42" t="str">
        <f>IF(AND(B37&lt;&gt;""),IF($U$9&lt;&gt;0,VLOOKUP(U37/$U$9*100,TRANSMUTATION_TABLE!$A$2:$B$102,2),""),"")</f>
        <v/>
      </c>
      <c r="W37" s="31"/>
      <c r="X37" s="42" t="str">
        <f>IF(AND(B37&lt;&gt;""),IF($W$9&lt;&gt;0,VLOOKUP(W37/$W$9*100,TRANSMUTATION_TABLE!$A$2:$B$102,2),""),"")</f>
        <v/>
      </c>
      <c r="Y37" s="31"/>
      <c r="Z37" s="42" t="str">
        <f>IF(AND(B37&lt;&gt;""),IF($Y$9&lt;&gt;0,VLOOKUP(Y37/$Y$9*100,TRANSMUTATION_TABLE!$A$2:$B$102,2),""),"")</f>
        <v/>
      </c>
      <c r="AA37" s="31"/>
      <c r="AB37" s="43" t="str">
        <f>IF(AND(B37&lt;&gt;""),IF($AA$9&lt;&gt;0,VLOOKUP(AA37/$AA$9*100,TRANSMUTATION_TABLE!$A$2:$B$102,2),""),"")</f>
        <v/>
      </c>
      <c r="AC37" s="48" t="str">
        <f t="shared" si="2"/>
        <v/>
      </c>
      <c r="AD37" s="31"/>
      <c r="AE37" s="42" t="str">
        <f>IF(AND(B37&lt;&gt;""),IF($AD$9&lt;&gt;0,VLOOKUP(AD37/$AD$9*100,TRANSMUTATION_TABLE!$A$2:$B$102,2),""),"")</f>
        <v/>
      </c>
      <c r="AF37" s="31">
        <f>Attendance!U34</f>
        <v>0</v>
      </c>
      <c r="AG37" s="87" t="str">
        <f>IF(AND(B37&lt;&gt;""),IF($AF$9&lt;&gt;0,VLOOKUP(AF37/$AF$9*100,TRANSMUTATION_TABLE!$A$2:$B$102,2),""),"")</f>
        <v/>
      </c>
      <c r="AH37" s="31"/>
      <c r="AI37" s="45" t="str">
        <f>IF(AND(B37&lt;&gt;""),IF($AH$9&lt;&gt;0,VLOOKUP(AH37/$AH$9*100,TRANSMUTATION_TABLE!$A$2:$B$102,2),""),"")</f>
        <v/>
      </c>
      <c r="AJ37" s="46" t="str">
        <f>IF(OR(K37&lt;&gt;"",T37&lt;&gt;"",AC37&lt;&gt;"",AI37&lt;&gt;"",AG37&lt;&gt;""),SUM(PRODUCT(K37,IF(Settings!$F$9&lt;&gt;0,Settings!$F$9/100,0)),PRODUCT(Prelim!T37,IF(Settings!$F$10&lt;&gt;0,Settings!$F$10/100,0)),PRODUCT(Prelim!AC37,IF(Settings!$F$11&lt;&gt;0,Settings!$F$11/100,0)),PRODUCT(Prelim!AG37,IF(Settings!$F$12&lt;&gt;0,Settings!$F$12/100,0)),PRODUCT(Prelim!AI37,IF(Settings!$F$13&lt;&gt;0,Settings!$F$13/100,0))),"")</f>
        <v/>
      </c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</row>
    <row r="38" spans="1:56" ht="12" customHeight="1" thickBot="1" x14ac:dyDescent="0.35">
      <c r="A38" s="52"/>
      <c r="B38" s="60"/>
      <c r="C38" s="31"/>
      <c r="D38" s="85" t="str">
        <f>IF(AND(B38&lt;&gt;""),IF($C$9&lt;&gt;0,VLOOKUP(C38/$C$9*100,TRANSMUTATION_TABLE!$A$2:$B$102,2),""),"")</f>
        <v/>
      </c>
      <c r="E38" s="31"/>
      <c r="F38" s="42" t="str">
        <f>IF(AND(B38&lt;&gt;""),IF($E$9&lt;&gt;0,VLOOKUP(E38/$E$9*100,TRANSMUTATION_TABLE!$A$2:$B$102,2),""),"")</f>
        <v/>
      </c>
      <c r="G38" s="31"/>
      <c r="H38" s="42" t="str">
        <f>IF(AND(B38&lt;&gt;""),IF($G$9&lt;&gt;0,VLOOKUP(G38/$G$9*100,TRANSMUTATION_TABLE!$A$2:$B$102,2),""),"")</f>
        <v/>
      </c>
      <c r="I38" s="31"/>
      <c r="J38" s="43" t="str">
        <f>IF(AND(B38&lt;&gt;""),IF($I$9&lt;&gt;0,VLOOKUP(I38/$I$9*100,TRANSMUTATION_TABLE!$A$2:$B$102,2),""),"")</f>
        <v/>
      </c>
      <c r="K38" s="48" t="str">
        <f t="shared" si="0"/>
        <v/>
      </c>
      <c r="L38" s="31"/>
      <c r="M38" s="86" t="str">
        <f>IF(AND(B38&lt;&gt;""),IF($L$9&lt;&gt;0,VLOOKUP(L38/$L$9*100,TRANSMUTATION_TABLE!$A$2:$B$102,2),""),"")</f>
        <v/>
      </c>
      <c r="N38" s="31"/>
      <c r="O38" s="42" t="str">
        <f>IF(AND(B38&lt;&gt;""),IF($N$9&lt;&gt;0,VLOOKUP(N38/$N$9*100,TRANSMUTATION_TABLE!$A$2:$B$102,2),""),"")</f>
        <v/>
      </c>
      <c r="P38" s="31"/>
      <c r="Q38" s="42" t="str">
        <f>IF(AND(B38&lt;&gt;""),IF($P$9&lt;&gt;0,VLOOKUP(P38/$P$9*100,TRANSMUTATION_TABLE!$A$2:$B$102,2),""),"")</f>
        <v/>
      </c>
      <c r="R38" s="31"/>
      <c r="S38" s="43" t="str">
        <f>IF(AND(B38&lt;&gt;""),IF($R$9&lt;&gt;0,VLOOKUP(R38/$R$9*100,TRANSMUTATION_TABLE!$A$2:$B$102,2),""),"")</f>
        <v/>
      </c>
      <c r="T38" s="48" t="str">
        <f t="shared" si="1"/>
        <v/>
      </c>
      <c r="U38" s="31"/>
      <c r="V38" s="42" t="str">
        <f>IF(AND(B38&lt;&gt;""),IF($U$9&lt;&gt;0,VLOOKUP(U38/$U$9*100,TRANSMUTATION_TABLE!$A$2:$B$102,2),""),"")</f>
        <v/>
      </c>
      <c r="W38" s="31"/>
      <c r="X38" s="42" t="str">
        <f>IF(AND(B38&lt;&gt;""),IF($W$9&lt;&gt;0,VLOOKUP(W38/$W$9*100,TRANSMUTATION_TABLE!$A$2:$B$102,2),""),"")</f>
        <v/>
      </c>
      <c r="Y38" s="31"/>
      <c r="Z38" s="42" t="str">
        <f>IF(AND(B38&lt;&gt;""),IF($Y$9&lt;&gt;0,VLOOKUP(Y38/$Y$9*100,TRANSMUTATION_TABLE!$A$2:$B$102,2),""),"")</f>
        <v/>
      </c>
      <c r="AA38" s="31"/>
      <c r="AB38" s="43" t="str">
        <f>IF(AND(B38&lt;&gt;""),IF($AA$9&lt;&gt;0,VLOOKUP(AA38/$AA$9*100,TRANSMUTATION_TABLE!$A$2:$B$102,2),""),"")</f>
        <v/>
      </c>
      <c r="AC38" s="48" t="str">
        <f t="shared" si="2"/>
        <v/>
      </c>
      <c r="AD38" s="31"/>
      <c r="AE38" s="42" t="str">
        <f>IF(AND(B38&lt;&gt;""),IF($AD$9&lt;&gt;0,VLOOKUP(AD38/$AD$9*100,TRANSMUTATION_TABLE!$A$2:$B$102,2),""),"")</f>
        <v/>
      </c>
      <c r="AF38" s="31">
        <f>Attendance!U35</f>
        <v>0</v>
      </c>
      <c r="AG38" s="87" t="str">
        <f>IF(AND(B38&lt;&gt;""),IF($AF$9&lt;&gt;0,VLOOKUP(AF38/$AF$9*100,TRANSMUTATION_TABLE!$A$2:$B$102,2),""),"")</f>
        <v/>
      </c>
      <c r="AH38" s="31"/>
      <c r="AI38" s="45" t="str">
        <f>IF(AND(B38&lt;&gt;""),IF($AH$9&lt;&gt;0,VLOOKUP(AH38/$AH$9*100,TRANSMUTATION_TABLE!$A$2:$B$102,2),""),"")</f>
        <v/>
      </c>
      <c r="AJ38" s="46" t="str">
        <f>IF(OR(K38&lt;&gt;"",T38&lt;&gt;"",AC38&lt;&gt;"",AI38&lt;&gt;"",AG38&lt;&gt;""),SUM(PRODUCT(K38,IF(Settings!$F$9&lt;&gt;0,Settings!$F$9/100,0)),PRODUCT(Prelim!T38,IF(Settings!$F$10&lt;&gt;0,Settings!$F$10/100,0)),PRODUCT(Prelim!AC38,IF(Settings!$F$11&lt;&gt;0,Settings!$F$11/100,0)),PRODUCT(Prelim!AG38,IF(Settings!$F$12&lt;&gt;0,Settings!$F$12/100,0)),PRODUCT(Prelim!AI38,IF(Settings!$F$13&lt;&gt;0,Settings!$F$13/100,0))),"")</f>
        <v/>
      </c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</row>
    <row r="39" spans="1:56" ht="12" customHeight="1" thickBot="1" x14ac:dyDescent="0.35">
      <c r="A39" s="54"/>
      <c r="B39" s="60"/>
      <c r="C39" s="214"/>
      <c r="D39" s="85" t="str">
        <f>IF(AND(B39&lt;&gt;""),IF($C$9&lt;&gt;0,VLOOKUP(C39/$C$9*100,TRANSMUTATION_TABLE!$A$2:$B$102,2),""),"")</f>
        <v/>
      </c>
      <c r="E39" s="214"/>
      <c r="F39" s="42" t="str">
        <f>IF(AND(B39&lt;&gt;""),IF($E$9&lt;&gt;0,VLOOKUP(E39/$E$9*100,TRANSMUTATION_TABLE!$A$2:$B$102,2),""),"")</f>
        <v/>
      </c>
      <c r="G39" s="214"/>
      <c r="H39" s="42" t="str">
        <f>IF(AND(B39&lt;&gt;""),IF($G$9&lt;&gt;0,VLOOKUP(G39/$G$9*100,TRANSMUTATION_TABLE!$A$2:$B$102,2),""),"")</f>
        <v/>
      </c>
      <c r="I39" s="214"/>
      <c r="J39" s="43" t="str">
        <f>IF(AND(B39&lt;&gt;""),IF($I$9&lt;&gt;0,VLOOKUP(I39/$I$9*100,TRANSMUTATION_TABLE!$A$2:$B$102,2),""),"")</f>
        <v/>
      </c>
      <c r="K39" s="48" t="str">
        <f t="shared" si="0"/>
        <v/>
      </c>
      <c r="L39" s="214"/>
      <c r="M39" s="86" t="str">
        <f>IF(AND(B39&lt;&gt;""),IF($L$9&lt;&gt;0,VLOOKUP(L39/$L$9*100,TRANSMUTATION_TABLE!$A$2:$B$102,2),""),"")</f>
        <v/>
      </c>
      <c r="N39" s="214"/>
      <c r="O39" s="42" t="str">
        <f>IF(AND(B39&lt;&gt;""),IF($N$9&lt;&gt;0,VLOOKUP(N39/$N$9*100,TRANSMUTATION_TABLE!$A$2:$B$102,2),""),"")</f>
        <v/>
      </c>
      <c r="P39" s="214"/>
      <c r="Q39" s="42" t="str">
        <f>IF(AND(B39&lt;&gt;""),IF($P$9&lt;&gt;0,VLOOKUP(P39/$P$9*100,TRANSMUTATION_TABLE!$A$2:$B$102,2),""),"")</f>
        <v/>
      </c>
      <c r="R39" s="214"/>
      <c r="S39" s="43" t="str">
        <f>IF(AND(B39&lt;&gt;""),IF($R$9&lt;&gt;0,VLOOKUP(R39/$R$9*100,TRANSMUTATION_TABLE!$A$2:$B$102,2),""),"")</f>
        <v/>
      </c>
      <c r="T39" s="48" t="str">
        <f t="shared" si="1"/>
        <v/>
      </c>
      <c r="U39" s="214"/>
      <c r="V39" s="42" t="str">
        <f>IF(AND(B39&lt;&gt;""),IF($U$9&lt;&gt;0,VLOOKUP(U39/$U$9*100,TRANSMUTATION_TABLE!$A$2:$B$102,2),""),"")</f>
        <v/>
      </c>
      <c r="W39" s="214"/>
      <c r="X39" s="42" t="str">
        <f>IF(AND(B39&lt;&gt;""),IF($W$9&lt;&gt;0,VLOOKUP(W39/$W$9*100,TRANSMUTATION_TABLE!$A$2:$B$102,2),""),"")</f>
        <v/>
      </c>
      <c r="Y39" s="214"/>
      <c r="Z39" s="42" t="str">
        <f>IF(AND(B39&lt;&gt;""),IF($Y$9&lt;&gt;0,VLOOKUP(Y39/$Y$9*100,TRANSMUTATION_TABLE!$A$2:$B$102,2),""),"")</f>
        <v/>
      </c>
      <c r="AA39" s="214"/>
      <c r="AB39" s="43" t="str">
        <f>IF(AND(B39&lt;&gt;""),IF($AA$9&lt;&gt;0,VLOOKUP(AA39/$AA$9*100,TRANSMUTATION_TABLE!$A$2:$B$102,2),""),"")</f>
        <v/>
      </c>
      <c r="AC39" s="48" t="str">
        <f t="shared" si="2"/>
        <v/>
      </c>
      <c r="AD39" s="214"/>
      <c r="AE39" s="42" t="str">
        <f>IF(AND(B39&lt;&gt;""),IF($AD$9&lt;&gt;0,VLOOKUP(AD39/$AD$9*100,TRANSMUTATION_TABLE!$A$2:$B$102,2),""),"")</f>
        <v/>
      </c>
      <c r="AF39" s="214">
        <f>Attendance!U36</f>
        <v>0</v>
      </c>
      <c r="AG39" s="87" t="str">
        <f>IF(AND(B39&lt;&gt;""),IF($AF$9&lt;&gt;0,VLOOKUP(AF39/$AF$9*100,TRANSMUTATION_TABLE!$A$2:$B$102,2),""),"")</f>
        <v/>
      </c>
      <c r="AH39" s="214"/>
      <c r="AI39" s="45" t="str">
        <f>IF(AND(B39&lt;&gt;""),IF($AH$9&lt;&gt;0,VLOOKUP(AH39/$AH$9*100,TRANSMUTATION_TABLE!$A$2:$B$102,2),""),"")</f>
        <v/>
      </c>
      <c r="AJ39" s="46" t="str">
        <f>IF(OR(K39&lt;&gt;"",T39&lt;&gt;"",AC39&lt;&gt;"",AI39&lt;&gt;"",AG39&lt;&gt;""),SUM(PRODUCT(K39,IF(Settings!$F$9&lt;&gt;0,Settings!$F$9/100,0)),PRODUCT(Prelim!T39,IF(Settings!$F$10&lt;&gt;0,Settings!$F$10/100,0)),PRODUCT(Prelim!AC39,IF(Settings!$F$11&lt;&gt;0,Settings!$F$11/100,0)),PRODUCT(Prelim!AG39,IF(Settings!$F$12&lt;&gt;0,Settings!$F$12/100,0)),PRODUCT(Prelim!AI39,IF(Settings!$F$13&lt;&gt;0,Settings!$F$13/100,0))),"")</f>
        <v/>
      </c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</row>
    <row r="40" spans="1:56" ht="12" customHeight="1" thickBot="1" x14ac:dyDescent="0.35">
      <c r="A40" s="47"/>
      <c r="B40" s="60"/>
      <c r="C40" s="31"/>
      <c r="D40" s="85" t="str">
        <f>IF(AND(B40&lt;&gt;""),IF($C$9&lt;&gt;0,VLOOKUP(C40/$C$9*100,TRANSMUTATION_TABLE!$A$2:$B$102,2),""),"")</f>
        <v/>
      </c>
      <c r="E40" s="31"/>
      <c r="F40" s="42" t="str">
        <f>IF(AND(B40&lt;&gt;""),IF($E$9&lt;&gt;0,VLOOKUP(E40/$E$9*100,TRANSMUTATION_TABLE!$A$2:$B$102,2),""),"")</f>
        <v/>
      </c>
      <c r="G40" s="31"/>
      <c r="H40" s="42" t="str">
        <f>IF(AND(B40&lt;&gt;""),IF($G$9&lt;&gt;0,VLOOKUP(G40/$G$9*100,TRANSMUTATION_TABLE!$A$2:$B$102,2),""),"")</f>
        <v/>
      </c>
      <c r="I40" s="31"/>
      <c r="J40" s="43" t="str">
        <f>IF(AND(B40&lt;&gt;""),IF($I$9&lt;&gt;0,VLOOKUP(I40/$I$9*100,TRANSMUTATION_TABLE!$A$2:$B$102,2),""),"")</f>
        <v/>
      </c>
      <c r="K40" s="48" t="str">
        <f t="shared" si="0"/>
        <v/>
      </c>
      <c r="L40" s="31"/>
      <c r="M40" s="88" t="str">
        <f>IF(AND(B40&lt;&gt;""),IF($L$9&lt;&gt;0,VLOOKUP(L40/$L$9*100,TRANSMUTATION_TABLE!$A$2:$B$102,2),""),"")</f>
        <v/>
      </c>
      <c r="N40" s="31"/>
      <c r="O40" s="57" t="str">
        <f>IF(AND(B40&lt;&gt;""),IF($N$9&lt;&gt;0,VLOOKUP(N40/$N$9*100,TRANSMUTATION_TABLE!$A$2:$B$102,2),""),"")</f>
        <v/>
      </c>
      <c r="P40" s="31"/>
      <c r="Q40" s="57" t="str">
        <f>IF(AND(B40&lt;&gt;""),IF($P$9&lt;&gt;0,VLOOKUP(P40/$P$9*100,TRANSMUTATION_TABLE!$A$2:$B$102,2),""),"")</f>
        <v/>
      </c>
      <c r="R40" s="31"/>
      <c r="S40" s="89" t="str">
        <f>IF(AND(B40&lt;&gt;""),IF($R$9&lt;&gt;0,VLOOKUP(R40/$R$9*100,TRANSMUTATION_TABLE!$A$2:$B$102,2),""),"")</f>
        <v/>
      </c>
      <c r="T40" s="48" t="str">
        <f t="shared" si="1"/>
        <v/>
      </c>
      <c r="U40" s="31"/>
      <c r="V40" s="57" t="str">
        <f>IF(AND(B40&lt;&gt;""),IF($U$9&lt;&gt;0,VLOOKUP(U40/$U$9*100,TRANSMUTATION_TABLE!$A$2:$B$102,2),""),"")</f>
        <v/>
      </c>
      <c r="W40" s="31"/>
      <c r="X40" s="57" t="str">
        <f>IF(AND(B40&lt;&gt;""),IF($W$9&lt;&gt;0,VLOOKUP(W40/$W$9*100,TRANSMUTATION_TABLE!$A$2:$B$102,2),""),"")</f>
        <v/>
      </c>
      <c r="Y40" s="31"/>
      <c r="Z40" s="57" t="str">
        <f>IF(AND(B40&lt;&gt;""),IF($Y$9&lt;&gt;0,VLOOKUP(Y40/$Y$9*100,TRANSMUTATION_TABLE!$A$2:$B$102,2),""),"")</f>
        <v/>
      </c>
      <c r="AA40" s="31"/>
      <c r="AB40" s="89" t="str">
        <f>IF(AND(B40&lt;&gt;""),IF($AA$9&lt;&gt;0,VLOOKUP(AA40/$AA$9*100,TRANSMUTATION_TABLE!$A$2:$B$102,2),""),"")</f>
        <v/>
      </c>
      <c r="AC40" s="48" t="str">
        <f t="shared" si="2"/>
        <v/>
      </c>
      <c r="AD40" s="31"/>
      <c r="AE40" s="57" t="str">
        <f>IF(AND(B40&lt;&gt;""),IF($AD$9&lt;&gt;0,VLOOKUP(AD40/$AD$9*100,TRANSMUTATION_TABLE!$A$2:$B$102,2),""),"")</f>
        <v/>
      </c>
      <c r="AF40" s="31">
        <f>Attendance!U37</f>
        <v>0</v>
      </c>
      <c r="AG40" s="87" t="str">
        <f>IF(AND(B40&lt;&gt;""),IF($AF$9&lt;&gt;0,VLOOKUP(AF40/$AF$9*100,TRANSMUTATION_TABLE!$A$2:$B$102,2),""),"")</f>
        <v/>
      </c>
      <c r="AH40" s="31"/>
      <c r="AI40" s="45" t="str">
        <f>IF(AND(B40&lt;&gt;""),IF($AH$9&lt;&gt;0,VLOOKUP(AH40/$AH$9*100,TRANSMUTATION_TABLE!$A$2:$B$102,2),""),"")</f>
        <v/>
      </c>
      <c r="AJ40" s="46" t="str">
        <f>IF(OR(K40&lt;&gt;"",T40&lt;&gt;"",AC40&lt;&gt;"",AI40&lt;&gt;"",AG40&lt;&gt;""),SUM(PRODUCT(K40,IF(Settings!$F$9&lt;&gt;0,Settings!$F$9/100,0)),PRODUCT(Prelim!T40,IF(Settings!$F$10&lt;&gt;0,Settings!$F$10/100,0)),PRODUCT(Prelim!AC40,IF(Settings!$F$11&lt;&gt;0,Settings!$F$11/100,0)),PRODUCT(Prelim!AG40,IF(Settings!$F$12&lt;&gt;0,Settings!$F$12/100,0)),PRODUCT(Prelim!AI40,IF(Settings!$F$13&lt;&gt;0,Settings!$F$13/100,0))),"")</f>
        <v/>
      </c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</row>
    <row r="41" spans="1:56" ht="12" customHeight="1" thickBot="1" x14ac:dyDescent="0.35">
      <c r="A41" s="52"/>
      <c r="B41" s="60"/>
      <c r="C41" s="31"/>
      <c r="D41" s="85" t="str">
        <f>IF(AND(B41&lt;&gt;""),IF($C$9&lt;&gt;0,VLOOKUP(C41/$C$9*100,TRANSMUTATION_TABLE!$A$2:$B$102,2),""),"")</f>
        <v/>
      </c>
      <c r="E41" s="31"/>
      <c r="F41" s="42" t="str">
        <f>IF(AND(B41&lt;&gt;""),IF($E$9&lt;&gt;0,VLOOKUP(E41/$E$9*100,TRANSMUTATION_TABLE!$A$2:$B$102,2),""),"")</f>
        <v/>
      </c>
      <c r="G41" s="31"/>
      <c r="H41" s="42" t="str">
        <f>IF(AND(B41&lt;&gt;""),IF($G$9&lt;&gt;0,VLOOKUP(G41/$G$9*100,TRANSMUTATION_TABLE!$A$2:$B$102,2),""),"")</f>
        <v/>
      </c>
      <c r="I41" s="31"/>
      <c r="J41" s="43" t="str">
        <f>IF(AND(B41&lt;&gt;""),IF($I$9&lt;&gt;0,VLOOKUP(I41/$I$9*100,TRANSMUTATION_TABLE!$A$2:$B$102,2),""),"")</f>
        <v/>
      </c>
      <c r="K41" s="48" t="str">
        <f t="shared" si="0"/>
        <v/>
      </c>
      <c r="L41" s="31"/>
      <c r="M41" s="86" t="str">
        <f>IF(AND(B41&lt;&gt;""),IF($L$9&lt;&gt;0,VLOOKUP(L41/$L$9*100,TRANSMUTATION_TABLE!$A$2:$B$102,2),""),"")</f>
        <v/>
      </c>
      <c r="N41" s="31"/>
      <c r="O41" s="42" t="str">
        <f>IF(AND(B41&lt;&gt;""),IF($N$9&lt;&gt;0,VLOOKUP(N41/$N$9*100,TRANSMUTATION_TABLE!$A$2:$B$102,2),""),"")</f>
        <v/>
      </c>
      <c r="P41" s="31"/>
      <c r="Q41" s="42" t="str">
        <f>IF(AND(B41&lt;&gt;""),IF($P$9&lt;&gt;0,VLOOKUP(P41/$P$9*100,TRANSMUTATION_TABLE!$A$2:$B$102,2),""),"")</f>
        <v/>
      </c>
      <c r="R41" s="31"/>
      <c r="S41" s="43" t="str">
        <f>IF(AND(B41&lt;&gt;""),IF($R$9&lt;&gt;0,VLOOKUP(R41/$R$9*100,TRANSMUTATION_TABLE!$A$2:$B$102,2),""),"")</f>
        <v/>
      </c>
      <c r="T41" s="48" t="str">
        <f t="shared" si="1"/>
        <v/>
      </c>
      <c r="U41" s="31"/>
      <c r="V41" s="42" t="str">
        <f>IF(AND(B41&lt;&gt;""),IF($U$9&lt;&gt;0,VLOOKUP(U41/$U$9*100,TRANSMUTATION_TABLE!$A$2:$B$102,2),""),"")</f>
        <v/>
      </c>
      <c r="W41" s="31"/>
      <c r="X41" s="42" t="str">
        <f>IF(AND(B41&lt;&gt;""),IF($W$9&lt;&gt;0,VLOOKUP(W41/$W$9*100,TRANSMUTATION_TABLE!$A$2:$B$102,2),""),"")</f>
        <v/>
      </c>
      <c r="Y41" s="31"/>
      <c r="Z41" s="42" t="str">
        <f>IF(AND(B41&lt;&gt;""),IF($Y$9&lt;&gt;0,VLOOKUP(Y41/$Y$9*100,TRANSMUTATION_TABLE!$A$2:$B$102,2),""),"")</f>
        <v/>
      </c>
      <c r="AA41" s="31"/>
      <c r="AB41" s="43" t="str">
        <f>IF(AND(B41&lt;&gt;""),IF($AA$9&lt;&gt;0,VLOOKUP(AA41/$AA$9*100,TRANSMUTATION_TABLE!$A$2:$B$102,2),""),"")</f>
        <v/>
      </c>
      <c r="AC41" s="48" t="str">
        <f t="shared" si="2"/>
        <v/>
      </c>
      <c r="AD41" s="31"/>
      <c r="AE41" s="42" t="str">
        <f>IF(AND(B41&lt;&gt;""),IF($AD$9&lt;&gt;0,VLOOKUP(AD41/$AD$9*100,TRANSMUTATION_TABLE!$A$2:$B$102,2),""),"")</f>
        <v/>
      </c>
      <c r="AF41" s="31">
        <f>Attendance!U38</f>
        <v>0</v>
      </c>
      <c r="AG41" s="87" t="str">
        <f>IF(AND(B41&lt;&gt;""),IF($AF$9&lt;&gt;0,VLOOKUP(AF41/$AF$9*100,TRANSMUTATION_TABLE!$A$2:$B$102,2),""),"")</f>
        <v/>
      </c>
      <c r="AH41" s="31"/>
      <c r="AI41" s="45" t="str">
        <f>IF(AND(B41&lt;&gt;""),IF($AH$9&lt;&gt;0,VLOOKUP(AH41/$AH$9*100,TRANSMUTATION_TABLE!$A$2:$B$102,2),""),"")</f>
        <v/>
      </c>
      <c r="AJ41" s="46" t="str">
        <f>IF(OR(K41&lt;&gt;"",T41&lt;&gt;"",AC41&lt;&gt;"",AI41&lt;&gt;"",AG41&lt;&gt;""),SUM(PRODUCT(K41,IF(Settings!$F$9&lt;&gt;0,Settings!$F$9/100,0)),PRODUCT(Prelim!T41,IF(Settings!$F$10&lt;&gt;0,Settings!$F$10/100,0)),PRODUCT(Prelim!AC41,IF(Settings!$F$11&lt;&gt;0,Settings!$F$11/100,0)),PRODUCT(Prelim!AG41,IF(Settings!$F$12&lt;&gt;0,Settings!$F$12/100,0)),PRODUCT(Prelim!AI41,IF(Settings!$F$13&lt;&gt;0,Settings!$F$13/100,0))),"")</f>
        <v/>
      </c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</row>
    <row r="42" spans="1:56" ht="12" customHeight="1" thickBot="1" x14ac:dyDescent="0.35">
      <c r="A42" s="52"/>
      <c r="B42" s="60"/>
      <c r="C42" s="31"/>
      <c r="D42" s="85" t="str">
        <f>IF(AND(B42&lt;&gt;""),IF($C$9&lt;&gt;0,VLOOKUP(C42/$C$9*100,TRANSMUTATION_TABLE!$A$2:$B$102,2),""),"")</f>
        <v/>
      </c>
      <c r="E42" s="31"/>
      <c r="F42" s="42" t="str">
        <f>IF(AND(B42&lt;&gt;""),IF($E$9&lt;&gt;0,VLOOKUP(E42/$E$9*100,TRANSMUTATION_TABLE!$A$2:$B$102,2),""),"")</f>
        <v/>
      </c>
      <c r="G42" s="31"/>
      <c r="H42" s="42" t="str">
        <f>IF(AND(B42&lt;&gt;""),IF($G$9&lt;&gt;0,VLOOKUP(G42/$G$9*100,TRANSMUTATION_TABLE!$A$2:$B$102,2),""),"")</f>
        <v/>
      </c>
      <c r="I42" s="31"/>
      <c r="J42" s="43" t="str">
        <f>IF(AND(B42&lt;&gt;""),IF($I$9&lt;&gt;0,VLOOKUP(I42/$I$9*100,TRANSMUTATION_TABLE!$A$2:$B$102,2),""),"")</f>
        <v/>
      </c>
      <c r="K42" s="48" t="str">
        <f t="shared" si="0"/>
        <v/>
      </c>
      <c r="L42" s="31"/>
      <c r="M42" s="86" t="str">
        <f>IF(AND(B42&lt;&gt;""),IF($L$9&lt;&gt;0,VLOOKUP(L42/$L$9*100,TRANSMUTATION_TABLE!$A$2:$B$102,2),""),"")</f>
        <v/>
      </c>
      <c r="N42" s="31"/>
      <c r="O42" s="42" t="str">
        <f>IF(AND(B42&lt;&gt;""),IF($N$9&lt;&gt;0,VLOOKUP(N42/$N$9*100,TRANSMUTATION_TABLE!$A$2:$B$102,2),""),"")</f>
        <v/>
      </c>
      <c r="P42" s="31"/>
      <c r="Q42" s="42" t="str">
        <f>IF(AND(B42&lt;&gt;""),IF($P$9&lt;&gt;0,VLOOKUP(P42/$P$9*100,TRANSMUTATION_TABLE!$A$2:$B$102,2),""),"")</f>
        <v/>
      </c>
      <c r="R42" s="31"/>
      <c r="S42" s="43" t="str">
        <f>IF(AND(B42&lt;&gt;""),IF($R$9&lt;&gt;0,VLOOKUP(R42/$R$9*100,TRANSMUTATION_TABLE!$A$2:$B$102,2),""),"")</f>
        <v/>
      </c>
      <c r="T42" s="48" t="str">
        <f t="shared" si="1"/>
        <v/>
      </c>
      <c r="U42" s="31"/>
      <c r="V42" s="42" t="str">
        <f>IF(AND(B42&lt;&gt;""),IF($U$9&lt;&gt;0,VLOOKUP(U42/$U$9*100,TRANSMUTATION_TABLE!$A$2:$B$102,2),""),"")</f>
        <v/>
      </c>
      <c r="W42" s="31"/>
      <c r="X42" s="42" t="str">
        <f>IF(AND(B42&lt;&gt;""),IF($W$9&lt;&gt;0,VLOOKUP(W42/$W$9*100,TRANSMUTATION_TABLE!$A$2:$B$102,2),""),"")</f>
        <v/>
      </c>
      <c r="Y42" s="31"/>
      <c r="Z42" s="42" t="str">
        <f>IF(AND(B42&lt;&gt;""),IF($Y$9&lt;&gt;0,VLOOKUP(Y42/$Y$9*100,TRANSMUTATION_TABLE!$A$2:$B$102,2),""),"")</f>
        <v/>
      </c>
      <c r="AA42" s="31"/>
      <c r="AB42" s="43" t="str">
        <f>IF(AND(B42&lt;&gt;""),IF($AA$9&lt;&gt;0,VLOOKUP(AA42/$AA$9*100,TRANSMUTATION_TABLE!$A$2:$B$102,2),""),"")</f>
        <v/>
      </c>
      <c r="AC42" s="48" t="str">
        <f t="shared" si="2"/>
        <v/>
      </c>
      <c r="AD42" s="31"/>
      <c r="AE42" s="42" t="str">
        <f>IF(AND(B42&lt;&gt;""),IF($AD$9&lt;&gt;0,VLOOKUP(AD42/$AD$9*100,TRANSMUTATION_TABLE!$A$2:$B$102,2),""),"")</f>
        <v/>
      </c>
      <c r="AF42" s="31">
        <f>Attendance!U39</f>
        <v>0</v>
      </c>
      <c r="AG42" s="87" t="str">
        <f>IF(AND(B42&lt;&gt;""),IF($AF$9&lt;&gt;0,VLOOKUP(AF42/$AF$9*100,TRANSMUTATION_TABLE!$A$2:$B$102,2),""),"")</f>
        <v/>
      </c>
      <c r="AH42" s="31"/>
      <c r="AI42" s="45" t="str">
        <f>IF(AND(B42&lt;&gt;""),IF($AH$9&lt;&gt;0,VLOOKUP(AH42/$AH$9*100,TRANSMUTATION_TABLE!$A$2:$B$102,2),""),"")</f>
        <v/>
      </c>
      <c r="AJ42" s="46" t="str">
        <f>IF(OR(K42&lt;&gt;"",T42&lt;&gt;"",AC42&lt;&gt;"",AI42&lt;&gt;"",AG42&lt;&gt;""),SUM(PRODUCT(K42,IF(Settings!$F$9&lt;&gt;0,Settings!$F$9/100,0)),PRODUCT(Prelim!T42,IF(Settings!$F$10&lt;&gt;0,Settings!$F$10/100,0)),PRODUCT(Prelim!AC42,IF(Settings!$F$11&lt;&gt;0,Settings!$F$11/100,0)),PRODUCT(Prelim!AG42,IF(Settings!$F$12&lt;&gt;0,Settings!$F$12/100,0)),PRODUCT(Prelim!AI42,IF(Settings!$F$13&lt;&gt;0,Settings!$F$13/100,0))),"")</f>
        <v/>
      </c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</row>
    <row r="43" spans="1:56" ht="12" customHeight="1" thickBot="1" x14ac:dyDescent="0.35">
      <c r="A43" s="52"/>
      <c r="B43" s="60"/>
      <c r="C43" s="31"/>
      <c r="D43" s="85" t="str">
        <f>IF(AND(B43&lt;&gt;""),IF($C$9&lt;&gt;0,VLOOKUP(C43/$C$9*100,TRANSMUTATION_TABLE!$A$2:$B$102,2),""),"")</f>
        <v/>
      </c>
      <c r="E43" s="31"/>
      <c r="F43" s="42" t="str">
        <f>IF(AND(B43&lt;&gt;""),IF($E$9&lt;&gt;0,VLOOKUP(E43/$E$9*100,TRANSMUTATION_TABLE!$A$2:$B$102,2),""),"")</f>
        <v/>
      </c>
      <c r="G43" s="31"/>
      <c r="H43" s="42" t="str">
        <f>IF(AND(B43&lt;&gt;""),IF($G$9&lt;&gt;0,VLOOKUP(G43/$G$9*100,TRANSMUTATION_TABLE!$A$2:$B$102,2),""),"")</f>
        <v/>
      </c>
      <c r="I43" s="31"/>
      <c r="J43" s="43" t="str">
        <f>IF(AND(B43&lt;&gt;""),IF($I$9&lt;&gt;0,VLOOKUP(I43/$I$9*100,TRANSMUTATION_TABLE!$A$2:$B$102,2),""),"")</f>
        <v/>
      </c>
      <c r="K43" s="48" t="str">
        <f t="shared" si="0"/>
        <v/>
      </c>
      <c r="L43" s="31"/>
      <c r="M43" s="86" t="str">
        <f>IF(AND(B43&lt;&gt;""),IF($L$9&lt;&gt;0,VLOOKUP(L43/$L$9*100,TRANSMUTATION_TABLE!$A$2:$B$102,2),""),"")</f>
        <v/>
      </c>
      <c r="N43" s="31"/>
      <c r="O43" s="42" t="str">
        <f>IF(AND(B43&lt;&gt;""),IF($N$9&lt;&gt;0,VLOOKUP(N43/$N$9*100,TRANSMUTATION_TABLE!$A$2:$B$102,2),""),"")</f>
        <v/>
      </c>
      <c r="P43" s="31"/>
      <c r="Q43" s="42" t="str">
        <f>IF(AND(B43&lt;&gt;""),IF($P$9&lt;&gt;0,VLOOKUP(P43/$P$9*100,TRANSMUTATION_TABLE!$A$2:$B$102,2),""),"")</f>
        <v/>
      </c>
      <c r="R43" s="31"/>
      <c r="S43" s="43" t="str">
        <f>IF(AND(B43&lt;&gt;""),IF($R$9&lt;&gt;0,VLOOKUP(R43/$R$9*100,TRANSMUTATION_TABLE!$A$2:$B$102,2),""),"")</f>
        <v/>
      </c>
      <c r="T43" s="48" t="str">
        <f t="shared" si="1"/>
        <v/>
      </c>
      <c r="U43" s="31"/>
      <c r="V43" s="42" t="str">
        <f>IF(AND(B43&lt;&gt;""),IF($U$9&lt;&gt;0,VLOOKUP(U43/$U$9*100,TRANSMUTATION_TABLE!$A$2:$B$102,2),""),"")</f>
        <v/>
      </c>
      <c r="W43" s="31"/>
      <c r="X43" s="42" t="str">
        <f>IF(AND(B43&lt;&gt;""),IF($W$9&lt;&gt;0,VLOOKUP(W43/$W$9*100,TRANSMUTATION_TABLE!$A$2:$B$102,2),""),"")</f>
        <v/>
      </c>
      <c r="Y43" s="31"/>
      <c r="Z43" s="42" t="str">
        <f>IF(AND(B43&lt;&gt;""),IF($Y$9&lt;&gt;0,VLOOKUP(Y43/$Y$9*100,TRANSMUTATION_TABLE!$A$2:$B$102,2),""),"")</f>
        <v/>
      </c>
      <c r="AA43" s="31"/>
      <c r="AB43" s="43" t="str">
        <f>IF(AND(B43&lt;&gt;""),IF($AA$9&lt;&gt;0,VLOOKUP(AA43/$AA$9*100,TRANSMUTATION_TABLE!$A$2:$B$102,2),""),"")</f>
        <v/>
      </c>
      <c r="AC43" s="48" t="str">
        <f t="shared" si="2"/>
        <v/>
      </c>
      <c r="AD43" s="31"/>
      <c r="AE43" s="42" t="str">
        <f>IF(AND(B43&lt;&gt;""),IF($AD$9&lt;&gt;0,VLOOKUP(AD43/$AD$9*100,TRANSMUTATION_TABLE!$A$2:$B$102,2),""),"")</f>
        <v/>
      </c>
      <c r="AF43" s="31">
        <f>Attendance!U40</f>
        <v>0</v>
      </c>
      <c r="AG43" s="87" t="str">
        <f>IF(AND(B43&lt;&gt;""),IF($AF$9&lt;&gt;0,VLOOKUP(AF43/$AF$9*100,TRANSMUTATION_TABLE!$A$2:$B$102,2),""),"")</f>
        <v/>
      </c>
      <c r="AH43" s="31"/>
      <c r="AI43" s="45" t="str">
        <f>IF(AND(B43&lt;&gt;""),IF($AH$9&lt;&gt;0,VLOOKUP(AH43/$AH$9*100,TRANSMUTATION_TABLE!$A$2:$B$102,2),""),"")</f>
        <v/>
      </c>
      <c r="AJ43" s="46" t="str">
        <f>IF(OR(K43&lt;&gt;"",T43&lt;&gt;"",AC43&lt;&gt;"",AI43&lt;&gt;"",AG43&lt;&gt;""),SUM(PRODUCT(K43,IF(Settings!$F$9&lt;&gt;0,Settings!$F$9/100,0)),PRODUCT(Prelim!T43,IF(Settings!$F$10&lt;&gt;0,Settings!$F$10/100,0)),PRODUCT(Prelim!AC43,IF(Settings!$F$11&lt;&gt;0,Settings!$F$11/100,0)),PRODUCT(Prelim!AG43,IF(Settings!$F$12&lt;&gt;0,Settings!$F$12/100,0)),PRODUCT(Prelim!AI43,IF(Settings!$F$13&lt;&gt;0,Settings!$F$13/100,0))),"")</f>
        <v/>
      </c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</row>
    <row r="44" spans="1:56" ht="12" customHeight="1" thickBot="1" x14ac:dyDescent="0.35">
      <c r="A44" s="54"/>
      <c r="B44" s="60"/>
      <c r="C44" s="214"/>
      <c r="D44" s="85" t="str">
        <f>IF(AND(B44&lt;&gt;""),IF($C$9&lt;&gt;0,VLOOKUP(C44/$C$9*100,TRANSMUTATION_TABLE!$A$2:$B$102,2),""),"")</f>
        <v/>
      </c>
      <c r="E44" s="214"/>
      <c r="F44" s="42" t="str">
        <f>IF(AND(B44&lt;&gt;""),IF($E$9&lt;&gt;0,VLOOKUP(E44/$E$9*100,TRANSMUTATION_TABLE!$A$2:$B$102,2),""),"")</f>
        <v/>
      </c>
      <c r="G44" s="214"/>
      <c r="H44" s="42" t="str">
        <f>IF(AND(B44&lt;&gt;""),IF($G$9&lt;&gt;0,VLOOKUP(G44/$G$9*100,TRANSMUTATION_TABLE!$A$2:$B$102,2),""),"")</f>
        <v/>
      </c>
      <c r="I44" s="214"/>
      <c r="J44" s="43" t="str">
        <f>IF(AND(B44&lt;&gt;""),IF($I$9&lt;&gt;0,VLOOKUP(I44/$I$9*100,TRANSMUTATION_TABLE!$A$2:$B$102,2),""),"")</f>
        <v/>
      </c>
      <c r="K44" s="48" t="str">
        <f t="shared" si="0"/>
        <v/>
      </c>
      <c r="L44" s="214"/>
      <c r="M44" s="86" t="str">
        <f>IF(AND(B44&lt;&gt;""),IF($L$9&lt;&gt;0,VLOOKUP(L44/$L$9*100,TRANSMUTATION_TABLE!$A$2:$B$102,2),""),"")</f>
        <v/>
      </c>
      <c r="N44" s="214"/>
      <c r="O44" s="42" t="str">
        <f>IF(AND(B44&lt;&gt;""),IF($N$9&lt;&gt;0,VLOOKUP(N44/$N$9*100,TRANSMUTATION_TABLE!$A$2:$B$102,2),""),"")</f>
        <v/>
      </c>
      <c r="P44" s="214"/>
      <c r="Q44" s="42" t="str">
        <f>IF(AND(B44&lt;&gt;""),IF($P$9&lt;&gt;0,VLOOKUP(P44/$P$9*100,TRANSMUTATION_TABLE!$A$2:$B$102,2),""),"")</f>
        <v/>
      </c>
      <c r="R44" s="214"/>
      <c r="S44" s="43" t="str">
        <f>IF(AND(B44&lt;&gt;""),IF($R$9&lt;&gt;0,VLOOKUP(R44/$R$9*100,TRANSMUTATION_TABLE!$A$2:$B$102,2),""),"")</f>
        <v/>
      </c>
      <c r="T44" s="48" t="str">
        <f t="shared" si="1"/>
        <v/>
      </c>
      <c r="U44" s="214"/>
      <c r="V44" s="42" t="str">
        <f>IF(AND(B44&lt;&gt;""),IF($U$9&lt;&gt;0,VLOOKUP(U44/$U$9*100,TRANSMUTATION_TABLE!$A$2:$B$102,2),""),"")</f>
        <v/>
      </c>
      <c r="W44" s="214"/>
      <c r="X44" s="42" t="str">
        <f>IF(AND(B44&lt;&gt;""),IF($W$9&lt;&gt;0,VLOOKUP(W44/$W$9*100,TRANSMUTATION_TABLE!$A$2:$B$102,2),""),"")</f>
        <v/>
      </c>
      <c r="Y44" s="214"/>
      <c r="Z44" s="42" t="str">
        <f>IF(AND(B44&lt;&gt;""),IF($Y$9&lt;&gt;0,VLOOKUP(Y44/$Y$9*100,TRANSMUTATION_TABLE!$A$2:$B$102,2),""),"")</f>
        <v/>
      </c>
      <c r="AA44" s="214"/>
      <c r="AB44" s="43" t="str">
        <f>IF(AND(B44&lt;&gt;""),IF($AA$9&lt;&gt;0,VLOOKUP(AA44/$AA$9*100,TRANSMUTATION_TABLE!$A$2:$B$102,2),""),"")</f>
        <v/>
      </c>
      <c r="AC44" s="48" t="str">
        <f t="shared" si="2"/>
        <v/>
      </c>
      <c r="AD44" s="214"/>
      <c r="AE44" s="42" t="str">
        <f>IF(AND(B44&lt;&gt;""),IF($AD$9&lt;&gt;0,VLOOKUP(AD44/$AD$9*100,TRANSMUTATION_TABLE!$A$2:$B$102,2),""),"")</f>
        <v/>
      </c>
      <c r="AF44" s="214">
        <f>Attendance!U41</f>
        <v>0</v>
      </c>
      <c r="AG44" s="87" t="str">
        <f>IF(AND(B44&lt;&gt;""),IF($AF$9&lt;&gt;0,VLOOKUP(AF44/$AF$9*100,TRANSMUTATION_TABLE!$A$2:$B$102,2),""),"")</f>
        <v/>
      </c>
      <c r="AH44" s="214"/>
      <c r="AI44" s="45" t="str">
        <f>IF(AND(B44&lt;&gt;""),IF($AH$9&lt;&gt;0,VLOOKUP(AH44/$AH$9*100,TRANSMUTATION_TABLE!$A$2:$B$102,2),""),"")</f>
        <v/>
      </c>
      <c r="AJ44" s="46" t="str">
        <f>IF(OR(K44&lt;&gt;"",T44&lt;&gt;"",AC44&lt;&gt;"",AI44&lt;&gt;"",AG44&lt;&gt;""),SUM(PRODUCT(K44,IF(Settings!$F$9&lt;&gt;0,Settings!$F$9/100,0)),PRODUCT(Prelim!T44,IF(Settings!$F$10&lt;&gt;0,Settings!$F$10/100,0)),PRODUCT(Prelim!AC44,IF(Settings!$F$11&lt;&gt;0,Settings!$F$11/100,0)),PRODUCT(Prelim!AG44,IF(Settings!$F$12&lt;&gt;0,Settings!$F$12/100,0)),PRODUCT(Prelim!AI44,IF(Settings!$F$13&lt;&gt;0,Settings!$F$13/100,0))),"")</f>
        <v/>
      </c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</row>
    <row r="45" spans="1:56" ht="12" customHeight="1" thickBot="1" x14ac:dyDescent="0.35">
      <c r="A45" s="59"/>
      <c r="B45" s="60"/>
      <c r="C45" s="31"/>
      <c r="D45" s="85" t="str">
        <f>IF(AND(B45&lt;&gt;""),IF($C$9&lt;&gt;0,VLOOKUP(C45/$C$9*100,TRANSMUTATION_TABLE!$A$2:$B$102,2),""),"")</f>
        <v/>
      </c>
      <c r="E45" s="31"/>
      <c r="F45" s="42" t="str">
        <f>IF(AND(B45&lt;&gt;""),IF($E$9&lt;&gt;0,VLOOKUP(E45/$E$9*100,TRANSMUTATION_TABLE!$A$2:$B$102,2),""),"")</f>
        <v/>
      </c>
      <c r="G45" s="31"/>
      <c r="H45" s="42" t="str">
        <f>IF(AND(B45&lt;&gt;""),IF($G$9&lt;&gt;0,VLOOKUP(G45/$G$9*100,TRANSMUTATION_TABLE!$A$2:$B$102,2),""),"")</f>
        <v/>
      </c>
      <c r="I45" s="31"/>
      <c r="J45" s="43" t="str">
        <f>IF(AND(B45&lt;&gt;""),IF($I$9&lt;&gt;0,VLOOKUP(I45/$I$9*100,TRANSMUTATION_TABLE!$A$2:$B$102,2),""),"")</f>
        <v/>
      </c>
      <c r="K45" s="48" t="str">
        <f t="shared" si="0"/>
        <v/>
      </c>
      <c r="L45" s="31"/>
      <c r="M45" s="89" t="str">
        <f>IF(AND(B45&lt;&gt;""),IF($L$9&lt;&gt;0,VLOOKUP(L45/$L$9*100,TRANSMUTATION_TABLE!$A$2:$B$102,2),""),"")</f>
        <v/>
      </c>
      <c r="N45" s="31"/>
      <c r="O45" s="57" t="str">
        <f>IF(AND(B45&lt;&gt;""),IF($N$9&lt;&gt;0,VLOOKUP(N45/$N$9*100,TRANSMUTATION_TABLE!$A$2:$B$102,2),""),"")</f>
        <v/>
      </c>
      <c r="P45" s="31"/>
      <c r="Q45" s="57" t="str">
        <f>IF(AND(B45&lt;&gt;""),IF($P$9&lt;&gt;0,VLOOKUP(P45/$P$9*100,TRANSMUTATION_TABLE!$A$2:$B$102,2),""),"")</f>
        <v/>
      </c>
      <c r="R45" s="31"/>
      <c r="S45" s="89" t="str">
        <f>IF(AND(B45&lt;&gt;""),IF($R$9&lt;&gt;0,VLOOKUP(R45/$R$9*100,TRANSMUTATION_TABLE!$A$2:$B$102,2),""),"")</f>
        <v/>
      </c>
      <c r="T45" s="48" t="str">
        <f t="shared" si="1"/>
        <v/>
      </c>
      <c r="U45" s="31"/>
      <c r="V45" s="57" t="str">
        <f>IF(AND(B45&lt;&gt;""),IF($U$9&lt;&gt;0,VLOOKUP(U45/$U$9*100,TRANSMUTATION_TABLE!$A$2:$B$102,2),""),"")</f>
        <v/>
      </c>
      <c r="W45" s="31"/>
      <c r="X45" s="57" t="str">
        <f>IF(AND(B45&lt;&gt;""),IF($W$9&lt;&gt;0,VLOOKUP(W45/$W$9*100,TRANSMUTATION_TABLE!$A$2:$B$102,2),""),"")</f>
        <v/>
      </c>
      <c r="Y45" s="31"/>
      <c r="Z45" s="57" t="str">
        <f>IF(AND(B45&lt;&gt;""),IF($Y$9&lt;&gt;0,VLOOKUP(Y45/$Y$9*100,TRANSMUTATION_TABLE!$A$2:$B$102,2),""),"")</f>
        <v/>
      </c>
      <c r="AA45" s="31"/>
      <c r="AB45" s="89" t="str">
        <f>IF(AND(B45&lt;&gt;""),IF($AA$9&lt;&gt;0,VLOOKUP(AA45/$AA$9*100,TRANSMUTATION_TABLE!$A$2:$B$102,2),""),"")</f>
        <v/>
      </c>
      <c r="AC45" s="48" t="str">
        <f t="shared" si="2"/>
        <v/>
      </c>
      <c r="AD45" s="31"/>
      <c r="AE45" s="57" t="str">
        <f>IF(AND(B45&lt;&gt;""),IF($AD$9&lt;&gt;0,VLOOKUP(AD45/$AD$9*100,TRANSMUTATION_TABLE!$A$2:$B$102,2),""),"")</f>
        <v/>
      </c>
      <c r="AF45" s="31">
        <f>Attendance!U42</f>
        <v>0</v>
      </c>
      <c r="AG45" s="87" t="str">
        <f>IF(AND(B45&lt;&gt;""),IF($AF$9&lt;&gt;0,VLOOKUP(AF45/$AF$9*100,TRANSMUTATION_TABLE!$A$2:$B$102,2),""),"")</f>
        <v/>
      </c>
      <c r="AH45" s="31"/>
      <c r="AI45" s="45" t="str">
        <f>IF(AND(B45&lt;&gt;""),IF($AH$9&lt;&gt;0,VLOOKUP(AH45/$AH$9*100,TRANSMUTATION_TABLE!$A$2:$B$102,2),""),"")</f>
        <v/>
      </c>
      <c r="AJ45" s="46" t="str">
        <f>IF(OR(K45&lt;&gt;"",T45&lt;&gt;"",AC45&lt;&gt;"",AI45&lt;&gt;"",AG45&lt;&gt;""),SUM(PRODUCT(K45,IF(Settings!$F$9&lt;&gt;0,Settings!$F$9/100,0)),PRODUCT(Prelim!T45,IF(Settings!$F$10&lt;&gt;0,Settings!$F$10/100,0)),PRODUCT(Prelim!AC45,IF(Settings!$F$11&lt;&gt;0,Settings!$F$11/100,0)),PRODUCT(Prelim!AG45,IF(Settings!$F$12&lt;&gt;0,Settings!$F$12/100,0)),PRODUCT(Prelim!AI45,IF(Settings!$F$13&lt;&gt;0,Settings!$F$13/100,0))),"")</f>
        <v/>
      </c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</row>
    <row r="46" spans="1:56" ht="12" customHeight="1" thickBot="1" x14ac:dyDescent="0.35">
      <c r="A46" s="52"/>
      <c r="B46" s="60"/>
      <c r="C46" s="31"/>
      <c r="D46" s="85" t="str">
        <f>IF(AND(B46&lt;&gt;""),IF($C$9&lt;&gt;0,VLOOKUP(C46/$C$9*100,TRANSMUTATION_TABLE!$A$2:$B$102,2),""),"")</f>
        <v/>
      </c>
      <c r="E46" s="31"/>
      <c r="F46" s="42" t="str">
        <f>IF(AND(B46&lt;&gt;""),IF($E$9&lt;&gt;0,VLOOKUP(E46/$E$9*100,TRANSMUTATION_TABLE!$A$2:$B$102,2),""),"")</f>
        <v/>
      </c>
      <c r="G46" s="31"/>
      <c r="H46" s="42" t="str">
        <f>IF(AND(B46&lt;&gt;""),IF($G$9&lt;&gt;0,VLOOKUP(G46/$G$9*100,TRANSMUTATION_TABLE!$A$2:$B$102,2),""),"")</f>
        <v/>
      </c>
      <c r="I46" s="31"/>
      <c r="J46" s="43" t="str">
        <f>IF(AND(B46&lt;&gt;""),IF($I$9&lt;&gt;0,VLOOKUP(I46/$I$9*100,TRANSMUTATION_TABLE!$A$2:$B$102,2),""),"")</f>
        <v/>
      </c>
      <c r="K46" s="48" t="str">
        <f t="shared" si="0"/>
        <v/>
      </c>
      <c r="L46" s="31"/>
      <c r="M46" s="43" t="str">
        <f>IF(AND(B46&lt;&gt;""),IF($L$9&lt;&gt;0,VLOOKUP(L46/$L$9*100,TRANSMUTATION_TABLE!$A$2:$B$102,2),""),"")</f>
        <v/>
      </c>
      <c r="N46" s="31"/>
      <c r="O46" s="42" t="str">
        <f>IF(AND(B46&lt;&gt;""),IF($N$9&lt;&gt;0,VLOOKUP(N46/$N$9*100,TRANSMUTATION_TABLE!$A$2:$B$102,2),""),"")</f>
        <v/>
      </c>
      <c r="P46" s="31"/>
      <c r="Q46" s="42" t="str">
        <f>IF(AND(B46&lt;&gt;""),IF($P$9&lt;&gt;0,VLOOKUP(P46/$P$9*100,TRANSMUTATION_TABLE!$A$2:$B$102,2),""),"")</f>
        <v/>
      </c>
      <c r="R46" s="31"/>
      <c r="S46" s="43" t="str">
        <f>IF(AND(B46&lt;&gt;""),IF($R$9&lt;&gt;0,VLOOKUP(R46/$R$9*100,TRANSMUTATION_TABLE!$A$2:$B$102,2),""),"")</f>
        <v/>
      </c>
      <c r="T46" s="48" t="str">
        <f t="shared" si="1"/>
        <v/>
      </c>
      <c r="U46" s="31"/>
      <c r="V46" s="42" t="str">
        <f>IF(AND(B46&lt;&gt;""),IF($U$9&lt;&gt;0,VLOOKUP(U46/$U$9*100,TRANSMUTATION_TABLE!$A$2:$B$102,2),""),"")</f>
        <v/>
      </c>
      <c r="W46" s="31"/>
      <c r="X46" s="42" t="str">
        <f>IF(AND(B46&lt;&gt;""),IF($W$9&lt;&gt;0,VLOOKUP(W46/$W$9*100,TRANSMUTATION_TABLE!$A$2:$B$102,2),""),"")</f>
        <v/>
      </c>
      <c r="Y46" s="31"/>
      <c r="Z46" s="42" t="str">
        <f>IF(AND(B46&lt;&gt;""),IF($Y$9&lt;&gt;0,VLOOKUP(Y46/$Y$9*100,TRANSMUTATION_TABLE!$A$2:$B$102,2),""),"")</f>
        <v/>
      </c>
      <c r="AA46" s="31"/>
      <c r="AB46" s="43" t="str">
        <f>IF(AND(B46&lt;&gt;""),IF($AA$9&lt;&gt;0,VLOOKUP(AA46/$AA$9*100,TRANSMUTATION_TABLE!$A$2:$B$102,2),""),"")</f>
        <v/>
      </c>
      <c r="AC46" s="48" t="str">
        <f t="shared" si="2"/>
        <v/>
      </c>
      <c r="AD46" s="31"/>
      <c r="AE46" s="42" t="str">
        <f>IF(AND(B46&lt;&gt;""),IF($AD$9&lt;&gt;0,VLOOKUP(AD46/$AD$9*100,TRANSMUTATION_TABLE!$A$2:$B$102,2),""),"")</f>
        <v/>
      </c>
      <c r="AF46" s="31">
        <f>Attendance!U43</f>
        <v>0</v>
      </c>
      <c r="AG46" s="87" t="str">
        <f>IF(AND(B46&lt;&gt;""),IF($AF$9&lt;&gt;0,VLOOKUP(AF46/$AF$9*100,TRANSMUTATION_TABLE!$A$2:$B$102,2),""),"")</f>
        <v/>
      </c>
      <c r="AH46" s="31"/>
      <c r="AI46" s="45" t="str">
        <f>IF(AND(B46&lt;&gt;""),IF($AH$9&lt;&gt;0,VLOOKUP(AH46/$AH$9*100,TRANSMUTATION_TABLE!$A$2:$B$102,2),""),"")</f>
        <v/>
      </c>
      <c r="AJ46" s="46" t="str">
        <f>IF(OR(K46&lt;&gt;"",T46&lt;&gt;"",AC46&lt;&gt;"",AI46&lt;&gt;"",AG46&lt;&gt;""),SUM(PRODUCT(K46,IF(Settings!$F$9&lt;&gt;0,Settings!$F$9/100,0)),PRODUCT(Prelim!T46,IF(Settings!$F$10&lt;&gt;0,Settings!$F$10/100,0)),PRODUCT(Prelim!AC46,IF(Settings!$F$11&lt;&gt;0,Settings!$F$11/100,0)),PRODUCT(Prelim!AG46,IF(Settings!$F$12&lt;&gt;0,Settings!$F$12/100,0)),PRODUCT(Prelim!AI46,IF(Settings!$F$13&lt;&gt;0,Settings!$F$13/100,0))),"")</f>
        <v/>
      </c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</row>
    <row r="47" spans="1:56" ht="12" customHeight="1" thickBot="1" x14ac:dyDescent="0.35">
      <c r="A47" s="52"/>
      <c r="B47" s="60"/>
      <c r="C47" s="31"/>
      <c r="D47" s="85" t="str">
        <f>IF(AND(B47&lt;&gt;""),IF($C$9&lt;&gt;0,VLOOKUP(C47/$C$9*100,TRANSMUTATION_TABLE!$A$2:$B$102,2),""),"")</f>
        <v/>
      </c>
      <c r="E47" s="31"/>
      <c r="F47" s="42" t="str">
        <f>IF(AND(B47&lt;&gt;""),IF($E$9&lt;&gt;0,VLOOKUP(E47/$E$9*100,TRANSMUTATION_TABLE!$A$2:$B$102,2),""),"")</f>
        <v/>
      </c>
      <c r="G47" s="31"/>
      <c r="H47" s="42" t="str">
        <f>IF(AND(B47&lt;&gt;""),IF($G$9&lt;&gt;0,VLOOKUP(G47/$G$9*100,TRANSMUTATION_TABLE!$A$2:$B$102,2),""),"")</f>
        <v/>
      </c>
      <c r="I47" s="31"/>
      <c r="J47" s="43" t="str">
        <f>IF(AND(B47&lt;&gt;""),IF($I$9&lt;&gt;0,VLOOKUP(I47/$I$9*100,TRANSMUTATION_TABLE!$A$2:$B$102,2),""),"")</f>
        <v/>
      </c>
      <c r="K47" s="48" t="str">
        <f t="shared" si="0"/>
        <v/>
      </c>
      <c r="L47" s="31"/>
      <c r="M47" s="43" t="str">
        <f>IF(AND(B47&lt;&gt;""),IF($L$9&lt;&gt;0,VLOOKUP(L47/$L$9*100,TRANSMUTATION_TABLE!$A$2:$B$102,2),""),"")</f>
        <v/>
      </c>
      <c r="N47" s="31"/>
      <c r="O47" s="42" t="str">
        <f>IF(AND(B47&lt;&gt;""),IF($N$9&lt;&gt;0,VLOOKUP(N47/$N$9*100,TRANSMUTATION_TABLE!$A$2:$B$102,2),""),"")</f>
        <v/>
      </c>
      <c r="P47" s="31"/>
      <c r="Q47" s="42" t="str">
        <f>IF(AND(B47&lt;&gt;""),IF($P$9&lt;&gt;0,VLOOKUP(P47/$P$9*100,TRANSMUTATION_TABLE!$A$2:$B$102,2),""),"")</f>
        <v/>
      </c>
      <c r="R47" s="31"/>
      <c r="S47" s="43" t="str">
        <f>IF(AND(B47&lt;&gt;""),IF($R$9&lt;&gt;0,VLOOKUP(R47/$R$9*100,TRANSMUTATION_TABLE!$A$2:$B$102,2),""),"")</f>
        <v/>
      </c>
      <c r="T47" s="48" t="str">
        <f t="shared" si="1"/>
        <v/>
      </c>
      <c r="U47" s="31"/>
      <c r="V47" s="42" t="str">
        <f>IF(AND(B47&lt;&gt;""),IF($U$9&lt;&gt;0,VLOOKUP(U47/$U$9*100,TRANSMUTATION_TABLE!$A$2:$B$102,2),""),"")</f>
        <v/>
      </c>
      <c r="W47" s="31"/>
      <c r="X47" s="42" t="str">
        <f>IF(AND(B47&lt;&gt;""),IF($W$9&lt;&gt;0,VLOOKUP(W47/$W$9*100,TRANSMUTATION_TABLE!$A$2:$B$102,2),""),"")</f>
        <v/>
      </c>
      <c r="Y47" s="31"/>
      <c r="Z47" s="42" t="str">
        <f>IF(AND(B47&lt;&gt;""),IF($Y$9&lt;&gt;0,VLOOKUP(Y47/$Y$9*100,TRANSMUTATION_TABLE!$A$2:$B$102,2),""),"")</f>
        <v/>
      </c>
      <c r="AA47" s="31"/>
      <c r="AB47" s="43" t="str">
        <f>IF(AND(B47&lt;&gt;""),IF($AA$9&lt;&gt;0,VLOOKUP(AA47/$AA$9*100,TRANSMUTATION_TABLE!$A$2:$B$102,2),""),"")</f>
        <v/>
      </c>
      <c r="AC47" s="48" t="str">
        <f t="shared" si="2"/>
        <v/>
      </c>
      <c r="AD47" s="31"/>
      <c r="AE47" s="42" t="str">
        <f>IF(AND(B47&lt;&gt;""),IF($AD$9&lt;&gt;0,VLOOKUP(AD47/$AD$9*100,TRANSMUTATION_TABLE!$A$2:$B$102,2),""),"")</f>
        <v/>
      </c>
      <c r="AF47" s="31">
        <f>Attendance!U44</f>
        <v>0</v>
      </c>
      <c r="AG47" s="87" t="str">
        <f>IF(AND(B47&lt;&gt;""),IF($AF$9&lt;&gt;0,VLOOKUP(AF47/$AF$9*100,TRANSMUTATION_TABLE!$A$2:$B$102,2),""),"")</f>
        <v/>
      </c>
      <c r="AH47" s="31"/>
      <c r="AI47" s="45" t="str">
        <f>IF(AND(B47&lt;&gt;""),IF($AH$9&lt;&gt;0,VLOOKUP(AH47/$AH$9*100,TRANSMUTATION_TABLE!$A$2:$B$102,2),""),"")</f>
        <v/>
      </c>
      <c r="AJ47" s="46" t="str">
        <f>IF(OR(K47&lt;&gt;"",T47&lt;&gt;"",AC47&lt;&gt;"",AI47&lt;&gt;"",AG47&lt;&gt;""),SUM(PRODUCT(K47,IF(Settings!$F$9&lt;&gt;0,Settings!$F$9/100,0)),PRODUCT(Prelim!T47,IF(Settings!$F$10&lt;&gt;0,Settings!$F$10/100,0)),PRODUCT(Prelim!AC47,IF(Settings!$F$11&lt;&gt;0,Settings!$F$11/100,0)),PRODUCT(Prelim!AG47,IF(Settings!$F$12&lt;&gt;0,Settings!$F$12/100,0)),PRODUCT(Prelim!AI47,IF(Settings!$F$13&lt;&gt;0,Settings!$F$13/100,0))),"")</f>
        <v/>
      </c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</row>
    <row r="48" spans="1:56" ht="12" customHeight="1" thickBot="1" x14ac:dyDescent="0.35">
      <c r="A48" s="52"/>
      <c r="B48" s="60"/>
      <c r="C48" s="31"/>
      <c r="D48" s="85" t="str">
        <f>IF(AND(B48&lt;&gt;""),IF($C$9&lt;&gt;0,VLOOKUP(C48/$C$9*100,TRANSMUTATION_TABLE!$A$2:$B$102,2),""),"")</f>
        <v/>
      </c>
      <c r="E48" s="31"/>
      <c r="F48" s="42" t="str">
        <f>IF(AND(B48&lt;&gt;""),IF($E$9&lt;&gt;0,VLOOKUP(E48/$E$9*100,TRANSMUTATION_TABLE!$A$2:$B$102,2),""),"")</f>
        <v/>
      </c>
      <c r="G48" s="31"/>
      <c r="H48" s="42" t="str">
        <f>IF(AND(B48&lt;&gt;""),IF($G$9&lt;&gt;0,VLOOKUP(G48/$G$9*100,TRANSMUTATION_TABLE!$A$2:$B$102,2),""),"")</f>
        <v/>
      </c>
      <c r="I48" s="31"/>
      <c r="J48" s="43" t="str">
        <f>IF(AND(B48&lt;&gt;""),IF($I$9&lt;&gt;0,VLOOKUP(I48/$I$9*100,TRANSMUTATION_TABLE!$A$2:$B$102,2),""),"")</f>
        <v/>
      </c>
      <c r="K48" s="48" t="str">
        <f t="shared" si="0"/>
        <v/>
      </c>
      <c r="L48" s="31"/>
      <c r="M48" s="43" t="str">
        <f>IF(AND(B48&lt;&gt;""),IF($L$9&lt;&gt;0,VLOOKUP(L48/$L$9*100,TRANSMUTATION_TABLE!$A$2:$B$102,2),""),"")</f>
        <v/>
      </c>
      <c r="N48" s="31"/>
      <c r="O48" s="42" t="str">
        <f>IF(AND(B48&lt;&gt;""),IF($N$9&lt;&gt;0,VLOOKUP(N48/$N$9*100,TRANSMUTATION_TABLE!$A$2:$B$102,2),""),"")</f>
        <v/>
      </c>
      <c r="P48" s="31"/>
      <c r="Q48" s="42" t="str">
        <f>IF(AND(B48&lt;&gt;""),IF($P$9&lt;&gt;0,VLOOKUP(P48/$P$9*100,TRANSMUTATION_TABLE!$A$2:$B$102,2),""),"")</f>
        <v/>
      </c>
      <c r="R48" s="31"/>
      <c r="S48" s="43" t="str">
        <f>IF(AND(B48&lt;&gt;""),IF($R$9&lt;&gt;0,VLOOKUP(R48/$R$9*100,TRANSMUTATION_TABLE!$A$2:$B$102,2),""),"")</f>
        <v/>
      </c>
      <c r="T48" s="48" t="str">
        <f t="shared" si="1"/>
        <v/>
      </c>
      <c r="U48" s="31"/>
      <c r="V48" s="42" t="str">
        <f>IF(AND(B48&lt;&gt;""),IF($U$9&lt;&gt;0,VLOOKUP(U48/$U$9*100,TRANSMUTATION_TABLE!$A$2:$B$102,2),""),"")</f>
        <v/>
      </c>
      <c r="W48" s="31"/>
      <c r="X48" s="42" t="str">
        <f>IF(AND(B48&lt;&gt;""),IF($W$9&lt;&gt;0,VLOOKUP(W48/$W$9*100,TRANSMUTATION_TABLE!$A$2:$B$102,2),""),"")</f>
        <v/>
      </c>
      <c r="Y48" s="31"/>
      <c r="Z48" s="42" t="str">
        <f>IF(AND(B48&lt;&gt;""),IF($Y$9&lt;&gt;0,VLOOKUP(Y48/$Y$9*100,TRANSMUTATION_TABLE!$A$2:$B$102,2),""),"")</f>
        <v/>
      </c>
      <c r="AA48" s="31"/>
      <c r="AB48" s="43" t="str">
        <f>IF(AND(B48&lt;&gt;""),IF($AA$9&lt;&gt;0,VLOOKUP(AA48/$AA$9*100,TRANSMUTATION_TABLE!$A$2:$B$102,2),""),"")</f>
        <v/>
      </c>
      <c r="AC48" s="48" t="str">
        <f t="shared" si="2"/>
        <v/>
      </c>
      <c r="AD48" s="31"/>
      <c r="AE48" s="42" t="str">
        <f>IF(AND(B48&lt;&gt;""),IF($AD$9&lt;&gt;0,VLOOKUP(AD48/$AD$9*100,TRANSMUTATION_TABLE!$A$2:$B$102,2),""),"")</f>
        <v/>
      </c>
      <c r="AF48" s="31">
        <f>Attendance!U45</f>
        <v>0</v>
      </c>
      <c r="AG48" s="87" t="str">
        <f>IF(AND(B48&lt;&gt;""),IF($AF$9&lt;&gt;0,VLOOKUP(AF48/$AF$9*100,TRANSMUTATION_TABLE!$A$2:$B$102,2),""),"")</f>
        <v/>
      </c>
      <c r="AH48" s="31"/>
      <c r="AI48" s="45" t="str">
        <f>IF(AND(B48&lt;&gt;""),IF($AH$9&lt;&gt;0,VLOOKUP(AH48/$AH$9*100,TRANSMUTATION_TABLE!$A$2:$B$102,2),""),"")</f>
        <v/>
      </c>
      <c r="AJ48" s="46" t="str">
        <f>IF(OR(K48&lt;&gt;"",T48&lt;&gt;"",AC48&lt;&gt;"",AI48&lt;&gt;"",AG48&lt;&gt;""),SUM(PRODUCT(K48,IF(Settings!$F$9&lt;&gt;0,Settings!$F$9/100,0)),PRODUCT(Prelim!T48,IF(Settings!$F$10&lt;&gt;0,Settings!$F$10/100,0)),PRODUCT(Prelim!AC48,IF(Settings!$F$11&lt;&gt;0,Settings!$F$11/100,0)),PRODUCT(Prelim!AG48,IF(Settings!$F$12&lt;&gt;0,Settings!$F$12/100,0)),PRODUCT(Prelim!AI48,IF(Settings!$F$13&lt;&gt;0,Settings!$F$13/100,0))),"")</f>
        <v/>
      </c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</row>
    <row r="49" spans="1:56" ht="12" customHeight="1" thickBot="1" x14ac:dyDescent="0.35">
      <c r="A49" s="54"/>
      <c r="B49" s="60"/>
      <c r="C49" s="214"/>
      <c r="D49" s="85" t="str">
        <f>IF(AND(B49&lt;&gt;""),IF($C$9&lt;&gt;0,VLOOKUP(C49/$C$9*100,TRANSMUTATION_TABLE!$A$2:$B$102,2),""),"")</f>
        <v/>
      </c>
      <c r="E49" s="214"/>
      <c r="F49" s="42" t="str">
        <f>IF(AND(B49&lt;&gt;""),IF($E$9&lt;&gt;0,VLOOKUP(E49/$E$9*100,TRANSMUTATION_TABLE!$A$2:$B$102,2),""),"")</f>
        <v/>
      </c>
      <c r="G49" s="214"/>
      <c r="H49" s="42" t="str">
        <f>IF(AND(B49&lt;&gt;""),IF($G$9&lt;&gt;0,VLOOKUP(G49/$G$9*100,TRANSMUTATION_TABLE!$A$2:$B$102,2),""),"")</f>
        <v/>
      </c>
      <c r="I49" s="214"/>
      <c r="J49" s="43" t="str">
        <f>IF(AND(B49&lt;&gt;""),IF($I$9&lt;&gt;0,VLOOKUP(I49/$I$9*100,TRANSMUTATION_TABLE!$A$2:$B$102,2),""),"")</f>
        <v/>
      </c>
      <c r="K49" s="48" t="str">
        <f t="shared" si="0"/>
        <v/>
      </c>
      <c r="L49" s="214"/>
      <c r="M49" s="43" t="str">
        <f>IF(AND(B49&lt;&gt;""),IF($L$9&lt;&gt;0,VLOOKUP(L49/$L$9*100,TRANSMUTATION_TABLE!$A$2:$B$102,2),""),"")</f>
        <v/>
      </c>
      <c r="N49" s="214"/>
      <c r="O49" s="42" t="str">
        <f>IF(AND(B49&lt;&gt;""),IF($N$9&lt;&gt;0,VLOOKUP(N49/$N$9*100,TRANSMUTATION_TABLE!$A$2:$B$102,2),""),"")</f>
        <v/>
      </c>
      <c r="P49" s="214"/>
      <c r="Q49" s="42" t="str">
        <f>IF(AND(B49&lt;&gt;""),IF($P$9&lt;&gt;0,VLOOKUP(P49/$P$9*100,TRANSMUTATION_TABLE!$A$2:$B$102,2),""),"")</f>
        <v/>
      </c>
      <c r="R49" s="214"/>
      <c r="S49" s="43" t="str">
        <f>IF(AND(B49&lt;&gt;""),IF($R$9&lt;&gt;0,VLOOKUP(R49/$R$9*100,TRANSMUTATION_TABLE!$A$2:$B$102,2),""),"")</f>
        <v/>
      </c>
      <c r="T49" s="48" t="str">
        <f t="shared" si="1"/>
        <v/>
      </c>
      <c r="U49" s="214"/>
      <c r="V49" s="42" t="str">
        <f>IF(AND(B49&lt;&gt;""),IF($U$9&lt;&gt;0,VLOOKUP(U49/$U$9*100,TRANSMUTATION_TABLE!$A$2:$B$102,2),""),"")</f>
        <v/>
      </c>
      <c r="W49" s="214"/>
      <c r="X49" s="42" t="str">
        <f>IF(AND(B49&lt;&gt;""),IF($W$9&lt;&gt;0,VLOOKUP(W49/$W$9*100,TRANSMUTATION_TABLE!$A$2:$B$102,2),""),"")</f>
        <v/>
      </c>
      <c r="Y49" s="214"/>
      <c r="Z49" s="42" t="str">
        <f>IF(AND(B49&lt;&gt;""),IF($Y$9&lt;&gt;0,VLOOKUP(Y49/$Y$9*100,TRANSMUTATION_TABLE!$A$2:$B$102,2),""),"")</f>
        <v/>
      </c>
      <c r="AA49" s="214"/>
      <c r="AB49" s="43" t="str">
        <f>IF(AND(B49&lt;&gt;""),IF($AA$9&lt;&gt;0,VLOOKUP(AA49/$AA$9*100,TRANSMUTATION_TABLE!$A$2:$B$102,2),""),"")</f>
        <v/>
      </c>
      <c r="AC49" s="48" t="str">
        <f t="shared" si="2"/>
        <v/>
      </c>
      <c r="AD49" s="214"/>
      <c r="AE49" s="42" t="str">
        <f>IF(AND(B49&lt;&gt;""),IF($AD$9&lt;&gt;0,VLOOKUP(AD49/$AD$9*100,TRANSMUTATION_TABLE!$A$2:$B$102,2),""),"")</f>
        <v/>
      </c>
      <c r="AF49" s="214">
        <f>Attendance!U46</f>
        <v>0</v>
      </c>
      <c r="AG49" s="87" t="str">
        <f>IF(AND(B49&lt;&gt;""),IF($AF$9&lt;&gt;0,VLOOKUP(AF49/$AF$9*100,TRANSMUTATION_TABLE!$A$2:$B$102,2),""),"")</f>
        <v/>
      </c>
      <c r="AH49" s="214"/>
      <c r="AI49" s="45" t="str">
        <f>IF(AND(B49&lt;&gt;""),IF($AH$9&lt;&gt;0,VLOOKUP(AH49/$AH$9*100,TRANSMUTATION_TABLE!$A$2:$B$102,2),""),"")</f>
        <v/>
      </c>
      <c r="AJ49" s="46" t="str">
        <f>IF(OR(K49&lt;&gt;"",T49&lt;&gt;"",AC49&lt;&gt;"",AI49&lt;&gt;"",AG49&lt;&gt;""),SUM(PRODUCT(K49,IF(Settings!$F$9&lt;&gt;0,Settings!$F$9/100,0)),PRODUCT(Prelim!T49,IF(Settings!$F$10&lt;&gt;0,Settings!$F$10/100,0)),PRODUCT(Prelim!AC49,IF(Settings!$F$11&lt;&gt;0,Settings!$F$11/100,0)),PRODUCT(Prelim!AG49,IF(Settings!$F$12&lt;&gt;0,Settings!$F$12/100,0)),PRODUCT(Prelim!AI49,IF(Settings!$F$13&lt;&gt;0,Settings!$F$13/100,0))),"")</f>
        <v/>
      </c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</row>
    <row r="50" spans="1:56" ht="12" customHeight="1" thickBot="1" x14ac:dyDescent="0.35">
      <c r="A50" s="59"/>
      <c r="B50" s="60"/>
      <c r="C50" s="31"/>
      <c r="D50" s="85" t="str">
        <f>IF(AND(B50&lt;&gt;""),IF($C$9&lt;&gt;0,VLOOKUP(C50/$C$9*100,TRANSMUTATION_TABLE!$A$2:$B$102,2),""),"")</f>
        <v/>
      </c>
      <c r="E50" s="31"/>
      <c r="F50" s="42" t="str">
        <f>IF(AND(B50&lt;&gt;""),IF($E$9&lt;&gt;0,VLOOKUP(E50/$E$9*100,TRANSMUTATION_TABLE!$A$2:$B$102,2),""),"")</f>
        <v/>
      </c>
      <c r="G50" s="31"/>
      <c r="H50" s="42" t="str">
        <f>IF(AND(B50&lt;&gt;""),IF($G$9&lt;&gt;0,VLOOKUP(G50/$G$9*100,TRANSMUTATION_TABLE!$A$2:$B$102,2),""),"")</f>
        <v/>
      </c>
      <c r="I50" s="31"/>
      <c r="J50" s="43" t="str">
        <f>IF(AND(B50&lt;&gt;""),IF($I$9&lt;&gt;0,VLOOKUP(I50/$I$9*100,TRANSMUTATION_TABLE!$A$2:$B$102,2),""),"")</f>
        <v/>
      </c>
      <c r="K50" s="48" t="str">
        <f t="shared" si="0"/>
        <v/>
      </c>
      <c r="L50" s="31"/>
      <c r="M50" s="89" t="str">
        <f>IF(AND(B50&lt;&gt;""),IF($L$9&lt;&gt;0,VLOOKUP(L50/$L$9*100,TRANSMUTATION_TABLE!$A$2:$B$102,2),""),"")</f>
        <v/>
      </c>
      <c r="N50" s="31"/>
      <c r="O50" s="57" t="str">
        <f>IF(AND(B50&lt;&gt;""),IF($N$9&lt;&gt;0,VLOOKUP(N50/$N$9*100,TRANSMUTATION_TABLE!$A$2:$B$102,2),""),"")</f>
        <v/>
      </c>
      <c r="P50" s="31"/>
      <c r="Q50" s="57" t="str">
        <f>IF(AND(B50&lt;&gt;""),IF($P$9&lt;&gt;0,VLOOKUP(P50/$P$9*100,TRANSMUTATION_TABLE!$A$2:$B$102,2),""),"")</f>
        <v/>
      </c>
      <c r="R50" s="31"/>
      <c r="S50" s="89" t="str">
        <f>IF(AND(B50&lt;&gt;""),IF($R$9&lt;&gt;0,VLOOKUP(R50/$R$9*100,TRANSMUTATION_TABLE!$A$2:$B$102,2),""),"")</f>
        <v/>
      </c>
      <c r="T50" s="48" t="str">
        <f t="shared" si="1"/>
        <v/>
      </c>
      <c r="U50" s="31"/>
      <c r="V50" s="57" t="str">
        <f>IF(AND(B50&lt;&gt;""),IF($U$9&lt;&gt;0,VLOOKUP(U50/$U$9*100,TRANSMUTATION_TABLE!$A$2:$B$102,2),""),"")</f>
        <v/>
      </c>
      <c r="W50" s="31"/>
      <c r="X50" s="57" t="str">
        <f>IF(AND(B50&lt;&gt;""),IF($W$9&lt;&gt;0,VLOOKUP(W50/$W$9*100,TRANSMUTATION_TABLE!$A$2:$B$102,2),""),"")</f>
        <v/>
      </c>
      <c r="Y50" s="31"/>
      <c r="Z50" s="57" t="str">
        <f>IF(AND(B50&lt;&gt;""),IF($Y$9&lt;&gt;0,VLOOKUP(Y50/$Y$9*100,TRANSMUTATION_TABLE!$A$2:$B$102,2),""),"")</f>
        <v/>
      </c>
      <c r="AA50" s="31"/>
      <c r="AB50" s="89" t="str">
        <f>IF(AND(B50&lt;&gt;""),IF($AA$9&lt;&gt;0,VLOOKUP(AA50/$AA$9*100,TRANSMUTATION_TABLE!$A$2:$B$102,2),""),"")</f>
        <v/>
      </c>
      <c r="AC50" s="48" t="str">
        <f t="shared" si="2"/>
        <v/>
      </c>
      <c r="AD50" s="31"/>
      <c r="AE50" s="57" t="str">
        <f>IF(AND(B50&lt;&gt;""),IF($AD$9&lt;&gt;0,VLOOKUP(AD50/$AD$9*100,TRANSMUTATION_TABLE!$A$2:$B$102,2),""),"")</f>
        <v/>
      </c>
      <c r="AF50" s="31">
        <f>Attendance!U47</f>
        <v>0</v>
      </c>
      <c r="AG50" s="87" t="str">
        <f>IF(AND(B50&lt;&gt;""),IF($AF$9&lt;&gt;0,VLOOKUP(AF50/$AF$9*100,TRANSMUTATION_TABLE!$A$2:$B$102,2),""),"")</f>
        <v/>
      </c>
      <c r="AH50" s="31"/>
      <c r="AI50" s="45" t="str">
        <f>IF(AND(B50&lt;&gt;""),IF($AH$9&lt;&gt;0,VLOOKUP(AH50/$AH$9*100,TRANSMUTATION_TABLE!$A$2:$B$102,2),""),"")</f>
        <v/>
      </c>
      <c r="AJ50" s="46" t="str">
        <f>IF(OR(K50&lt;&gt;"",T50&lt;&gt;"",AC50&lt;&gt;"",AI50&lt;&gt;"",AG50&lt;&gt;""),SUM(PRODUCT(K50,IF(Settings!$F$9&lt;&gt;0,Settings!$F$9/100,0)),PRODUCT(Prelim!T50,IF(Settings!$F$10&lt;&gt;0,Settings!$F$10/100,0)),PRODUCT(Prelim!AC50,IF(Settings!$F$11&lt;&gt;0,Settings!$F$11/100,0)),PRODUCT(Prelim!AG50,IF(Settings!$F$12&lt;&gt;0,Settings!$F$12/100,0)),PRODUCT(Prelim!AI50,IF(Settings!$F$13&lt;&gt;0,Settings!$F$13/100,0))),"")</f>
        <v/>
      </c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</row>
    <row r="51" spans="1:56" ht="12" customHeight="1" thickBot="1" x14ac:dyDescent="0.35">
      <c r="A51" s="52"/>
      <c r="B51" s="60"/>
      <c r="C51" s="31"/>
      <c r="D51" s="85" t="str">
        <f>IF(AND(B51&lt;&gt;""),IF($C$9&lt;&gt;0,VLOOKUP(C51/$C$9*100,TRANSMUTATION_TABLE!$A$2:$B$102,2),""),"")</f>
        <v/>
      </c>
      <c r="E51" s="31"/>
      <c r="F51" s="42" t="str">
        <f>IF(AND(B51&lt;&gt;""),IF($E$9&lt;&gt;0,VLOOKUP(E51/$E$9*100,TRANSMUTATION_TABLE!$A$2:$B$102,2),""),"")</f>
        <v/>
      </c>
      <c r="G51" s="31"/>
      <c r="H51" s="42" t="str">
        <f>IF(AND(B51&lt;&gt;""),IF($G$9&lt;&gt;0,VLOOKUP(G51/$G$9*100,TRANSMUTATION_TABLE!$A$2:$B$102,2),""),"")</f>
        <v/>
      </c>
      <c r="I51" s="31"/>
      <c r="J51" s="43" t="str">
        <f>IF(AND(B51&lt;&gt;""),IF($I$9&lt;&gt;0,VLOOKUP(I51/$I$9*100,TRANSMUTATION_TABLE!$A$2:$B$102,2),""),"")</f>
        <v/>
      </c>
      <c r="K51" s="48" t="str">
        <f t="shared" si="0"/>
        <v/>
      </c>
      <c r="L51" s="31"/>
      <c r="M51" s="43" t="str">
        <f>IF(AND(B51&lt;&gt;""),IF($L$9&lt;&gt;0,VLOOKUP(L51/$L$9*100,TRANSMUTATION_TABLE!$A$2:$B$102,2),""),"")</f>
        <v/>
      </c>
      <c r="N51" s="31"/>
      <c r="O51" s="42" t="str">
        <f>IF(AND(B51&lt;&gt;""),IF($N$9&lt;&gt;0,VLOOKUP(N51/$N$9*100,TRANSMUTATION_TABLE!$A$2:$B$102,2),""),"")</f>
        <v/>
      </c>
      <c r="P51" s="31"/>
      <c r="Q51" s="42" t="str">
        <f>IF(AND(B51&lt;&gt;""),IF($P$9&lt;&gt;0,VLOOKUP(P51/$P$9*100,TRANSMUTATION_TABLE!$A$2:$B$102,2),""),"")</f>
        <v/>
      </c>
      <c r="R51" s="31"/>
      <c r="S51" s="43" t="str">
        <f>IF(AND(B51&lt;&gt;""),IF($R$9&lt;&gt;0,VLOOKUP(R51/$R$9*100,TRANSMUTATION_TABLE!$A$2:$B$102,2),""),"")</f>
        <v/>
      </c>
      <c r="T51" s="48" t="str">
        <f t="shared" si="1"/>
        <v/>
      </c>
      <c r="U51" s="31"/>
      <c r="V51" s="42" t="str">
        <f>IF(AND(B51&lt;&gt;""),IF($U$9&lt;&gt;0,VLOOKUP(U51/$U$9*100,TRANSMUTATION_TABLE!$A$2:$B$102,2),""),"")</f>
        <v/>
      </c>
      <c r="W51" s="31"/>
      <c r="X51" s="42" t="str">
        <f>IF(AND(B51&lt;&gt;""),IF($W$9&lt;&gt;0,VLOOKUP(W51/$W$9*100,TRANSMUTATION_TABLE!$A$2:$B$102,2),""),"")</f>
        <v/>
      </c>
      <c r="Y51" s="31"/>
      <c r="Z51" s="42" t="str">
        <f>IF(AND(B51&lt;&gt;""),IF($Y$9&lt;&gt;0,VLOOKUP(Y51/$Y$9*100,TRANSMUTATION_TABLE!$A$2:$B$102,2),""),"")</f>
        <v/>
      </c>
      <c r="AA51" s="31"/>
      <c r="AB51" s="43" t="str">
        <f>IF(AND(B51&lt;&gt;""),IF($AA$9&lt;&gt;0,VLOOKUP(AA51/$AA$9*100,TRANSMUTATION_TABLE!$A$2:$B$102,2),""),"")</f>
        <v/>
      </c>
      <c r="AC51" s="48" t="str">
        <f t="shared" si="2"/>
        <v/>
      </c>
      <c r="AD51" s="31"/>
      <c r="AE51" s="42" t="str">
        <f>IF(AND(B51&lt;&gt;""),IF($AD$9&lt;&gt;0,VLOOKUP(AD51/$AD$9*100,TRANSMUTATION_TABLE!$A$2:$B$102,2),""),"")</f>
        <v/>
      </c>
      <c r="AF51" s="31">
        <f>Attendance!U48</f>
        <v>0</v>
      </c>
      <c r="AG51" s="87" t="str">
        <f>IF(AND(B51&lt;&gt;""),IF($AF$9&lt;&gt;0,VLOOKUP(AF51/$AF$9*100,TRANSMUTATION_TABLE!$A$2:$B$102,2),""),"")</f>
        <v/>
      </c>
      <c r="AH51" s="31"/>
      <c r="AI51" s="45" t="str">
        <f>IF(AND(B51&lt;&gt;""),IF($AH$9&lt;&gt;0,VLOOKUP(AH51/$AH$9*100,TRANSMUTATION_TABLE!$A$2:$B$102,2),""),"")</f>
        <v/>
      </c>
      <c r="AJ51" s="46" t="str">
        <f>IF(OR(K51&lt;&gt;"",T51&lt;&gt;"",AC51&lt;&gt;"",AI51&lt;&gt;"",AG51&lt;&gt;""),SUM(PRODUCT(K51,IF(Settings!$F$9&lt;&gt;0,Settings!$F$9/100,0)),PRODUCT(Prelim!T51,IF(Settings!$F$10&lt;&gt;0,Settings!$F$10/100,0)),PRODUCT(Prelim!AC51,IF(Settings!$F$11&lt;&gt;0,Settings!$F$11/100,0)),PRODUCT(Prelim!AG51,IF(Settings!$F$12&lt;&gt;0,Settings!$F$12/100,0)),PRODUCT(Prelim!AI51,IF(Settings!$F$13&lt;&gt;0,Settings!$F$13/100,0))),"")</f>
        <v/>
      </c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</row>
    <row r="52" spans="1:56" ht="12" customHeight="1" thickBot="1" x14ac:dyDescent="0.35">
      <c r="A52" s="52"/>
      <c r="B52" s="60"/>
      <c r="C52" s="31"/>
      <c r="D52" s="85" t="str">
        <f>IF(AND(B52&lt;&gt;""),IF($C$9&lt;&gt;0,VLOOKUP(C52/$C$9*100,TRANSMUTATION_TABLE!$A$2:$B$102,2),""),"")</f>
        <v/>
      </c>
      <c r="E52" s="31"/>
      <c r="F52" s="42" t="str">
        <f>IF(AND(B52&lt;&gt;""),IF($E$9&lt;&gt;0,VLOOKUP(E52/$E$9*100,TRANSMUTATION_TABLE!$A$2:$B$102,2),""),"")</f>
        <v/>
      </c>
      <c r="G52" s="31"/>
      <c r="H52" s="42" t="str">
        <f>IF(AND(B52&lt;&gt;""),IF($G$9&lt;&gt;0,VLOOKUP(G52/$G$9*100,TRANSMUTATION_TABLE!$A$2:$B$102,2),""),"")</f>
        <v/>
      </c>
      <c r="I52" s="31"/>
      <c r="J52" s="43" t="str">
        <f>IF(AND(B52&lt;&gt;""),IF($I$9&lt;&gt;0,VLOOKUP(I52/$I$9*100,TRANSMUTATION_TABLE!$A$2:$B$102,2),""),"")</f>
        <v/>
      </c>
      <c r="K52" s="48" t="str">
        <f t="shared" si="0"/>
        <v/>
      </c>
      <c r="L52" s="31"/>
      <c r="M52" s="43" t="str">
        <f>IF(AND(B52&lt;&gt;""),IF($L$9&lt;&gt;0,VLOOKUP(L52/$L$9*100,TRANSMUTATION_TABLE!$A$2:$B$102,2),""),"")</f>
        <v/>
      </c>
      <c r="N52" s="31"/>
      <c r="O52" s="42" t="str">
        <f>IF(AND(B52&lt;&gt;""),IF($N$9&lt;&gt;0,VLOOKUP(N52/$N$9*100,TRANSMUTATION_TABLE!$A$2:$B$102,2),""),"")</f>
        <v/>
      </c>
      <c r="P52" s="31"/>
      <c r="Q52" s="42" t="str">
        <f>IF(AND(B52&lt;&gt;""),IF($P$9&lt;&gt;0,VLOOKUP(P52/$P$9*100,TRANSMUTATION_TABLE!$A$2:$B$102,2),""),"")</f>
        <v/>
      </c>
      <c r="R52" s="31"/>
      <c r="S52" s="43" t="str">
        <f>IF(AND(B52&lt;&gt;""),IF($R$9&lt;&gt;0,VLOOKUP(R52/$R$9*100,TRANSMUTATION_TABLE!$A$2:$B$102,2),""),"")</f>
        <v/>
      </c>
      <c r="T52" s="48" t="str">
        <f t="shared" si="1"/>
        <v/>
      </c>
      <c r="U52" s="31"/>
      <c r="V52" s="42" t="str">
        <f>IF(AND(B52&lt;&gt;""),IF($U$9&lt;&gt;0,VLOOKUP(U52/$U$9*100,TRANSMUTATION_TABLE!$A$2:$B$102,2),""),"")</f>
        <v/>
      </c>
      <c r="W52" s="31"/>
      <c r="X52" s="42" t="str">
        <f>IF(AND(B52&lt;&gt;""),IF($W$9&lt;&gt;0,VLOOKUP(W52/$W$9*100,TRANSMUTATION_TABLE!$A$2:$B$102,2),""),"")</f>
        <v/>
      </c>
      <c r="Y52" s="31"/>
      <c r="Z52" s="42" t="str">
        <f>IF(AND(B52&lt;&gt;""),IF($Y$9&lt;&gt;0,VLOOKUP(Y52/$Y$9*100,TRANSMUTATION_TABLE!$A$2:$B$102,2),""),"")</f>
        <v/>
      </c>
      <c r="AA52" s="31"/>
      <c r="AB52" s="43" t="str">
        <f>IF(AND(B52&lt;&gt;""),IF($AA$9&lt;&gt;0,VLOOKUP(AA52/$AA$9*100,TRANSMUTATION_TABLE!$A$2:$B$102,2),""),"")</f>
        <v/>
      </c>
      <c r="AC52" s="48" t="str">
        <f t="shared" si="2"/>
        <v/>
      </c>
      <c r="AD52" s="31"/>
      <c r="AE52" s="42" t="str">
        <f>IF(AND(B52&lt;&gt;""),IF($AD$9&lt;&gt;0,VLOOKUP(AD52/$AD$9*100,TRANSMUTATION_TABLE!$A$2:$B$102,2),""),"")</f>
        <v/>
      </c>
      <c r="AF52" s="31">
        <f>Attendance!U49</f>
        <v>0</v>
      </c>
      <c r="AG52" s="87" t="str">
        <f>IF(AND(B52&lt;&gt;""),IF($AF$9&lt;&gt;0,VLOOKUP(AF52/$AF$9*100,TRANSMUTATION_TABLE!$A$2:$B$102,2),""),"")</f>
        <v/>
      </c>
      <c r="AH52" s="31"/>
      <c r="AI52" s="45" t="str">
        <f>IF(AND(B52&lt;&gt;""),IF($AH$9&lt;&gt;0,VLOOKUP(AH52/$AH$9*100,TRANSMUTATION_TABLE!$A$2:$B$102,2),""),"")</f>
        <v/>
      </c>
      <c r="AJ52" s="46" t="str">
        <f>IF(OR(K52&lt;&gt;"",T52&lt;&gt;"",AC52&lt;&gt;"",AI52&lt;&gt;"",AG52&lt;&gt;""),SUM(PRODUCT(K52,IF(Settings!$F$9&lt;&gt;0,Settings!$F$9/100,0)),PRODUCT(Prelim!T52,IF(Settings!$F$10&lt;&gt;0,Settings!$F$10/100,0)),PRODUCT(Prelim!AC52,IF(Settings!$F$11&lt;&gt;0,Settings!$F$11/100,0)),PRODUCT(Prelim!AG52,IF(Settings!$F$12&lt;&gt;0,Settings!$F$12/100,0)),PRODUCT(Prelim!AI52,IF(Settings!$F$13&lt;&gt;0,Settings!$F$13/100,0))),"")</f>
        <v/>
      </c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</row>
    <row r="53" spans="1:56" ht="12" customHeight="1" thickBot="1" x14ac:dyDescent="0.35">
      <c r="A53" s="52"/>
      <c r="B53" s="60"/>
      <c r="C53" s="31"/>
      <c r="D53" s="85" t="str">
        <f>IF(AND(B53&lt;&gt;""),IF($C$9&lt;&gt;0,VLOOKUP(C53/$C$9*100,TRANSMUTATION_TABLE!$A$2:$B$102,2),""),"")</f>
        <v/>
      </c>
      <c r="E53" s="31"/>
      <c r="F53" s="42" t="str">
        <f>IF(AND(B53&lt;&gt;""),IF($E$9&lt;&gt;0,VLOOKUP(E53/$E$9*100,TRANSMUTATION_TABLE!$A$2:$B$102,2),""),"")</f>
        <v/>
      </c>
      <c r="G53" s="31"/>
      <c r="H53" s="42" t="str">
        <f>IF(AND(B53&lt;&gt;""),IF($G$9&lt;&gt;0,VLOOKUP(G53/$G$9*100,TRANSMUTATION_TABLE!$A$2:$B$102,2),""),"")</f>
        <v/>
      </c>
      <c r="I53" s="31"/>
      <c r="J53" s="43" t="str">
        <f>IF(AND(B53&lt;&gt;""),IF($I$9&lt;&gt;0,VLOOKUP(I53/$I$9*100,TRANSMUTATION_TABLE!$A$2:$B$102,2),""),"")</f>
        <v/>
      </c>
      <c r="K53" s="48" t="str">
        <f t="shared" si="0"/>
        <v/>
      </c>
      <c r="L53" s="31"/>
      <c r="M53" s="43" t="str">
        <f>IF(AND(B53&lt;&gt;""),IF($L$9&lt;&gt;0,VLOOKUP(L53/$L$9*100,TRANSMUTATION_TABLE!$A$2:$B$102,2),""),"")</f>
        <v/>
      </c>
      <c r="N53" s="31"/>
      <c r="O53" s="42" t="str">
        <f>IF(AND(B53&lt;&gt;""),IF($N$9&lt;&gt;0,VLOOKUP(N53/$N$9*100,TRANSMUTATION_TABLE!$A$2:$B$102,2),""),"")</f>
        <v/>
      </c>
      <c r="P53" s="31"/>
      <c r="Q53" s="42" t="str">
        <f>IF(AND(B53&lt;&gt;""),IF($P$9&lt;&gt;0,VLOOKUP(P53/$P$9*100,TRANSMUTATION_TABLE!$A$2:$B$102,2),""),"")</f>
        <v/>
      </c>
      <c r="R53" s="31"/>
      <c r="S53" s="43" t="str">
        <f>IF(AND(B53&lt;&gt;""),IF($R$9&lt;&gt;0,VLOOKUP(R53/$R$9*100,TRANSMUTATION_TABLE!$A$2:$B$102,2),""),"")</f>
        <v/>
      </c>
      <c r="T53" s="48" t="str">
        <f t="shared" si="1"/>
        <v/>
      </c>
      <c r="U53" s="31"/>
      <c r="V53" s="42" t="str">
        <f>IF(AND(B53&lt;&gt;""),IF($U$9&lt;&gt;0,VLOOKUP(U53/$U$9*100,TRANSMUTATION_TABLE!$A$2:$B$102,2),""),"")</f>
        <v/>
      </c>
      <c r="W53" s="31"/>
      <c r="X53" s="42" t="str">
        <f>IF(AND(B53&lt;&gt;""),IF($W$9&lt;&gt;0,VLOOKUP(W53/$W$9*100,TRANSMUTATION_TABLE!$A$2:$B$102,2),""),"")</f>
        <v/>
      </c>
      <c r="Y53" s="31"/>
      <c r="Z53" s="42" t="str">
        <f>IF(AND(B53&lt;&gt;""),IF($Y$9&lt;&gt;0,VLOOKUP(Y53/$Y$9*100,TRANSMUTATION_TABLE!$A$2:$B$102,2),""),"")</f>
        <v/>
      </c>
      <c r="AA53" s="31"/>
      <c r="AB53" s="43" t="str">
        <f>IF(AND(B53&lt;&gt;""),IF($AA$9&lt;&gt;0,VLOOKUP(AA53/$AA$9*100,TRANSMUTATION_TABLE!$A$2:$B$102,2),""),"")</f>
        <v/>
      </c>
      <c r="AC53" s="48" t="str">
        <f t="shared" si="2"/>
        <v/>
      </c>
      <c r="AD53" s="31"/>
      <c r="AE53" s="42" t="str">
        <f>IF(AND(B53&lt;&gt;""),IF($AD$9&lt;&gt;0,VLOOKUP(AD53/$AD$9*100,TRANSMUTATION_TABLE!$A$2:$B$102,2),""),"")</f>
        <v/>
      </c>
      <c r="AF53" s="31">
        <f>Attendance!U50</f>
        <v>0</v>
      </c>
      <c r="AG53" s="87" t="str">
        <f>IF(AND(B53&lt;&gt;""),IF($AF$9&lt;&gt;0,VLOOKUP(AF53/$AF$9*100,TRANSMUTATION_TABLE!$A$2:$B$102,2),""),"")</f>
        <v/>
      </c>
      <c r="AH53" s="31"/>
      <c r="AI53" s="45" t="str">
        <f>IF(AND(B53&lt;&gt;""),IF($AH$9&lt;&gt;0,VLOOKUP(AH53/$AH$9*100,TRANSMUTATION_TABLE!$A$2:$B$102,2),""),"")</f>
        <v/>
      </c>
      <c r="AJ53" s="46" t="str">
        <f>IF(OR(K53&lt;&gt;"",T53&lt;&gt;"",AC53&lt;&gt;"",AI53&lt;&gt;"",AG53&lt;&gt;""),SUM(PRODUCT(K53,IF(Settings!$F$9&lt;&gt;0,Settings!$F$9/100,0)),PRODUCT(Prelim!T53,IF(Settings!$F$10&lt;&gt;0,Settings!$F$10/100,0)),PRODUCT(Prelim!AC53,IF(Settings!$F$11&lt;&gt;0,Settings!$F$11/100,0)),PRODUCT(Prelim!AG53,IF(Settings!$F$12&lt;&gt;0,Settings!$F$12/100,0)),PRODUCT(Prelim!AI53,IF(Settings!$F$13&lt;&gt;0,Settings!$F$13/100,0))),"")</f>
        <v/>
      </c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</row>
    <row r="54" spans="1:56" ht="12" customHeight="1" thickBot="1" x14ac:dyDescent="0.35">
      <c r="A54" s="54"/>
      <c r="B54" s="60"/>
      <c r="C54" s="214"/>
      <c r="D54" s="85" t="str">
        <f>IF(AND(B54&lt;&gt;""),IF($C$9&lt;&gt;0,VLOOKUP(C54/$C$9*100,TRANSMUTATION_TABLE!$A$2:$B$102,2),""),"")</f>
        <v/>
      </c>
      <c r="E54" s="214"/>
      <c r="F54" s="42" t="str">
        <f>IF(AND(B54&lt;&gt;""),IF($E$9&lt;&gt;0,VLOOKUP(E54/$E$9*100,TRANSMUTATION_TABLE!$A$2:$B$102,2),""),"")</f>
        <v/>
      </c>
      <c r="G54" s="214"/>
      <c r="H54" s="42" t="str">
        <f>IF(AND(B54&lt;&gt;""),IF($G$9&lt;&gt;0,VLOOKUP(G54/$G$9*100,TRANSMUTATION_TABLE!$A$2:$B$102,2),""),"")</f>
        <v/>
      </c>
      <c r="I54" s="214"/>
      <c r="J54" s="43" t="str">
        <f>IF(AND(B54&lt;&gt;""),IF($I$9&lt;&gt;0,VLOOKUP(I54/$I$9*100,TRANSMUTATION_TABLE!$A$2:$B$102,2),""),"")</f>
        <v/>
      </c>
      <c r="K54" s="48" t="str">
        <f t="shared" si="0"/>
        <v/>
      </c>
      <c r="L54" s="214"/>
      <c r="M54" s="43" t="str">
        <f>IF(AND(B54&lt;&gt;""),IF($L$9&lt;&gt;0,VLOOKUP(L54/$L$9*100,TRANSMUTATION_TABLE!$A$2:$B$102,2),""),"")</f>
        <v/>
      </c>
      <c r="N54" s="214"/>
      <c r="O54" s="42" t="str">
        <f>IF(AND(B54&lt;&gt;""),IF($N$9&lt;&gt;0,VLOOKUP(N54/$N$9*100,TRANSMUTATION_TABLE!$A$2:$B$102,2),""),"")</f>
        <v/>
      </c>
      <c r="P54" s="214"/>
      <c r="Q54" s="42" t="str">
        <f>IF(AND(B54&lt;&gt;""),IF($P$9&lt;&gt;0,VLOOKUP(P54/$P$9*100,TRANSMUTATION_TABLE!$A$2:$B$102,2),""),"")</f>
        <v/>
      </c>
      <c r="R54" s="214"/>
      <c r="S54" s="43" t="str">
        <f>IF(AND(B54&lt;&gt;""),IF($R$9&lt;&gt;0,VLOOKUP(R54/$R$9*100,TRANSMUTATION_TABLE!$A$2:$B$102,2),""),"")</f>
        <v/>
      </c>
      <c r="T54" s="48" t="str">
        <f t="shared" si="1"/>
        <v/>
      </c>
      <c r="U54" s="214"/>
      <c r="V54" s="42" t="str">
        <f>IF(AND(B54&lt;&gt;""),IF($U$9&lt;&gt;0,VLOOKUP(U54/$U$9*100,TRANSMUTATION_TABLE!$A$2:$B$102,2),""),"")</f>
        <v/>
      </c>
      <c r="W54" s="214"/>
      <c r="X54" s="42" t="str">
        <f>IF(AND(B54&lt;&gt;""),IF($W$9&lt;&gt;0,VLOOKUP(W54/$W$9*100,TRANSMUTATION_TABLE!$A$2:$B$102,2),""),"")</f>
        <v/>
      </c>
      <c r="Y54" s="214"/>
      <c r="Z54" s="42" t="str">
        <f>IF(AND(B54&lt;&gt;""),IF($Y$9&lt;&gt;0,VLOOKUP(Y54/$Y$9*100,TRANSMUTATION_TABLE!$A$2:$B$102,2),""),"")</f>
        <v/>
      </c>
      <c r="AA54" s="214"/>
      <c r="AB54" s="43" t="str">
        <f>IF(AND(B54&lt;&gt;""),IF($AA$9&lt;&gt;0,VLOOKUP(AA54/$AA$9*100,TRANSMUTATION_TABLE!$A$2:$B$102,2),""),"")</f>
        <v/>
      </c>
      <c r="AC54" s="48" t="str">
        <f t="shared" si="2"/>
        <v/>
      </c>
      <c r="AD54" s="214"/>
      <c r="AE54" s="42" t="str">
        <f>IF(AND(B54&lt;&gt;""),IF($AD$9&lt;&gt;0,VLOOKUP(AD54/$AD$9*100,TRANSMUTATION_TABLE!$A$2:$B$102,2),""),"")</f>
        <v/>
      </c>
      <c r="AF54" s="214">
        <f>Attendance!U51</f>
        <v>0</v>
      </c>
      <c r="AG54" s="87" t="str">
        <f>IF(AND(B54&lt;&gt;""),IF($AF$9&lt;&gt;0,VLOOKUP(AF54/$AF$9*100,TRANSMUTATION_TABLE!$A$2:$B$102,2),""),"")</f>
        <v/>
      </c>
      <c r="AH54" s="214"/>
      <c r="AI54" s="45" t="str">
        <f>IF(AND(B54&lt;&gt;""),IF($AH$9&lt;&gt;0,VLOOKUP(AH54/$AH$9*100,TRANSMUTATION_TABLE!$A$2:$B$102,2),""),"")</f>
        <v/>
      </c>
      <c r="AJ54" s="46" t="str">
        <f>IF(OR(K54&lt;&gt;"",T54&lt;&gt;"",AC54&lt;&gt;"",AI54&lt;&gt;"",AG54&lt;&gt;""),SUM(PRODUCT(K54,IF(Settings!$F$9&lt;&gt;0,Settings!$F$9/100,0)),PRODUCT(Prelim!T54,IF(Settings!$F$10&lt;&gt;0,Settings!$F$10/100,0)),PRODUCT(Prelim!AC54,IF(Settings!$F$11&lt;&gt;0,Settings!$F$11/100,0)),PRODUCT(Prelim!AG54,IF(Settings!$F$12&lt;&gt;0,Settings!$F$12/100,0)),PRODUCT(Prelim!AI54,IF(Settings!$F$13&lt;&gt;0,Settings!$F$13/100,0))),"")</f>
        <v/>
      </c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</row>
    <row r="55" spans="1:56" ht="12" customHeight="1" thickBot="1" x14ac:dyDescent="0.35">
      <c r="A55" s="59"/>
      <c r="B55" s="117"/>
      <c r="C55" s="31"/>
      <c r="D55" s="85" t="str">
        <f>IF(AND(B55&lt;&gt;""),IF($C$9&lt;&gt;0,VLOOKUP(C55/$C$9*100,TRANSMUTATION_TABLE!$A$2:$B$102,2),""),"")</f>
        <v/>
      </c>
      <c r="E55" s="31"/>
      <c r="F55" s="42" t="str">
        <f>IF(AND(B55&lt;&gt;""),IF($E$9&lt;&gt;0,VLOOKUP(E55/$E$9*100,TRANSMUTATION_TABLE!$A$2:$B$102,2),""),"")</f>
        <v/>
      </c>
      <c r="G55" s="31"/>
      <c r="H55" s="42" t="str">
        <f>IF(AND(B55&lt;&gt;""),IF($G$9&lt;&gt;0,VLOOKUP(G55/$G$9*100,TRANSMUTATION_TABLE!$A$2:$B$102,2),""),"")</f>
        <v/>
      </c>
      <c r="I55" s="31"/>
      <c r="J55" s="43" t="str">
        <f>IF(AND(B55&lt;&gt;""),IF($I$9&lt;&gt;0,VLOOKUP(I55/$I$9*100,TRANSMUTATION_TABLE!$A$2:$B$102,2),""),"")</f>
        <v/>
      </c>
      <c r="K55" s="48" t="str">
        <f t="shared" si="0"/>
        <v/>
      </c>
      <c r="L55" s="31"/>
      <c r="M55" s="89" t="str">
        <f>IF(AND(B55&lt;&gt;""),IF($L$9&lt;&gt;0,VLOOKUP(L55/$L$9*100,TRANSMUTATION_TABLE!$A$2:$B$102,2),""),"")</f>
        <v/>
      </c>
      <c r="N55" s="31"/>
      <c r="O55" s="57" t="str">
        <f>IF(AND(B55&lt;&gt;""),IF($N$9&lt;&gt;0,VLOOKUP(N55/$N$9*100,TRANSMUTATION_TABLE!$A$2:$B$102,2),""),"")</f>
        <v/>
      </c>
      <c r="P55" s="31"/>
      <c r="Q55" s="57" t="str">
        <f>IF(AND(B55&lt;&gt;""),IF($P$9&lt;&gt;0,VLOOKUP(P55/$P$9*100,TRANSMUTATION_TABLE!$A$2:$B$102,2),""),"")</f>
        <v/>
      </c>
      <c r="R55" s="31"/>
      <c r="S55" s="89" t="str">
        <f>IF(AND(B55&lt;&gt;""),IF($R$9&lt;&gt;0,VLOOKUP(R55/$R$9*100,TRANSMUTATION_TABLE!$A$2:$B$102,2),""),"")</f>
        <v/>
      </c>
      <c r="T55" s="48" t="str">
        <f t="shared" si="1"/>
        <v/>
      </c>
      <c r="U55" s="31"/>
      <c r="V55" s="57" t="str">
        <f>IF(AND(B55&lt;&gt;""),IF($U$9&lt;&gt;0,VLOOKUP(U55/$U$9*100,TRANSMUTATION_TABLE!$A$2:$B$102,2),""),"")</f>
        <v/>
      </c>
      <c r="W55" s="31"/>
      <c r="X55" s="57" t="str">
        <f>IF(AND(B55&lt;&gt;""),IF($W$9&lt;&gt;0,VLOOKUP(W55/$W$9*100,TRANSMUTATION_TABLE!$A$2:$B$102,2),""),"")</f>
        <v/>
      </c>
      <c r="Y55" s="31"/>
      <c r="Z55" s="57" t="str">
        <f>IF(AND(B55&lt;&gt;""),IF($Y$9&lt;&gt;0,VLOOKUP(Y55/$Y$9*100,TRANSMUTATION_TABLE!$A$2:$B$102,2),""),"")</f>
        <v/>
      </c>
      <c r="AA55" s="31"/>
      <c r="AB55" s="89" t="str">
        <f>IF(AND(B55&lt;&gt;""),IF($AA$9&lt;&gt;0,VLOOKUP(AA55/$AA$9*100,TRANSMUTATION_TABLE!$A$2:$B$102,2),""),"")</f>
        <v/>
      </c>
      <c r="AC55" s="48" t="str">
        <f t="shared" si="2"/>
        <v/>
      </c>
      <c r="AD55" s="31"/>
      <c r="AE55" s="57" t="str">
        <f>IF(AND(B55&lt;&gt;""),IF($AD$9&lt;&gt;0,VLOOKUP(AD55/$AD$9*100,TRANSMUTATION_TABLE!$A$2:$B$102,2),""),"")</f>
        <v/>
      </c>
      <c r="AF55" s="31">
        <f>Attendance!U52</f>
        <v>0</v>
      </c>
      <c r="AG55" s="87" t="str">
        <f>IF(AND(B55&lt;&gt;""),IF($AF$9&lt;&gt;0,VLOOKUP(AF55/$AF$9*100,TRANSMUTATION_TABLE!$A$2:$B$102,2),""),"")</f>
        <v/>
      </c>
      <c r="AH55" s="31"/>
      <c r="AI55" s="45" t="str">
        <f>IF(AND(B55&lt;&gt;""),IF($AH$9&lt;&gt;0,VLOOKUP(AH55/$AH$9*100,TRANSMUTATION_TABLE!$A$2:$B$102,2),""),"")</f>
        <v/>
      </c>
      <c r="AJ55" s="46" t="str">
        <f>IF(OR(K55&lt;&gt;"",T55&lt;&gt;"",AC55&lt;&gt;"",AI55&lt;&gt;"",AG55&lt;&gt;""),SUM(PRODUCT(K55,IF(Settings!$F$9&lt;&gt;0,Settings!$F$9/100,0)),PRODUCT(Prelim!T55,IF(Settings!$F$10&lt;&gt;0,Settings!$F$10/100,0)),PRODUCT(Prelim!AC55,IF(Settings!$F$11&lt;&gt;0,Settings!$F$11/100,0)),PRODUCT(Prelim!AG55,IF(Settings!$F$12&lt;&gt;0,Settings!$F$12/100,0)),PRODUCT(Prelim!AI55,IF(Settings!$F$13&lt;&gt;0,Settings!$F$13/100,0))),"")</f>
        <v/>
      </c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</row>
    <row r="56" spans="1:56" ht="12" customHeight="1" thickBot="1" x14ac:dyDescent="0.35">
      <c r="A56" s="52"/>
      <c r="B56" s="60"/>
      <c r="C56" s="31"/>
      <c r="D56" s="85" t="str">
        <f>IF(AND(B56&lt;&gt;""),IF($C$9&lt;&gt;0,VLOOKUP(C56/$C$9*100,TRANSMUTATION_TABLE!$A$2:$B$102,2),""),"")</f>
        <v/>
      </c>
      <c r="E56" s="31"/>
      <c r="F56" s="42" t="str">
        <f>IF(AND(B56&lt;&gt;""),IF($E$9&lt;&gt;0,VLOOKUP(E56/$E$9*100,TRANSMUTATION_TABLE!$A$2:$B$102,2),""),"")</f>
        <v/>
      </c>
      <c r="G56" s="31"/>
      <c r="H56" s="42" t="str">
        <f>IF(AND(B56&lt;&gt;""),IF($G$9&lt;&gt;0,VLOOKUP(G56/$G$9*100,TRANSMUTATION_TABLE!$A$2:$B$102,2),""),"")</f>
        <v/>
      </c>
      <c r="I56" s="31"/>
      <c r="J56" s="43" t="str">
        <f>IF(AND(B56&lt;&gt;""),IF($I$9&lt;&gt;0,VLOOKUP(I56/$I$9*100,TRANSMUTATION_TABLE!$A$2:$B$102,2),""),"")</f>
        <v/>
      </c>
      <c r="K56" s="48" t="str">
        <f t="shared" si="0"/>
        <v/>
      </c>
      <c r="L56" s="31"/>
      <c r="M56" s="43" t="str">
        <f>IF(AND(B56&lt;&gt;""),IF($L$9&lt;&gt;0,VLOOKUP(L56/$L$9*100,TRANSMUTATION_TABLE!$A$2:$B$102,2),""),"")</f>
        <v/>
      </c>
      <c r="N56" s="31"/>
      <c r="O56" s="42" t="str">
        <f>IF(AND(B56&lt;&gt;""),IF($N$9&lt;&gt;0,VLOOKUP(N56/$N$9*100,TRANSMUTATION_TABLE!$A$2:$B$102,2),""),"")</f>
        <v/>
      </c>
      <c r="P56" s="31"/>
      <c r="Q56" s="42" t="str">
        <f>IF(AND(B56&lt;&gt;""),IF($P$9&lt;&gt;0,VLOOKUP(P56/$P$9*100,TRANSMUTATION_TABLE!$A$2:$B$102,2),""),"")</f>
        <v/>
      </c>
      <c r="R56" s="31"/>
      <c r="S56" s="43" t="str">
        <f>IF(AND(B56&lt;&gt;""),IF($R$9&lt;&gt;0,VLOOKUP(R56/$R$9*100,TRANSMUTATION_TABLE!$A$2:$B$102,2),""),"")</f>
        <v/>
      </c>
      <c r="T56" s="48" t="str">
        <f t="shared" si="1"/>
        <v/>
      </c>
      <c r="U56" s="31"/>
      <c r="V56" s="42" t="str">
        <f>IF(AND(B56&lt;&gt;""),IF($U$9&lt;&gt;0,VLOOKUP(U56/$U$9*100,TRANSMUTATION_TABLE!$A$2:$B$102,2),""),"")</f>
        <v/>
      </c>
      <c r="W56" s="31"/>
      <c r="X56" s="42" t="str">
        <f>IF(AND(B56&lt;&gt;""),IF($W$9&lt;&gt;0,VLOOKUP(W56/$W$9*100,TRANSMUTATION_TABLE!$A$2:$B$102,2),""),"")</f>
        <v/>
      </c>
      <c r="Y56" s="31"/>
      <c r="Z56" s="42" t="str">
        <f>IF(AND(B56&lt;&gt;""),IF($Y$9&lt;&gt;0,VLOOKUP(Y56/$Y$9*100,TRANSMUTATION_TABLE!$A$2:$B$102,2),""),"")</f>
        <v/>
      </c>
      <c r="AA56" s="31"/>
      <c r="AB56" s="43" t="str">
        <f>IF(AND(B56&lt;&gt;""),IF($AA$9&lt;&gt;0,VLOOKUP(AA56/$AA$9*100,TRANSMUTATION_TABLE!$A$2:$B$102,2),""),"")</f>
        <v/>
      </c>
      <c r="AC56" s="48" t="str">
        <f t="shared" si="2"/>
        <v/>
      </c>
      <c r="AD56" s="31"/>
      <c r="AE56" s="42" t="str">
        <f>IF(AND(B56&lt;&gt;""),IF($AD$9&lt;&gt;0,VLOOKUP(AD56/$AD$9*100,TRANSMUTATION_TABLE!$A$2:$B$102,2),""),"")</f>
        <v/>
      </c>
      <c r="AF56" s="31">
        <f>Attendance!U53</f>
        <v>0</v>
      </c>
      <c r="AG56" s="87" t="str">
        <f>IF(AND(B56&lt;&gt;""),IF($AF$9&lt;&gt;0,VLOOKUP(AF56/$AF$9*100,TRANSMUTATION_TABLE!$A$2:$B$102,2),""),"")</f>
        <v/>
      </c>
      <c r="AH56" s="31"/>
      <c r="AI56" s="45" t="str">
        <f>IF(AND(B56&lt;&gt;""),IF($AH$9&lt;&gt;0,VLOOKUP(AH56/$AH$9*100,TRANSMUTATION_TABLE!$A$2:$B$102,2),""),"")</f>
        <v/>
      </c>
      <c r="AJ56" s="46" t="str">
        <f>IF(OR(K56&lt;&gt;"",T56&lt;&gt;"",AC56&lt;&gt;"",AI56&lt;&gt;"",AG56&lt;&gt;""),SUM(PRODUCT(K56,IF(Settings!$F$9&lt;&gt;0,Settings!$F$9/100,0)),PRODUCT(Prelim!T56,IF(Settings!$F$10&lt;&gt;0,Settings!$F$10/100,0)),PRODUCT(Prelim!AC56,IF(Settings!$F$11&lt;&gt;0,Settings!$F$11/100,0)),PRODUCT(Prelim!AG56,IF(Settings!$F$12&lt;&gt;0,Settings!$F$12/100,0)),PRODUCT(Prelim!AI56,IF(Settings!$F$13&lt;&gt;0,Settings!$F$13/100,0))),"")</f>
        <v/>
      </c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</row>
    <row r="57" spans="1:56" ht="12" customHeight="1" thickBot="1" x14ac:dyDescent="0.35">
      <c r="A57" s="52"/>
      <c r="B57" s="60"/>
      <c r="C57" s="31"/>
      <c r="D57" s="85" t="str">
        <f>IF(AND(B57&lt;&gt;""),IF($C$9&lt;&gt;0,VLOOKUP(C57/$C$9*100,TRANSMUTATION_TABLE!$A$2:$B$102,2),""),"")</f>
        <v/>
      </c>
      <c r="E57" s="31"/>
      <c r="F57" s="42" t="str">
        <f>IF(AND(B57&lt;&gt;""),IF($E$9&lt;&gt;0,VLOOKUP(E57/$E$9*100,TRANSMUTATION_TABLE!$A$2:$B$102,2),""),"")</f>
        <v/>
      </c>
      <c r="G57" s="31"/>
      <c r="H57" s="42" t="str">
        <f>IF(AND(B57&lt;&gt;""),IF($G$9&lt;&gt;0,VLOOKUP(G57/$G$9*100,TRANSMUTATION_TABLE!$A$2:$B$102,2),""),"")</f>
        <v/>
      </c>
      <c r="I57" s="31"/>
      <c r="J57" s="43" t="str">
        <f>IF(AND(B57&lt;&gt;""),IF($I$9&lt;&gt;0,VLOOKUP(I57/$I$9*100,TRANSMUTATION_TABLE!$A$2:$B$102,2),""),"")</f>
        <v/>
      </c>
      <c r="K57" s="48" t="str">
        <f t="shared" si="0"/>
        <v/>
      </c>
      <c r="L57" s="31"/>
      <c r="M57" s="43" t="str">
        <f>IF(AND(B57&lt;&gt;""),IF($L$9&lt;&gt;0,VLOOKUP(L57/$L$9*100,TRANSMUTATION_TABLE!$A$2:$B$102,2),""),"")</f>
        <v/>
      </c>
      <c r="N57" s="31"/>
      <c r="O57" s="42" t="str">
        <f>IF(AND(B57&lt;&gt;""),IF($N$9&lt;&gt;0,VLOOKUP(N57/$N$9*100,TRANSMUTATION_TABLE!$A$2:$B$102,2),""),"")</f>
        <v/>
      </c>
      <c r="P57" s="31"/>
      <c r="Q57" s="42" t="str">
        <f>IF(AND(B57&lt;&gt;""),IF($P$9&lt;&gt;0,VLOOKUP(P57/$P$9*100,TRANSMUTATION_TABLE!$A$2:$B$102,2),""),"")</f>
        <v/>
      </c>
      <c r="R57" s="31"/>
      <c r="S57" s="43" t="str">
        <f>IF(AND(B57&lt;&gt;""),IF($R$9&lt;&gt;0,VLOOKUP(R57/$R$9*100,TRANSMUTATION_TABLE!$A$2:$B$102,2),""),"")</f>
        <v/>
      </c>
      <c r="T57" s="48" t="str">
        <f t="shared" si="1"/>
        <v/>
      </c>
      <c r="U57" s="31"/>
      <c r="V57" s="42" t="str">
        <f>IF(AND(B57&lt;&gt;""),IF($U$9&lt;&gt;0,VLOOKUP(U57/$U$9*100,TRANSMUTATION_TABLE!$A$2:$B$102,2),""),"")</f>
        <v/>
      </c>
      <c r="W57" s="31"/>
      <c r="X57" s="42" t="str">
        <f>IF(AND(B57&lt;&gt;""),IF($W$9&lt;&gt;0,VLOOKUP(W57/$W$9*100,TRANSMUTATION_TABLE!$A$2:$B$102,2),""),"")</f>
        <v/>
      </c>
      <c r="Y57" s="31"/>
      <c r="Z57" s="42" t="str">
        <f>IF(AND(B57&lt;&gt;""),IF($Y$9&lt;&gt;0,VLOOKUP(Y57/$Y$9*100,TRANSMUTATION_TABLE!$A$2:$B$102,2),""),"")</f>
        <v/>
      </c>
      <c r="AA57" s="31"/>
      <c r="AB57" s="43" t="str">
        <f>IF(AND(B57&lt;&gt;""),IF($AA$9&lt;&gt;0,VLOOKUP(AA57/$AA$9*100,TRANSMUTATION_TABLE!$A$2:$B$102,2),""),"")</f>
        <v/>
      </c>
      <c r="AC57" s="48" t="str">
        <f t="shared" si="2"/>
        <v/>
      </c>
      <c r="AD57" s="31"/>
      <c r="AE57" s="42" t="str">
        <f>IF(AND(B57&lt;&gt;""),IF($AD$9&lt;&gt;0,VLOOKUP(AD57/$AD$9*100,TRANSMUTATION_TABLE!$A$2:$B$102,2),""),"")</f>
        <v/>
      </c>
      <c r="AF57" s="31">
        <f>Attendance!U54</f>
        <v>0</v>
      </c>
      <c r="AG57" s="87" t="str">
        <f>IF(AND(B57&lt;&gt;""),IF($AF$9&lt;&gt;0,VLOOKUP(AF57/$AF$9*100,TRANSMUTATION_TABLE!$A$2:$B$102,2),""),"")</f>
        <v/>
      </c>
      <c r="AH57" s="31"/>
      <c r="AI57" s="45" t="str">
        <f>IF(AND(B57&lt;&gt;""),IF($AH$9&lt;&gt;0,VLOOKUP(AH57/$AH$9*100,TRANSMUTATION_TABLE!$A$2:$B$102,2),""),"")</f>
        <v/>
      </c>
      <c r="AJ57" s="46" t="str">
        <f>IF(OR(K57&lt;&gt;"",T57&lt;&gt;"",AC57&lt;&gt;"",AI57&lt;&gt;"",AG57&lt;&gt;""),SUM(PRODUCT(K57,IF(Settings!$F$9&lt;&gt;0,Settings!$F$9/100,0)),PRODUCT(Prelim!T57,IF(Settings!$F$10&lt;&gt;0,Settings!$F$10/100,0)),PRODUCT(Prelim!AC57,IF(Settings!$F$11&lt;&gt;0,Settings!$F$11/100,0)),PRODUCT(Prelim!AG57,IF(Settings!$F$12&lt;&gt;0,Settings!$F$12/100,0)),PRODUCT(Prelim!AI57,IF(Settings!$F$13&lt;&gt;0,Settings!$F$13/100,0))),"")</f>
        <v/>
      </c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</row>
    <row r="58" spans="1:56" ht="12" customHeight="1" thickBot="1" x14ac:dyDescent="0.35">
      <c r="A58" s="52"/>
      <c r="B58" s="60"/>
      <c r="C58" s="31"/>
      <c r="D58" s="85" t="str">
        <f>IF(AND(B58&lt;&gt;""),IF($C$9&lt;&gt;0,VLOOKUP(C58/$C$9*100,TRANSMUTATION_TABLE!$A$2:$B$102,2),""),"")</f>
        <v/>
      </c>
      <c r="E58" s="31"/>
      <c r="F58" s="42" t="str">
        <f>IF(AND(B58&lt;&gt;""),IF($E$9&lt;&gt;0,VLOOKUP(E58/$E$9*100,TRANSMUTATION_TABLE!$A$2:$B$102,2),""),"")</f>
        <v/>
      </c>
      <c r="G58" s="31"/>
      <c r="H58" s="42" t="str">
        <f>IF(AND(B58&lt;&gt;""),IF($G$9&lt;&gt;0,VLOOKUP(G58/$G$9*100,TRANSMUTATION_TABLE!$A$2:$B$102,2),""),"")</f>
        <v/>
      </c>
      <c r="I58" s="31"/>
      <c r="J58" s="43" t="str">
        <f>IF(AND(B58&lt;&gt;""),IF($I$9&lt;&gt;0,VLOOKUP(I58/$I$9*100,TRANSMUTATION_TABLE!$A$2:$B$102,2),""),"")</f>
        <v/>
      </c>
      <c r="K58" s="48" t="str">
        <f t="shared" si="0"/>
        <v/>
      </c>
      <c r="L58" s="31"/>
      <c r="M58" s="43" t="str">
        <f>IF(AND(B58&lt;&gt;""),IF($L$9&lt;&gt;0,VLOOKUP(L58/$L$9*100,TRANSMUTATION_TABLE!$A$2:$B$102,2),""),"")</f>
        <v/>
      </c>
      <c r="N58" s="31"/>
      <c r="O58" s="42" t="str">
        <f>IF(AND(B58&lt;&gt;""),IF($N$9&lt;&gt;0,VLOOKUP(N58/$N$9*100,TRANSMUTATION_TABLE!$A$2:$B$102,2),""),"")</f>
        <v/>
      </c>
      <c r="P58" s="31"/>
      <c r="Q58" s="42" t="str">
        <f>IF(AND(B58&lt;&gt;""),IF($P$9&lt;&gt;0,VLOOKUP(P58/$P$9*100,TRANSMUTATION_TABLE!$A$2:$B$102,2),""),"")</f>
        <v/>
      </c>
      <c r="R58" s="31"/>
      <c r="S58" s="43" t="str">
        <f>IF(AND(B58&lt;&gt;""),IF($R$9&lt;&gt;0,VLOOKUP(R58/$R$9*100,TRANSMUTATION_TABLE!$A$2:$B$102,2),""),"")</f>
        <v/>
      </c>
      <c r="T58" s="48" t="str">
        <f t="shared" si="1"/>
        <v/>
      </c>
      <c r="U58" s="31"/>
      <c r="V58" s="42" t="str">
        <f>IF(AND(B58&lt;&gt;""),IF($U$9&lt;&gt;0,VLOOKUP(U58/$U$9*100,TRANSMUTATION_TABLE!$A$2:$B$102,2),""),"")</f>
        <v/>
      </c>
      <c r="W58" s="31"/>
      <c r="X58" s="42" t="str">
        <f>IF(AND(B58&lt;&gt;""),IF($W$9&lt;&gt;0,VLOOKUP(W58/$W$9*100,TRANSMUTATION_TABLE!$A$2:$B$102,2),""),"")</f>
        <v/>
      </c>
      <c r="Y58" s="214"/>
      <c r="Z58" s="42" t="str">
        <f>IF(AND(B58&lt;&gt;""),IF($Y$9&lt;&gt;0,VLOOKUP(Y58/$Y$9*100,TRANSMUTATION_TABLE!$A$2:$B$102,2),""),"")</f>
        <v/>
      </c>
      <c r="AA58" s="31"/>
      <c r="AB58" s="43" t="str">
        <f>IF(AND(B58&lt;&gt;""),IF($AA$9&lt;&gt;0,VLOOKUP(AA58/$AA$9*100,TRANSMUTATION_TABLE!$A$2:$B$102,2),""),"")</f>
        <v/>
      </c>
      <c r="AC58" s="48" t="str">
        <f t="shared" si="2"/>
        <v/>
      </c>
      <c r="AD58" s="31"/>
      <c r="AE58" s="42" t="str">
        <f>IF(AND(B58&lt;&gt;""),IF($AD$9&lt;&gt;0,VLOOKUP(AD58/$AD$9*100,TRANSMUTATION_TABLE!$A$2:$B$102,2),""),"")</f>
        <v/>
      </c>
      <c r="AF58" s="31">
        <f>Attendance!U55</f>
        <v>0</v>
      </c>
      <c r="AG58" s="87" t="str">
        <f>IF(AND(B58&lt;&gt;""),IF($AF$9&lt;&gt;0,VLOOKUP(AF58/$AF$9*100,TRANSMUTATION_TABLE!$A$2:$B$102,2),""),"")</f>
        <v/>
      </c>
      <c r="AH58" s="31"/>
      <c r="AI58" s="45" t="str">
        <f>IF(AND(B58&lt;&gt;""),IF($AH$9&lt;&gt;0,VLOOKUP(AH58/$AH$9*100,TRANSMUTATION_TABLE!$A$2:$B$102,2),""),"")</f>
        <v/>
      </c>
      <c r="AJ58" s="46" t="str">
        <f>IF(OR(K58&lt;&gt;"",T58&lt;&gt;"",AC58&lt;&gt;"",AI58&lt;&gt;"",AG58&lt;&gt;""),SUM(PRODUCT(K58,IF(Settings!$F$9&lt;&gt;0,Settings!$F$9/100,0)),PRODUCT(Prelim!T58,IF(Settings!$F$10&lt;&gt;0,Settings!$F$10/100,0)),PRODUCT(Prelim!AC58,IF(Settings!$F$11&lt;&gt;0,Settings!$F$11/100,0)),PRODUCT(Prelim!AG58,IF(Settings!$F$12&lt;&gt;0,Settings!$F$12/100,0)),PRODUCT(Prelim!AI58,IF(Settings!$F$13&lt;&gt;0,Settings!$F$13/100,0))),"")</f>
        <v/>
      </c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</row>
    <row r="59" spans="1:56" ht="12" customHeight="1" thickBot="1" x14ac:dyDescent="0.35">
      <c r="A59" s="54"/>
      <c r="B59" s="60"/>
      <c r="C59" s="31"/>
      <c r="D59" s="85" t="str">
        <f>IF(AND(B59&lt;&gt;""),IF($C$9&lt;&gt;0,VLOOKUP(C59/$C$9*100,TRANSMUTATION_TABLE!$A$2:$B$102,2),""),"")</f>
        <v/>
      </c>
      <c r="E59" s="31"/>
      <c r="F59" s="42" t="str">
        <f>IF(AND(B59&lt;&gt;""),IF($E$9&lt;&gt;0,VLOOKUP(E59/$E$9*100,TRANSMUTATION_TABLE!$A$2:$B$102,2),""),"")</f>
        <v/>
      </c>
      <c r="G59" s="214"/>
      <c r="H59" s="42" t="str">
        <f>IF(AND(B59&lt;&gt;""),IF($G$9&lt;&gt;0,VLOOKUP(G59/$G$9*100,TRANSMUTATION_TABLE!$A$2:$B$102,2),""),"")</f>
        <v/>
      </c>
      <c r="I59" s="214"/>
      <c r="J59" s="43" t="str">
        <f>IF(AND(B59&lt;&gt;""),IF($I$9&lt;&gt;0,VLOOKUP(I59/$I$9*100,TRANSMUTATION_TABLE!$A$2:$B$102,2),""),"")</f>
        <v/>
      </c>
      <c r="K59" s="48" t="str">
        <f t="shared" si="0"/>
        <v/>
      </c>
      <c r="L59" s="31"/>
      <c r="M59" s="43" t="str">
        <f>IF(AND(B59&lt;&gt;""),IF($L$9&lt;&gt;0,VLOOKUP(L59/$L$9*100,TRANSMUTATION_TABLE!$A$2:$B$102,2),""),"")</f>
        <v/>
      </c>
      <c r="N59" s="31"/>
      <c r="O59" s="42" t="str">
        <f>IF(AND(B59&lt;&gt;""),IF($N$9&lt;&gt;0,VLOOKUP(N59/$N$9*100,TRANSMUTATION_TABLE!$A$2:$B$102,2),""),"")</f>
        <v/>
      </c>
      <c r="P59" s="214"/>
      <c r="Q59" s="42" t="str">
        <f>IF(AND(B59&lt;&gt;""),IF($P$9&lt;&gt;0,VLOOKUP(P59/$P$9*100,TRANSMUTATION_TABLE!$A$2:$B$102,2),""),"")</f>
        <v/>
      </c>
      <c r="R59" s="214"/>
      <c r="S59" s="43" t="str">
        <f>IF(AND(B59&lt;&gt;""),IF($R$9&lt;&gt;0,VLOOKUP(R59/$R$9*100,TRANSMUTATION_TABLE!$A$2:$B$102,2),""),"")</f>
        <v/>
      </c>
      <c r="T59" s="48" t="str">
        <f t="shared" si="1"/>
        <v/>
      </c>
      <c r="U59" s="31"/>
      <c r="V59" s="42" t="str">
        <f>IF(AND(B59&lt;&gt;""),IF($U$9&lt;&gt;0,VLOOKUP(U59/$U$9*100,TRANSMUTATION_TABLE!$A$2:$B$102,2),""),"")</f>
        <v/>
      </c>
      <c r="W59" s="31"/>
      <c r="X59" s="42" t="str">
        <f>IF(AND(B59&lt;&gt;""),IF($W$9&lt;&gt;0,VLOOKUP(W59/$W$9*100,TRANSMUTATION_TABLE!$A$2:$B$102,2),""),"")</f>
        <v/>
      </c>
      <c r="Y59" s="215"/>
      <c r="Z59" s="42" t="str">
        <f>IF(AND(B59&lt;&gt;""),IF($Y$9&lt;&gt;0,VLOOKUP(Y58/$Y$9*100,TRANSMUTATION_TABLE!$A$2:$B$102,2),""),"")</f>
        <v/>
      </c>
      <c r="AA59" s="214"/>
      <c r="AB59" s="43" t="str">
        <f>IF(AND(B59&lt;&gt;""),IF($AA$9&lt;&gt;0,VLOOKUP(AA59/$AA$9*100,TRANSMUTATION_TABLE!$A$2:$B$102,2),""),"")</f>
        <v/>
      </c>
      <c r="AC59" s="48" t="str">
        <f t="shared" si="2"/>
        <v/>
      </c>
      <c r="AD59" s="214"/>
      <c r="AE59" s="42" t="str">
        <f>IF(AND(B59&lt;&gt;""),IF($AD$9&lt;&gt;0,VLOOKUP(AD59/$AD$9*100,TRANSMUTATION_TABLE!$A$2:$B$102,2),""),"")</f>
        <v/>
      </c>
      <c r="AF59" s="214">
        <f>Attendance!U56</f>
        <v>0</v>
      </c>
      <c r="AG59" s="87" t="str">
        <f>IF(AND(B59&lt;&gt;""),IF($AF$9&lt;&gt;0,VLOOKUP(AF59/$AF$9*100,TRANSMUTATION_TABLE!$A$2:$B$102,2),""),"")</f>
        <v/>
      </c>
      <c r="AH59" s="31"/>
      <c r="AI59" s="45" t="str">
        <f>IF(AND(B59&lt;&gt;""),IF($AH$9&lt;&gt;0,VLOOKUP(AH59/$AH$9*100,TRANSMUTATION_TABLE!$A$2:$B$102,2),""),"")</f>
        <v/>
      </c>
      <c r="AJ59" s="46" t="str">
        <f>IF(OR(K59&lt;&gt;"",T59&lt;&gt;"",AC59&lt;&gt;"",AI59&lt;&gt;"",AG59&lt;&gt;""),SUM(PRODUCT(K59,IF(Settings!$F$9&lt;&gt;0,Settings!$F$9/100,0)),PRODUCT(Prelim!T59,IF(Settings!$F$10&lt;&gt;0,Settings!$F$10/100,0)),PRODUCT(Prelim!AC59,IF(Settings!$F$11&lt;&gt;0,Settings!$F$11/100,0)),PRODUCT(Prelim!AG59,IF(Settings!$F$12&lt;&gt;0,Settings!$F$12/100,0)),PRODUCT(Prelim!AI59,IF(Settings!$F$13&lt;&gt;0,Settings!$F$13/100,0))),"")</f>
        <v/>
      </c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</row>
    <row r="60" spans="1:56" ht="12" customHeight="1" thickBot="1" x14ac:dyDescent="0.35">
      <c r="A60" s="54"/>
      <c r="B60" s="60"/>
      <c r="C60" s="214"/>
      <c r="D60" s="85" t="str">
        <f>IF(AND(B60&lt;&gt;""),IF($C$9&lt;&gt;0,VLOOKUP(C60/$C$9*100,TRANSMUTATION_TABLE!$A$2:$B$102,2),""),"")</f>
        <v/>
      </c>
      <c r="E60" s="214"/>
      <c r="F60" s="42" t="str">
        <f>IF(AND(B60&lt;&gt;""),IF($E$9&lt;&gt;0,VLOOKUP(E60/$E$9*100,TRANSMUTATION_TABLE!$A$2:$B$102,2),""),"")</f>
        <v/>
      </c>
      <c r="G60" s="31"/>
      <c r="H60" s="42" t="str">
        <f>IF(AND(B60&lt;&gt;""),IF($G$9&lt;&gt;0,VLOOKUP(G60/$G$9*100,TRANSMUTATION_TABLE!$A$2:$B$102,2),""),"")</f>
        <v/>
      </c>
      <c r="I60" s="31"/>
      <c r="J60" s="43" t="str">
        <f>IF(AND(B60&lt;&gt;""),IF($I$9&lt;&gt;0,VLOOKUP(I60/$I$9*100,TRANSMUTATION_TABLE!$A$2:$B$102,2),""),"")</f>
        <v/>
      </c>
      <c r="K60" s="48" t="str">
        <f t="shared" si="0"/>
        <v/>
      </c>
      <c r="L60" s="214"/>
      <c r="M60" s="89" t="str">
        <f>IF(AND(B60&lt;&gt;""),IF($L$9&lt;&gt;0,VLOOKUP(L60/$L$9*100,TRANSMUTATION_TABLE!$A$2:$B$102,2),""),"")</f>
        <v/>
      </c>
      <c r="N60" s="214"/>
      <c r="O60" s="57" t="str">
        <f>IF(AND(B60&lt;&gt;""),IF($N$9&lt;&gt;0,VLOOKUP(N60/$N$9*100,TRANSMUTATION_TABLE!$A$2:$B$102,2),""),"")</f>
        <v/>
      </c>
      <c r="P60" s="31"/>
      <c r="Q60" s="57" t="str">
        <f>IF(AND(B60&lt;&gt;""),IF($P$9&lt;&gt;0,VLOOKUP(P60/$P$9*100,TRANSMUTATION_TABLE!$A$2:$B$102,2),""),"")</f>
        <v/>
      </c>
      <c r="R60" s="31"/>
      <c r="S60" s="89" t="str">
        <f>IF(AND(B60&lt;&gt;""),IF($R$9&lt;&gt;0,VLOOKUP(R60/$R$9*100,TRANSMUTATION_TABLE!$A$2:$B$102,2),""),"")</f>
        <v/>
      </c>
      <c r="T60" s="48" t="str">
        <f t="shared" si="1"/>
        <v/>
      </c>
      <c r="U60" s="214"/>
      <c r="V60" s="57" t="str">
        <f>IF(AND(B60&lt;&gt;""),IF($U$9&lt;&gt;0,VLOOKUP(U60/$U$9*100,TRANSMUTATION_TABLE!$A$2:$B$102,2),""),"")</f>
        <v/>
      </c>
      <c r="W60" s="214"/>
      <c r="X60" s="57" t="str">
        <f>IF(AND(B60&lt;&gt;""),IF($W$9&lt;&gt;0,VLOOKUP(W60/$W$9*100,TRANSMUTATION_TABLE!$A$2:$B$102,2),""),"")</f>
        <v/>
      </c>
      <c r="Y60" s="31"/>
      <c r="Z60" s="57" t="str">
        <f>IF(AND(B60&lt;&gt;""),IF($Y$9&lt;&gt;0,VLOOKUP(Y60/$Y$9*100,TRANSMUTATION_TABLE!$A$2:$B$102,2),""),"")</f>
        <v/>
      </c>
      <c r="AA60" s="31"/>
      <c r="AB60" s="89" t="str">
        <f>IF(AND(B60&lt;&gt;""),IF($AA$9&lt;&gt;0,VLOOKUP(AA60/$AA$9*100,TRANSMUTATION_TABLE!$A$2:$B$102,2),""),"")</f>
        <v/>
      </c>
      <c r="AC60" s="48" t="str">
        <f t="shared" si="2"/>
        <v/>
      </c>
      <c r="AD60" s="31"/>
      <c r="AE60" s="57" t="str">
        <f>IF(AND(B60&lt;&gt;""),IF($AD$9&lt;&gt;0,VLOOKUP(AD60/$AD$9*100,TRANSMUTATION_TABLE!$A$2:$B$102,2),""),"")</f>
        <v/>
      </c>
      <c r="AF60" s="31">
        <f>Attendance!U57</f>
        <v>0</v>
      </c>
      <c r="AG60" s="87" t="str">
        <f>IF(AND(B60&lt;&gt;""),IF($AF$9&lt;&gt;0,VLOOKUP(AF60/$AF$9*100,TRANSMUTATION_TABLE!$A$2:$B$102,2),""),"")</f>
        <v/>
      </c>
      <c r="AH60" s="214"/>
      <c r="AI60" s="45" t="str">
        <f>IF(AND(B60&lt;&gt;""),IF($AH$9&lt;&gt;0,VLOOKUP(AH60/$AH$9*100,TRANSMUTATION_TABLE!$A$2:$B$102,2),""),"")</f>
        <v/>
      </c>
      <c r="AJ60" s="46" t="str">
        <f>IF(OR(K60&lt;&gt;"",T60&lt;&gt;"",AC60&lt;&gt;"",AI60&lt;&gt;"",AG60&lt;&gt;""),SUM(PRODUCT(K60,IF(Settings!$F$9&lt;&gt;0,Settings!$F$9/100,0)),PRODUCT(Prelim!T60,IF(Settings!$F$10&lt;&gt;0,Settings!$F$10/100,0)),PRODUCT(Prelim!AC60,IF(Settings!$F$11&lt;&gt;0,Settings!$F$11/100,0)),PRODUCT(Prelim!AG60,IF(Settings!$F$12&lt;&gt;0,Settings!$F$12/100,0)),PRODUCT(Prelim!AI60,IF(Settings!$F$13&lt;&gt;0,Settings!$F$13/100,0))),"")</f>
        <v/>
      </c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</row>
    <row r="61" spans="1:56" ht="12" customHeight="1" thickBot="1" x14ac:dyDescent="0.35">
      <c r="A61" s="54"/>
      <c r="B61" s="60"/>
      <c r="C61" s="31"/>
      <c r="D61" s="85" t="str">
        <f>IF(AND(B61&lt;&gt;""),IF($C$9&lt;&gt;0,VLOOKUP(C61/$C$9*100,TRANSMUTATION_TABLE!$A$2:$B$102,2),""),"")</f>
        <v/>
      </c>
      <c r="E61" s="31"/>
      <c r="F61" s="42" t="str">
        <f>IF(AND(B61&lt;&gt;""),IF($E$9&lt;&gt;0,VLOOKUP(E61/$E$9*100,TRANSMUTATION_TABLE!$A$2:$B$102,2),""),"")</f>
        <v/>
      </c>
      <c r="G61" s="31"/>
      <c r="H61" s="42" t="str">
        <f>IF(AND(B61&lt;&gt;""),IF($G$9&lt;&gt;0,VLOOKUP(G61/$G$9*100,TRANSMUTATION_TABLE!$A$2:$B$102,2),""),"")</f>
        <v/>
      </c>
      <c r="I61" s="31"/>
      <c r="J61" s="43" t="str">
        <f>IF(AND(B61&lt;&gt;""),IF($I$9&lt;&gt;0,VLOOKUP(I61/$I$9*100,TRANSMUTATION_TABLE!$A$2:$B$102,2),""),"")</f>
        <v/>
      </c>
      <c r="K61" s="48" t="str">
        <f t="shared" si="0"/>
        <v/>
      </c>
      <c r="L61" s="31"/>
      <c r="M61" s="43" t="str">
        <f>IF(AND(B61&lt;&gt;""),IF($L$9&lt;&gt;0,VLOOKUP(L61/$L$9*100,TRANSMUTATION_TABLE!$A$2:$B$102,2),""),"")</f>
        <v/>
      </c>
      <c r="N61" s="31"/>
      <c r="O61" s="42" t="str">
        <f>IF(AND(B61&lt;&gt;""),IF($N$9&lt;&gt;0,VLOOKUP(N61/$N$9*100,TRANSMUTATION_TABLE!$A$2:$B$102,2),""),"")</f>
        <v/>
      </c>
      <c r="P61" s="31"/>
      <c r="Q61" s="42" t="str">
        <f>IF(AND(B61&lt;&gt;""),IF($P$9&lt;&gt;0,VLOOKUP(P61/$P$9*100,TRANSMUTATION_TABLE!$A$2:$B$102,2),""),"")</f>
        <v/>
      </c>
      <c r="R61" s="31"/>
      <c r="S61" s="43" t="str">
        <f>IF(AND(B61&lt;&gt;""),IF($R$9&lt;&gt;0,VLOOKUP(R61/$R$9*100,TRANSMUTATION_TABLE!$A$2:$B$102,2),""),"")</f>
        <v/>
      </c>
      <c r="T61" s="48" t="str">
        <f t="shared" si="1"/>
        <v/>
      </c>
      <c r="U61" s="31"/>
      <c r="V61" s="42" t="str">
        <f>IF(AND(B61&lt;&gt;""),IF($U$9&lt;&gt;0,VLOOKUP(U61/$U$9*100,TRANSMUTATION_TABLE!$A$2:$B$102,2),""),"")</f>
        <v/>
      </c>
      <c r="W61" s="31"/>
      <c r="X61" s="42" t="str">
        <f>IF(AND(B61&lt;&gt;""),IF($W$9&lt;&gt;0,VLOOKUP(W61/$W$9*100,TRANSMUTATION_TABLE!$A$2:$B$102,2),""),"")</f>
        <v/>
      </c>
      <c r="Y61" s="31"/>
      <c r="Z61" s="42" t="str">
        <f>IF(AND(B61&lt;&gt;""),IF($Y$9&lt;&gt;0,VLOOKUP(Y61/$Y$9*100,TRANSMUTATION_TABLE!$A$2:$B$102,2),""),"")</f>
        <v/>
      </c>
      <c r="AA61" s="31"/>
      <c r="AB61" s="43" t="str">
        <f>IF(AND(B61&lt;&gt;""),IF($AA$9&lt;&gt;0,VLOOKUP(AA61/$AA$9*100,TRANSMUTATION_TABLE!$A$2:$B$102,2),""),"")</f>
        <v/>
      </c>
      <c r="AC61" s="48" t="str">
        <f t="shared" si="2"/>
        <v/>
      </c>
      <c r="AD61" s="31"/>
      <c r="AE61" s="42" t="str">
        <f>IF(AND(B61&lt;&gt;""),IF($AD$9&lt;&gt;0,VLOOKUP(AD61/$AD$9*100,TRANSMUTATION_TABLE!$A$2:$B$102,2),""),"")</f>
        <v/>
      </c>
      <c r="AF61" s="31">
        <f>Attendance!U58</f>
        <v>0</v>
      </c>
      <c r="AG61" s="87" t="str">
        <f>IF(AND(B61&lt;&gt;""),IF($AF$9&lt;&gt;0,VLOOKUP(AF61/$AF$9*100,TRANSMUTATION_TABLE!$A$2:$B$102,2),""),"")</f>
        <v/>
      </c>
      <c r="AH61" s="31"/>
      <c r="AI61" s="45" t="str">
        <f>IF(AND(B61&lt;&gt;""),IF($AH$9&lt;&gt;0,VLOOKUP(AH61/$AH$9*100,TRANSMUTATION_TABLE!$A$2:$B$102,2),""),"")</f>
        <v/>
      </c>
      <c r="AJ61" s="46" t="str">
        <f>IF(OR(K61&lt;&gt;"",T61&lt;&gt;"",AC61&lt;&gt;"",AI61&lt;&gt;"",AG61&lt;&gt;""),SUM(PRODUCT(K61,IF(Settings!$F$9&lt;&gt;0,Settings!$F$9/100,0)),PRODUCT(Prelim!T61,IF(Settings!$F$10&lt;&gt;0,Settings!$F$10/100,0)),PRODUCT(Prelim!AC61,IF(Settings!$F$11&lt;&gt;0,Settings!$F$11/100,0)),PRODUCT(Prelim!AG61,IF(Settings!$F$12&lt;&gt;0,Settings!$F$12/100,0)),PRODUCT(Prelim!AI61,IF(Settings!$F$13&lt;&gt;0,Settings!$F$13/100,0))),"")</f>
        <v/>
      </c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</row>
    <row r="62" spans="1:56" ht="12" customHeight="1" thickBot="1" x14ac:dyDescent="0.35">
      <c r="A62" s="54"/>
      <c r="B62" s="60"/>
      <c r="C62" s="31"/>
      <c r="D62" s="85" t="str">
        <f>IF(AND(B62&lt;&gt;""),IF($C$9&lt;&gt;0,VLOOKUP(C62/$C$9*100,TRANSMUTATION_TABLE!$A$2:$B$102,2),""),"")</f>
        <v/>
      </c>
      <c r="E62" s="31"/>
      <c r="F62" s="42" t="str">
        <f>IF(AND(B62&lt;&gt;""),IF($E$9&lt;&gt;0,VLOOKUP(E62/$E$9*100,TRANSMUTATION_TABLE!$A$2:$B$102,2),""),"")</f>
        <v/>
      </c>
      <c r="G62" s="31"/>
      <c r="H62" s="42" t="str">
        <f>IF(AND(B62&lt;&gt;""),IF($G$9&lt;&gt;0,VLOOKUP(G62/$G$9*100,TRANSMUTATION_TABLE!$A$2:$B$102,2),""),"")</f>
        <v/>
      </c>
      <c r="I62" s="31"/>
      <c r="J62" s="43" t="str">
        <f>IF(AND(B62&lt;&gt;""),IF($I$9&lt;&gt;0,VLOOKUP(I62/$I$9*100,TRANSMUTATION_TABLE!$A$2:$B$102,2),""),"")</f>
        <v/>
      </c>
      <c r="K62" s="48" t="str">
        <f t="shared" si="0"/>
        <v/>
      </c>
      <c r="L62" s="31"/>
      <c r="M62" s="43" t="str">
        <f>IF(AND(B62&lt;&gt;""),IF($L$9&lt;&gt;0,VLOOKUP(L62/$L$9*100,TRANSMUTATION_TABLE!$A$2:$B$102,2),""),"")</f>
        <v/>
      </c>
      <c r="N62" s="31"/>
      <c r="O62" s="42" t="str">
        <f>IF(AND(B62&lt;&gt;""),IF($N$9&lt;&gt;0,VLOOKUP(N62/$N$9*100,TRANSMUTATION_TABLE!$A$2:$B$102,2),""),"")</f>
        <v/>
      </c>
      <c r="P62" s="31"/>
      <c r="Q62" s="42" t="str">
        <f>IF(AND(B62&lt;&gt;""),IF($P$9&lt;&gt;0,VLOOKUP(P62/$P$9*100,TRANSMUTATION_TABLE!$A$2:$B$102,2),""),"")</f>
        <v/>
      </c>
      <c r="R62" s="31"/>
      <c r="S62" s="43" t="str">
        <f>IF(AND(B62&lt;&gt;""),IF($R$9&lt;&gt;0,VLOOKUP(R62/$R$9*100,TRANSMUTATION_TABLE!$A$2:$B$102,2),""),"")</f>
        <v/>
      </c>
      <c r="T62" s="48" t="str">
        <f t="shared" si="1"/>
        <v/>
      </c>
      <c r="U62" s="31"/>
      <c r="V62" s="42" t="str">
        <f>IF(AND(B62&lt;&gt;""),IF($U$9&lt;&gt;0,VLOOKUP(U62/$U$9*100,TRANSMUTATION_TABLE!$A$2:$B$102,2),""),"")</f>
        <v/>
      </c>
      <c r="W62" s="31"/>
      <c r="X62" s="42" t="str">
        <f>IF(AND(B62&lt;&gt;""),IF($W$9&lt;&gt;0,VLOOKUP(W62/$W$9*100,TRANSMUTATION_TABLE!$A$2:$B$102,2),""),"")</f>
        <v/>
      </c>
      <c r="Y62" s="31"/>
      <c r="Z62" s="42" t="str">
        <f>IF(AND(B62&lt;&gt;""),IF($Y$9&lt;&gt;0,VLOOKUP(Y62/$Y$9*100,TRANSMUTATION_TABLE!$A$2:$B$102,2),""),"")</f>
        <v/>
      </c>
      <c r="AA62" s="31"/>
      <c r="AB62" s="43" t="str">
        <f>IF(AND(B62&lt;&gt;""),IF($AA$9&lt;&gt;0,VLOOKUP(AA62/$AA$9*100,TRANSMUTATION_TABLE!$A$2:$B$102,2),""),"")</f>
        <v/>
      </c>
      <c r="AC62" s="48" t="str">
        <f t="shared" si="2"/>
        <v/>
      </c>
      <c r="AD62" s="31"/>
      <c r="AE62" s="42" t="str">
        <f>IF(AND(B62&lt;&gt;""),IF($AD$9&lt;&gt;0,VLOOKUP(AD62/$AD$9*100,TRANSMUTATION_TABLE!$A$2:$B$102,2),""),"")</f>
        <v/>
      </c>
      <c r="AF62" s="31">
        <f>Attendance!U59</f>
        <v>0</v>
      </c>
      <c r="AG62" s="87" t="str">
        <f>IF(AND(B62&lt;&gt;""),IF($AF$9&lt;&gt;0,VLOOKUP(AF62/$AF$9*100,TRANSMUTATION_TABLE!$A$2:$B$102,2),""),"")</f>
        <v/>
      </c>
      <c r="AH62" s="31"/>
      <c r="AI62" s="45" t="str">
        <f>IF(AND(B62&lt;&gt;""),IF($AH$9&lt;&gt;0,VLOOKUP(AH62/$AH$9*100,TRANSMUTATION_TABLE!$A$2:$B$102,2),""),"")</f>
        <v/>
      </c>
      <c r="AJ62" s="46" t="str">
        <f>IF(OR(K62&lt;&gt;"",T62&lt;&gt;"",AC62&lt;&gt;"",AI62&lt;&gt;"",AG62&lt;&gt;""),SUM(PRODUCT(K62,IF(Settings!$F$9&lt;&gt;0,Settings!$F$9/100,0)),PRODUCT(Prelim!T62,IF(Settings!$F$10&lt;&gt;0,Settings!$F$10/100,0)),PRODUCT(Prelim!AC62,IF(Settings!$F$11&lt;&gt;0,Settings!$F$11/100,0)),PRODUCT(Prelim!AG62,IF(Settings!$F$12&lt;&gt;0,Settings!$F$12/100,0)),PRODUCT(Prelim!AI62,IF(Settings!$F$13&lt;&gt;0,Settings!$F$13/100,0))),"")</f>
        <v/>
      </c>
      <c r="AK62" s="16"/>
      <c r="AL62" s="16"/>
      <c r="AM62" s="16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</row>
    <row r="63" spans="1:56" ht="12" customHeight="1" thickBot="1" x14ac:dyDescent="0.35">
      <c r="A63" s="54"/>
      <c r="B63" s="90"/>
      <c r="C63" s="31"/>
      <c r="D63" s="85" t="str">
        <f>IF(AND(B63&lt;&gt;""),IF($C$9&lt;&gt;0,VLOOKUP(C63/$C$9*100,TRANSMUTATION_TABLE!$A$2:$B$102,2),""),"")</f>
        <v/>
      </c>
      <c r="E63" s="31"/>
      <c r="F63" s="42" t="str">
        <f>IF(AND(B63&lt;&gt;""),IF($E$9&lt;&gt;0,VLOOKUP(E63/$E$9*100,TRANSMUTATION_TABLE!$A$2:$B$102,2),""),"")</f>
        <v/>
      </c>
      <c r="G63" s="31"/>
      <c r="H63" s="42" t="str">
        <f>IF(AND(B63&lt;&gt;""),IF($G$9&lt;&gt;0,VLOOKUP(G63/$G$9*100,TRANSMUTATION_TABLE!$A$2:$B$102,2),""),"")</f>
        <v/>
      </c>
      <c r="I63" s="31"/>
      <c r="J63" s="43" t="str">
        <f>IF(AND(B63&lt;&gt;""),IF($I$9&lt;&gt;0,VLOOKUP(I63/$I$9*100,TRANSMUTATION_TABLE!$A$2:$B$102,2),""),"")</f>
        <v/>
      </c>
      <c r="K63" s="48" t="str">
        <f t="shared" si="0"/>
        <v/>
      </c>
      <c r="L63" s="31"/>
      <c r="M63" s="43" t="str">
        <f>IF(AND(B63&lt;&gt;""),IF($L$9&lt;&gt;0,VLOOKUP(L63/$L$9*100,TRANSMUTATION_TABLE!$A$2:$B$102,2),""),"")</f>
        <v/>
      </c>
      <c r="N63" s="31"/>
      <c r="O63" s="42" t="str">
        <f>IF(AND(B63&lt;&gt;""),IF($N$9&lt;&gt;0,VLOOKUP(N63/$N$9*100,TRANSMUTATION_TABLE!$A$2:$B$102,2),""),"")</f>
        <v/>
      </c>
      <c r="P63" s="31"/>
      <c r="Q63" s="42" t="str">
        <f>IF(AND(B63&lt;&gt;""),IF($P$9&lt;&gt;0,VLOOKUP(P63/$P$9*100,TRANSMUTATION_TABLE!$A$2:$B$102,2),""),"")</f>
        <v/>
      </c>
      <c r="R63" s="31"/>
      <c r="S63" s="43" t="str">
        <f>IF(AND(B63&lt;&gt;""),IF($R$9&lt;&gt;0,VLOOKUP(R63/$R$9*100,TRANSMUTATION_TABLE!$A$2:$B$102,2),""),"")</f>
        <v/>
      </c>
      <c r="T63" s="48" t="str">
        <f t="shared" si="1"/>
        <v/>
      </c>
      <c r="U63" s="31"/>
      <c r="V63" s="42" t="str">
        <f>IF(AND(B63&lt;&gt;""),IF($U$9&lt;&gt;0,VLOOKUP(U63/$U$9*100,TRANSMUTATION_TABLE!$A$2:$B$102,2),""),"")</f>
        <v/>
      </c>
      <c r="W63" s="31"/>
      <c r="X63" s="42" t="str">
        <f>IF(AND(B63&lt;&gt;""),IF($W$9&lt;&gt;0,VLOOKUP(W63/$W$9*100,TRANSMUTATION_TABLE!$A$2:$B$102,2),""),"")</f>
        <v/>
      </c>
      <c r="Y63" s="31"/>
      <c r="Z63" s="42" t="str">
        <f>IF(AND(B63&lt;&gt;""),IF($Y$9&lt;&gt;0,VLOOKUP(Y63/$Y$9*100,TRANSMUTATION_TABLE!$A$2:$B$102,2),""),"")</f>
        <v/>
      </c>
      <c r="AA63" s="31"/>
      <c r="AB63" s="43" t="str">
        <f>IF(AND(B63&lt;&gt;""),IF($AA$9&lt;&gt;0,VLOOKUP(AA63/$AA$9*100,TRANSMUTATION_TABLE!$A$2:$B$102,2),""),"")</f>
        <v/>
      </c>
      <c r="AC63" s="48" t="str">
        <f t="shared" si="2"/>
        <v/>
      </c>
      <c r="AD63" s="31"/>
      <c r="AE63" s="42" t="str">
        <f>IF(AND(B63&lt;&gt;""),IF($AD$9&lt;&gt;0,VLOOKUP(AD63/$AD$9*100,TRANSMUTATION_TABLE!$A$2:$B$102,2),""),"")</f>
        <v/>
      </c>
      <c r="AF63" s="31">
        <f>Attendance!U60</f>
        <v>0</v>
      </c>
      <c r="AG63" s="87" t="str">
        <f>IF(AND(B63&lt;&gt;""),IF($AF$9&lt;&gt;0,VLOOKUP(AF63/$AF$9*100,TRANSMUTATION_TABLE!$A$2:$B$102,2),""),"")</f>
        <v/>
      </c>
      <c r="AH63" s="31"/>
      <c r="AI63" s="45" t="str">
        <f>IF(AND(B63&lt;&gt;""),IF($AH$9&lt;&gt;0,VLOOKUP(AH63/$AH$9*100,TRANSMUTATION_TABLE!$A$2:$B$102,2),""),"")</f>
        <v/>
      </c>
      <c r="AJ63" s="46" t="str">
        <f>IF(OR(K63&lt;&gt;"",T63&lt;&gt;"",AC63&lt;&gt;"",AI63&lt;&gt;"",AG63&lt;&gt;""),SUM(PRODUCT(K63,IF(Settings!$F$9&lt;&gt;0,Settings!$F$9/100,0)),PRODUCT(Prelim!T63,IF(Settings!$F$10&lt;&gt;0,Settings!$F$10/100,0)),PRODUCT(Prelim!AC63,IF(Settings!$F$11&lt;&gt;0,Settings!$F$11/100,0)),PRODUCT(Prelim!AG63,IF(Settings!$F$12&lt;&gt;0,Settings!$F$12/100,0)),PRODUCT(Prelim!AI63,IF(Settings!$F$13&lt;&gt;0,Settings!$F$13/100,0))),"")</f>
        <v/>
      </c>
      <c r="AK63" s="16"/>
      <c r="AL63" s="16"/>
      <c r="AM63" s="16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</row>
    <row r="64" spans="1:56" ht="12" customHeight="1" thickBot="1" x14ac:dyDescent="0.35">
      <c r="A64" s="54"/>
      <c r="B64" s="61"/>
      <c r="C64" s="214"/>
      <c r="D64" s="85" t="str">
        <f>IF(AND(B64&lt;&gt;""),IF($C$9&lt;&gt;0,VLOOKUP(C64/$C$9*100,TRANSMUTATION_TABLE!$A$2:$B$102,2),""),"")</f>
        <v/>
      </c>
      <c r="E64" s="214"/>
      <c r="F64" s="42" t="str">
        <f>IF(AND(B64&lt;&gt;""),IF($E$9&lt;&gt;0,VLOOKUP(E64/$E$9*100,TRANSMUTATION_TABLE!$A$2:$B$102,2),""),"")</f>
        <v/>
      </c>
      <c r="G64" s="214"/>
      <c r="H64" s="42" t="str">
        <f>IF(AND(B64&lt;&gt;""),IF($G$9&lt;&gt;0,VLOOKUP(G64/$G$9*100,TRANSMUTATION_TABLE!$A$2:$B$102,2),""),"")</f>
        <v/>
      </c>
      <c r="I64" s="214"/>
      <c r="J64" s="43" t="str">
        <f>IF(AND(B64&lt;&gt;""),IF($I$9&lt;&gt;0,VLOOKUP(I64/$I$9*100,TRANSMUTATION_TABLE!$A$2:$B$102,2),""),"")</f>
        <v/>
      </c>
      <c r="K64" s="48" t="str">
        <f t="shared" si="0"/>
        <v/>
      </c>
      <c r="L64" s="214"/>
      <c r="M64" s="43" t="str">
        <f>IF(AND(B64&lt;&gt;""),IF($L$9&lt;&gt;0,VLOOKUP(L64/$L$9*100,TRANSMUTATION_TABLE!$A$2:$B$102,2),""),"")</f>
        <v/>
      </c>
      <c r="N64" s="214"/>
      <c r="O64" s="42" t="str">
        <f>IF(AND(B64&lt;&gt;""),IF($N$9&lt;&gt;0,VLOOKUP(N64/$N$9*100,TRANSMUTATION_TABLE!$A$2:$B$102,2),""),"")</f>
        <v/>
      </c>
      <c r="P64" s="214"/>
      <c r="Q64" s="42" t="str">
        <f>IF(AND(B64&lt;&gt;""),IF($P$9&lt;&gt;0,VLOOKUP(P64/$P$9*100,TRANSMUTATION_TABLE!$A$2:$B$102,2),""),"")</f>
        <v/>
      </c>
      <c r="R64" s="214"/>
      <c r="S64" s="43" t="str">
        <f>IF(AND(B64&lt;&gt;""),IF($R$9&lt;&gt;0,VLOOKUP(R64/$R$9*100,TRANSMUTATION_TABLE!$A$2:$B$102,2),""),"")</f>
        <v/>
      </c>
      <c r="T64" s="48" t="str">
        <f t="shared" si="1"/>
        <v/>
      </c>
      <c r="U64" s="214"/>
      <c r="V64" s="42" t="str">
        <f>IF(AND(B64&lt;&gt;""),IF($U$9&lt;&gt;0,VLOOKUP(U64/$U$9*100,TRANSMUTATION_TABLE!$A$2:$B$102,2),""),"")</f>
        <v/>
      </c>
      <c r="W64" s="214"/>
      <c r="X64" s="42" t="str">
        <f>IF(AND(B64&lt;&gt;""),IF($W$9&lt;&gt;0,VLOOKUP(W64/$W$9*100,TRANSMUTATION_TABLE!$A$2:$B$102,2),""),"")</f>
        <v/>
      </c>
      <c r="Y64" s="214"/>
      <c r="Z64" s="42" t="str">
        <f>IF(AND(B64&lt;&gt;""),IF($Y$9&lt;&gt;0,VLOOKUP(Y64/$Y$9*100,TRANSMUTATION_TABLE!$A$2:$B$102,2),""),"")</f>
        <v/>
      </c>
      <c r="AA64" s="214"/>
      <c r="AB64" s="43" t="str">
        <f>IF(AND(B64&lt;&gt;""),IF($AA$9&lt;&gt;0,VLOOKUP(AA64/$AA$9*100,TRANSMUTATION_TABLE!$A$2:$B$102,2),""),"")</f>
        <v/>
      </c>
      <c r="AC64" s="48" t="str">
        <f t="shared" si="2"/>
        <v/>
      </c>
      <c r="AD64" s="214"/>
      <c r="AE64" s="42" t="str">
        <f>IF(AND(B64&lt;&gt;""),IF($AD$9&lt;&gt;0,VLOOKUP(AD64/$AD$9*100,TRANSMUTATION_TABLE!$A$2:$B$102,2),""),"")</f>
        <v/>
      </c>
      <c r="AF64" s="214">
        <f>Attendance!U61</f>
        <v>0</v>
      </c>
      <c r="AG64" s="87" t="str">
        <f>IF(AND(B64&lt;&gt;""),IF($AF$9&lt;&gt;0,VLOOKUP(AF64/$AF$9*100,TRANSMUTATION_TABLE!$A$2:$B$102,2),""),"")</f>
        <v/>
      </c>
      <c r="AH64" s="214"/>
      <c r="AI64" s="45" t="str">
        <f>IF(AND(B64&lt;&gt;""),IF($AH$9&lt;&gt;0,VLOOKUP(AH64/$AH$9*100,TRANSMUTATION_TABLE!$A$2:$B$102,2),""),"")</f>
        <v/>
      </c>
      <c r="AJ64" s="46" t="str">
        <f>IF(OR(K64&lt;&gt;"",T64&lt;&gt;"",AC64&lt;&gt;"",AI64&lt;&gt;"",AG64&lt;&gt;""),SUM(PRODUCT(K64,IF(Settings!$F$9&lt;&gt;0,Settings!$F$9/100,0)),PRODUCT(Prelim!T64,IF(Settings!$F$10&lt;&gt;0,Settings!$F$10/100,0)),PRODUCT(Prelim!AC64,IF(Settings!$F$11&lt;&gt;0,Settings!$F$11/100,0)),PRODUCT(Prelim!AG64,IF(Settings!$F$12&lt;&gt;0,Settings!$F$12/100,0)),PRODUCT(Prelim!AI64,IF(Settings!$F$13&lt;&gt;0,Settings!$F$13/100,0))),"")</f>
        <v/>
      </c>
      <c r="AK64" s="16"/>
      <c r="AL64" s="16"/>
      <c r="AM64" s="16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</row>
    <row r="65" spans="1:56" ht="12" customHeight="1" thickBot="1" x14ac:dyDescent="0.35">
      <c r="A65" s="54"/>
      <c r="B65" s="90"/>
      <c r="C65" s="31"/>
      <c r="D65" s="85" t="str">
        <f>IF(AND(B65&lt;&gt;""),IF($C$9&lt;&gt;0,VLOOKUP(C65/$C$9*100,TRANSMUTATION_TABLE!$A$2:$B$102,2),""),"")</f>
        <v/>
      </c>
      <c r="E65" s="31"/>
      <c r="F65" s="42" t="str">
        <f>IF(AND(B65&lt;&gt;""),IF($E$9&lt;&gt;0,VLOOKUP(E65/$E$9*100,TRANSMUTATION_TABLE!$A$2:$B$102,2),""),"")</f>
        <v/>
      </c>
      <c r="G65" s="31"/>
      <c r="H65" s="42" t="str">
        <f>IF(AND(B65&lt;&gt;""),IF($G$9&lt;&gt;0,VLOOKUP(G65/$G$9*100,TRANSMUTATION_TABLE!$A$2:$B$102,2),""),"")</f>
        <v/>
      </c>
      <c r="I65" s="31"/>
      <c r="J65" s="43" t="str">
        <f>IF(AND(B65&lt;&gt;""),IF($I$9&lt;&gt;0,VLOOKUP(I65/$I$9*100,TRANSMUTATION_TABLE!$A$2:$B$102,2),""),"")</f>
        <v/>
      </c>
      <c r="K65" s="48" t="str">
        <f t="shared" si="0"/>
        <v/>
      </c>
      <c r="L65" s="31"/>
      <c r="M65" s="89" t="str">
        <f>IF(AND(B65&lt;&gt;""),IF($L$9&lt;&gt;0,VLOOKUP(L65/$L$9*100,TRANSMUTATION_TABLE!$A$2:$B$102,2),""),"")</f>
        <v/>
      </c>
      <c r="N65" s="31"/>
      <c r="O65" s="57" t="str">
        <f>IF(AND(B65&lt;&gt;""),IF($N$9&lt;&gt;0,VLOOKUP(N65/$N$9*100,TRANSMUTATION_TABLE!$A$2:$B$102,2),""),"")</f>
        <v/>
      </c>
      <c r="P65" s="31"/>
      <c r="Q65" s="57" t="str">
        <f>IF(AND(B65&lt;&gt;""),IF($P$9&lt;&gt;0,VLOOKUP(P65/$P$9*100,TRANSMUTATION_TABLE!$A$2:$B$102,2),""),"")</f>
        <v/>
      </c>
      <c r="R65" s="31"/>
      <c r="S65" s="89" t="str">
        <f>IF(AND(B65&lt;&gt;""),IF($R$9&lt;&gt;0,VLOOKUP(R65/$R$9*100,TRANSMUTATION_TABLE!$A$2:$B$102,2),""),"")</f>
        <v/>
      </c>
      <c r="T65" s="48" t="str">
        <f t="shared" si="1"/>
        <v/>
      </c>
      <c r="U65" s="31"/>
      <c r="V65" s="57" t="str">
        <f>IF(AND(B65&lt;&gt;""),IF($U$9&lt;&gt;0,VLOOKUP(U65/$U$9*100,TRANSMUTATION_TABLE!$A$2:$B$102,2),""),"")</f>
        <v/>
      </c>
      <c r="W65" s="31"/>
      <c r="X65" s="57" t="str">
        <f>IF(AND(B65&lt;&gt;""),IF($W$9&lt;&gt;0,VLOOKUP(W65/$W$9*100,TRANSMUTATION_TABLE!$A$2:$B$102,2),""),"")</f>
        <v/>
      </c>
      <c r="Y65" s="31"/>
      <c r="Z65" s="57" t="str">
        <f>IF(AND(B65&lt;&gt;""),IF($Y$9&lt;&gt;0,VLOOKUP(Y65/$Y$9*100,TRANSMUTATION_TABLE!$A$2:$B$102,2),""),"")</f>
        <v/>
      </c>
      <c r="AA65" s="31"/>
      <c r="AB65" s="89" t="str">
        <f>IF(AND(B65&lt;&gt;""),IF($AA$9&lt;&gt;0,VLOOKUP(AA65/$AA$9*100,TRANSMUTATION_TABLE!$A$2:$B$102,2),""),"")</f>
        <v/>
      </c>
      <c r="AC65" s="48" t="str">
        <f t="shared" si="2"/>
        <v/>
      </c>
      <c r="AD65" s="31"/>
      <c r="AE65" s="57" t="str">
        <f>IF(AND(B65&lt;&gt;""),IF($AD$9&lt;&gt;0,VLOOKUP(AD65/$AD$9*100,TRANSMUTATION_TABLE!$A$2:$B$102,2),""),"")</f>
        <v/>
      </c>
      <c r="AF65" s="31">
        <f>Attendance!U62</f>
        <v>0</v>
      </c>
      <c r="AG65" s="87" t="str">
        <f>IF(AND(B65&lt;&gt;""),IF($AF$9&lt;&gt;0,VLOOKUP(AF65/$AF$9*100,TRANSMUTATION_TABLE!$A$2:$B$102,2),""),"")</f>
        <v/>
      </c>
      <c r="AH65" s="31"/>
      <c r="AI65" s="45" t="str">
        <f>IF(AND(B65&lt;&gt;""),IF($AH$9&lt;&gt;0,VLOOKUP(AH65/$AH$9*100,TRANSMUTATION_TABLE!$A$2:$B$102,2),""),"")</f>
        <v/>
      </c>
      <c r="AJ65" s="46" t="str">
        <f>IF(OR(K65&lt;&gt;"",T65&lt;&gt;"",AC65&lt;&gt;"",AI65&lt;&gt;"",AG65&lt;&gt;""),SUM(PRODUCT(K65,IF(Settings!$F$9&lt;&gt;0,Settings!$F$9/100,0)),PRODUCT(Prelim!T65,IF(Settings!$F$10&lt;&gt;0,Settings!$F$10/100,0)),PRODUCT(Prelim!AC65,IF(Settings!$F$11&lt;&gt;0,Settings!$F$11/100,0)),PRODUCT(Prelim!AG65,IF(Settings!$F$12&lt;&gt;0,Settings!$F$12/100,0)),PRODUCT(Prelim!AI65,IF(Settings!$F$13&lt;&gt;0,Settings!$F$13/100,0))),"")</f>
        <v/>
      </c>
      <c r="AK65" s="16"/>
      <c r="AL65" s="16"/>
      <c r="AM65" s="16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</row>
    <row r="66" spans="1:56" ht="12" customHeight="1" thickBot="1" x14ac:dyDescent="0.35">
      <c r="A66" s="54"/>
      <c r="B66" s="90"/>
      <c r="C66" s="31"/>
      <c r="D66" s="85" t="str">
        <f>IF(AND(B66&lt;&gt;""),IF($C$9&lt;&gt;0,VLOOKUP(C66/$C$9*100,TRANSMUTATION_TABLE!$A$2:$B$102,2),""),"")</f>
        <v/>
      </c>
      <c r="E66" s="31"/>
      <c r="F66" s="42" t="str">
        <f>IF(AND(B66&lt;&gt;""),IF($E$9&lt;&gt;0,VLOOKUP(E66/$E$9*100,TRANSMUTATION_TABLE!$A$2:$B$102,2),""),"")</f>
        <v/>
      </c>
      <c r="G66" s="31"/>
      <c r="H66" s="42" t="str">
        <f>IF(AND(B66&lt;&gt;""),IF($G$9&lt;&gt;0,VLOOKUP(G66/$G$9*100,TRANSMUTATION_TABLE!$A$2:$B$102,2),""),"")</f>
        <v/>
      </c>
      <c r="I66" s="31"/>
      <c r="J66" s="43" t="str">
        <f>IF(AND(B66&lt;&gt;""),IF($I$9&lt;&gt;0,VLOOKUP(I66/$I$9*100,TRANSMUTATION_TABLE!$A$2:$B$102,2),""),"")</f>
        <v/>
      </c>
      <c r="K66" s="48" t="str">
        <f t="shared" si="0"/>
        <v/>
      </c>
      <c r="L66" s="31"/>
      <c r="M66" s="43" t="str">
        <f>IF(AND(B66&lt;&gt;""),IF($L$9&lt;&gt;0,VLOOKUP(L66/$L$9*100,TRANSMUTATION_TABLE!$A$2:$B$102,2),""),"")</f>
        <v/>
      </c>
      <c r="N66" s="31"/>
      <c r="O66" s="42" t="str">
        <f>IF(AND(B66&lt;&gt;""),IF($N$9&lt;&gt;0,VLOOKUP(N66/$N$9*100,TRANSMUTATION_TABLE!$A$2:$B$102,2),""),"")</f>
        <v/>
      </c>
      <c r="P66" s="31"/>
      <c r="Q66" s="42" t="str">
        <f>IF(AND(B66&lt;&gt;""),IF($P$9&lt;&gt;0,VLOOKUP(P66/$P$9*100,TRANSMUTATION_TABLE!$A$2:$B$102,2),""),"")</f>
        <v/>
      </c>
      <c r="R66" s="31"/>
      <c r="S66" s="43" t="str">
        <f>IF(AND(B66&lt;&gt;""),IF($R$9&lt;&gt;0,VLOOKUP(R66/$R$9*100,TRANSMUTATION_TABLE!$A$2:$B$102,2),""),"")</f>
        <v/>
      </c>
      <c r="T66" s="48" t="str">
        <f t="shared" si="1"/>
        <v/>
      </c>
      <c r="U66" s="31"/>
      <c r="V66" s="42" t="str">
        <f>IF(AND(B66&lt;&gt;""),IF($U$9&lt;&gt;0,VLOOKUP(U66/$U$9*100,TRANSMUTATION_TABLE!$A$2:$B$102,2),""),"")</f>
        <v/>
      </c>
      <c r="W66" s="31"/>
      <c r="X66" s="42" t="str">
        <f>IF(AND(B66&lt;&gt;""),IF($W$9&lt;&gt;0,VLOOKUP(W66/$W$9*100,TRANSMUTATION_TABLE!$A$2:$B$102,2),""),"")</f>
        <v/>
      </c>
      <c r="Y66" s="31"/>
      <c r="Z66" s="42" t="str">
        <f>IF(AND(B66&lt;&gt;""),IF($Y$9&lt;&gt;0,VLOOKUP(Y66/$Y$9*100,TRANSMUTATION_TABLE!$A$2:$B$102,2),""),"")</f>
        <v/>
      </c>
      <c r="AA66" s="31"/>
      <c r="AB66" s="43" t="str">
        <f>IF(AND(B66&lt;&gt;""),IF($AA$9&lt;&gt;0,VLOOKUP(AA66/$AA$9*100,TRANSMUTATION_TABLE!$A$2:$B$102,2),""),"")</f>
        <v/>
      </c>
      <c r="AC66" s="48" t="str">
        <f t="shared" si="2"/>
        <v/>
      </c>
      <c r="AD66" s="31"/>
      <c r="AE66" s="42" t="str">
        <f>IF(AND(B66&lt;&gt;""),IF($AD$9&lt;&gt;0,VLOOKUP(AD66/$AD$9*100,TRANSMUTATION_TABLE!$A$2:$B$102,2),""),"")</f>
        <v/>
      </c>
      <c r="AF66" s="31">
        <f>Attendance!U63</f>
        <v>0</v>
      </c>
      <c r="AG66" s="87" t="str">
        <f>IF(AND(B66&lt;&gt;""),IF($AF$9&lt;&gt;0,VLOOKUP(AF66/$AF$9*100,TRANSMUTATION_TABLE!$A$2:$B$102,2),""),"")</f>
        <v/>
      </c>
      <c r="AH66" s="31"/>
      <c r="AI66" s="45" t="str">
        <f>IF(AND(B66&lt;&gt;""),IF($AH$9&lt;&gt;0,VLOOKUP(AH66/$AH$9*100,TRANSMUTATION_TABLE!$A$2:$B$102,2),""),"")</f>
        <v/>
      </c>
      <c r="AJ66" s="46" t="str">
        <f>IF(OR(K66&lt;&gt;"",T66&lt;&gt;"",AC66&lt;&gt;"",AI66&lt;&gt;"",AG66&lt;&gt;""),SUM(PRODUCT(K66,IF(Settings!$F$9&lt;&gt;0,Settings!$F$9/100,0)),PRODUCT(Prelim!T66,IF(Settings!$F$10&lt;&gt;0,Settings!$F$10/100,0)),PRODUCT(Prelim!AC66,IF(Settings!$F$11&lt;&gt;0,Settings!$F$11/100,0)),PRODUCT(Prelim!AG66,IF(Settings!$F$12&lt;&gt;0,Settings!$F$12/100,0)),PRODUCT(Prelim!AI66,IF(Settings!$F$13&lt;&gt;0,Settings!$F$13/100,0))),"")</f>
        <v/>
      </c>
      <c r="AK66" s="16"/>
      <c r="AL66" s="16"/>
      <c r="AM66" s="16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</row>
    <row r="67" spans="1:56" ht="12" customHeight="1" thickBot="1" x14ac:dyDescent="0.35">
      <c r="A67" s="54"/>
      <c r="B67" s="90"/>
      <c r="C67" s="31"/>
      <c r="D67" s="85" t="str">
        <f>IF(AND(B67&lt;&gt;""),IF($C$9&lt;&gt;0,VLOOKUP(C67/$C$9*100,TRANSMUTATION_TABLE!$A$2:$B$102,2),""),"")</f>
        <v/>
      </c>
      <c r="E67" s="31"/>
      <c r="F67" s="42" t="str">
        <f>IF(AND(B67&lt;&gt;""),IF($E$9&lt;&gt;0,VLOOKUP(E67/$E$9*100,TRANSMUTATION_TABLE!$A$2:$B$102,2),""),"")</f>
        <v/>
      </c>
      <c r="G67" s="31"/>
      <c r="H67" s="42" t="str">
        <f>IF(AND(B67&lt;&gt;""),IF($G$9&lt;&gt;0,VLOOKUP(G67/$G$9*100,TRANSMUTATION_TABLE!$A$2:$B$102,2),""),"")</f>
        <v/>
      </c>
      <c r="I67" s="31"/>
      <c r="J67" s="43" t="str">
        <f>IF(AND(B67&lt;&gt;""),IF($I$9&lt;&gt;0,VLOOKUP(I67/$I$9*100,TRANSMUTATION_TABLE!$A$2:$B$102,2),""),"")</f>
        <v/>
      </c>
      <c r="K67" s="48" t="str">
        <f t="shared" si="0"/>
        <v/>
      </c>
      <c r="L67" s="31"/>
      <c r="M67" s="43" t="str">
        <f>IF(AND(B67&lt;&gt;""),IF($L$9&lt;&gt;0,VLOOKUP(L67/$L$9*100,TRANSMUTATION_TABLE!$A$2:$B$102,2),""),"")</f>
        <v/>
      </c>
      <c r="N67" s="31"/>
      <c r="O67" s="42" t="str">
        <f>IF(AND(B67&lt;&gt;""),IF($N$9&lt;&gt;0,VLOOKUP(N67/$N$9*100,TRANSMUTATION_TABLE!$A$2:$B$102,2),""),"")</f>
        <v/>
      </c>
      <c r="P67" s="31"/>
      <c r="Q67" s="42" t="str">
        <f>IF(AND(B67&lt;&gt;""),IF($P$9&lt;&gt;0,VLOOKUP(P67/$P$9*100,TRANSMUTATION_TABLE!$A$2:$B$102,2),""),"")</f>
        <v/>
      </c>
      <c r="R67" s="31"/>
      <c r="S67" s="43" t="str">
        <f>IF(AND(B67&lt;&gt;""),IF($R$9&lt;&gt;0,VLOOKUP(R67/$R$9*100,TRANSMUTATION_TABLE!$A$2:$B$102,2),""),"")</f>
        <v/>
      </c>
      <c r="T67" s="48" t="str">
        <f t="shared" si="1"/>
        <v/>
      </c>
      <c r="U67" s="31"/>
      <c r="V67" s="42" t="str">
        <f>IF(AND(B67&lt;&gt;""),IF($U$9&lt;&gt;0,VLOOKUP(U67/$U$9*100,TRANSMUTATION_TABLE!$A$2:$B$102,2),""),"")</f>
        <v/>
      </c>
      <c r="W67" s="31"/>
      <c r="X67" s="42" t="str">
        <f>IF(AND(B67&lt;&gt;""),IF($W$9&lt;&gt;0,VLOOKUP(W67/$W$9*100,TRANSMUTATION_TABLE!$A$2:$B$102,2),""),"")</f>
        <v/>
      </c>
      <c r="Y67" s="31"/>
      <c r="Z67" s="42" t="str">
        <f>IF(AND(B67&lt;&gt;""),IF($Y$9&lt;&gt;0,VLOOKUP(Y67/$Y$9*100,TRANSMUTATION_TABLE!$A$2:$B$102,2),""),"")</f>
        <v/>
      </c>
      <c r="AA67" s="31"/>
      <c r="AB67" s="43" t="str">
        <f>IF(AND(B67&lt;&gt;""),IF($AA$9&lt;&gt;0,VLOOKUP(AA67/$AA$9*100,TRANSMUTATION_TABLE!$A$2:$B$102,2),""),"")</f>
        <v/>
      </c>
      <c r="AC67" s="48" t="str">
        <f t="shared" si="2"/>
        <v/>
      </c>
      <c r="AD67" s="31"/>
      <c r="AE67" s="42" t="str">
        <f>IF(AND(B67&lt;&gt;""),IF($AD$9&lt;&gt;0,VLOOKUP(AD67/$AD$9*100,TRANSMUTATION_TABLE!$A$2:$B$102,2),""),"")</f>
        <v/>
      </c>
      <c r="AF67" s="31">
        <f>Attendance!U64</f>
        <v>0</v>
      </c>
      <c r="AG67" s="87" t="str">
        <f>IF(AND(B67&lt;&gt;""),IF($AF$9&lt;&gt;0,VLOOKUP(AF67/$AF$9*100,TRANSMUTATION_TABLE!$A$2:$B$102,2),""),"")</f>
        <v/>
      </c>
      <c r="AH67" s="31"/>
      <c r="AI67" s="45" t="str">
        <f>IF(AND(B67&lt;&gt;""),IF($AH$9&lt;&gt;0,VLOOKUP(AH67/$AH$9*100,TRANSMUTATION_TABLE!$A$2:$B$102,2),""),"")</f>
        <v/>
      </c>
      <c r="AJ67" s="46" t="str">
        <f>IF(OR(K67&lt;&gt;"",T67&lt;&gt;"",AC67&lt;&gt;"",AI67&lt;&gt;"",AG67&lt;&gt;""),SUM(PRODUCT(K67,IF(Settings!$F$9&lt;&gt;0,Settings!$F$9/100,0)),PRODUCT(Prelim!T67,IF(Settings!$F$10&lt;&gt;0,Settings!$F$10/100,0)),PRODUCT(Prelim!AC67,IF(Settings!$F$11&lt;&gt;0,Settings!$F$11/100,0)),PRODUCT(Prelim!AG67,IF(Settings!$F$12&lt;&gt;0,Settings!$F$12/100,0)),PRODUCT(Prelim!AI67,IF(Settings!$F$13&lt;&gt;0,Settings!$F$13/100,0))),"")</f>
        <v/>
      </c>
      <c r="AK67" s="16"/>
      <c r="AL67" s="16"/>
      <c r="AM67" s="16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</row>
    <row r="68" spans="1:56" ht="12" customHeight="1" thickBot="1" x14ac:dyDescent="0.35">
      <c r="A68" s="54"/>
      <c r="B68" s="90"/>
      <c r="C68" s="31"/>
      <c r="D68" s="85" t="str">
        <f>IF(AND(B68&lt;&gt;""),IF($C$9&lt;&gt;0,VLOOKUP(C68/$C$9*100,TRANSMUTATION_TABLE!$A$2:$B$102,2),""),"")</f>
        <v/>
      </c>
      <c r="E68" s="31"/>
      <c r="F68" s="42" t="str">
        <f>IF(AND(B68&lt;&gt;""),IF($E$9&lt;&gt;0,VLOOKUP(E68/$E$9*100,TRANSMUTATION_TABLE!$A$2:$B$102,2),""),"")</f>
        <v/>
      </c>
      <c r="G68" s="31"/>
      <c r="H68" s="42" t="str">
        <f>IF(AND(B68&lt;&gt;""),IF($G$9&lt;&gt;0,VLOOKUP(G68/$G$9*100,TRANSMUTATION_TABLE!$A$2:$B$102,2),""),"")</f>
        <v/>
      </c>
      <c r="I68" s="31"/>
      <c r="J68" s="43" t="str">
        <f>IF(AND(B68&lt;&gt;""),IF($I$9&lt;&gt;0,VLOOKUP(I68/$I$9*100,TRANSMUTATION_TABLE!$A$2:$B$102,2),""),"")</f>
        <v/>
      </c>
      <c r="K68" s="48" t="str">
        <f t="shared" si="0"/>
        <v/>
      </c>
      <c r="L68" s="31"/>
      <c r="M68" s="43" t="str">
        <f>IF(AND(B68&lt;&gt;""),IF($L$9&lt;&gt;0,VLOOKUP(L68/$L$9*100,TRANSMUTATION_TABLE!$A$2:$B$102,2),""),"")</f>
        <v/>
      </c>
      <c r="N68" s="31"/>
      <c r="O68" s="42" t="str">
        <f>IF(AND(B68&lt;&gt;""),IF($N$9&lt;&gt;0,VLOOKUP(N68/$N$9*100,TRANSMUTATION_TABLE!$A$2:$B$102,2),""),"")</f>
        <v/>
      </c>
      <c r="P68" s="31"/>
      <c r="Q68" s="42" t="str">
        <f>IF(AND(B68&lt;&gt;""),IF($P$9&lt;&gt;0,VLOOKUP(P68/$P$9*100,TRANSMUTATION_TABLE!$A$2:$B$102,2),""),"")</f>
        <v/>
      </c>
      <c r="R68" s="31"/>
      <c r="S68" s="43" t="str">
        <f>IF(AND(B68&lt;&gt;""),IF($R$9&lt;&gt;0,VLOOKUP(R68/$R$9*100,TRANSMUTATION_TABLE!$A$2:$B$102,2),""),"")</f>
        <v/>
      </c>
      <c r="T68" s="48" t="str">
        <f t="shared" si="1"/>
        <v/>
      </c>
      <c r="U68" s="31"/>
      <c r="V68" s="42" t="str">
        <f>IF(AND(B68&lt;&gt;""),IF($U$9&lt;&gt;0,VLOOKUP(U68/$U$9*100,TRANSMUTATION_TABLE!$A$2:$B$102,2),""),"")</f>
        <v/>
      </c>
      <c r="W68" s="31"/>
      <c r="X68" s="42" t="str">
        <f>IF(AND(B68&lt;&gt;""),IF($W$9&lt;&gt;0,VLOOKUP(W68/$W$9*100,TRANSMUTATION_TABLE!$A$2:$B$102,2),""),"")</f>
        <v/>
      </c>
      <c r="Y68" s="31"/>
      <c r="Z68" s="42" t="str">
        <f>IF(AND(B68&lt;&gt;""),IF($Y$9&lt;&gt;0,VLOOKUP(Y68/$Y$9*100,TRANSMUTATION_TABLE!$A$2:$B$102,2),""),"")</f>
        <v/>
      </c>
      <c r="AA68" s="31"/>
      <c r="AB68" s="43" t="str">
        <f>IF(AND(B68&lt;&gt;""),IF($AA$9&lt;&gt;0,VLOOKUP(AA68/$AA$9*100,TRANSMUTATION_TABLE!$A$2:$B$102,2),""),"")</f>
        <v/>
      </c>
      <c r="AC68" s="48" t="str">
        <f t="shared" si="2"/>
        <v/>
      </c>
      <c r="AD68" s="31"/>
      <c r="AE68" s="42" t="str">
        <f>IF(AND(B68&lt;&gt;""),IF($AD$9&lt;&gt;0,VLOOKUP(AD68/$AD$9*100,TRANSMUTATION_TABLE!$A$2:$B$102,2),""),"")</f>
        <v/>
      </c>
      <c r="AF68" s="31">
        <f>Attendance!U65</f>
        <v>0</v>
      </c>
      <c r="AG68" s="87" t="str">
        <f>IF(AND(B68&lt;&gt;""),IF($AF$9&lt;&gt;0,VLOOKUP(AF68/$AF$9*100,TRANSMUTATION_TABLE!$A$2:$B$102,2),""),"")</f>
        <v/>
      </c>
      <c r="AH68" s="31"/>
      <c r="AI68" s="45" t="str">
        <f>IF(AND(B68&lt;&gt;""),IF($AH$9&lt;&gt;0,VLOOKUP(AH68/$AH$9*100,TRANSMUTATION_TABLE!$A$2:$B$102,2),""),"")</f>
        <v/>
      </c>
      <c r="AJ68" s="46" t="str">
        <f>IF(OR(K68&lt;&gt;"",T68&lt;&gt;"",AC68&lt;&gt;"",AI68&lt;&gt;"",AG68&lt;&gt;""),SUM(PRODUCT(K68,IF(Settings!$F$9&lt;&gt;0,Settings!$F$9/100,0)),PRODUCT(Prelim!T68,IF(Settings!$F$10&lt;&gt;0,Settings!$F$10/100,0)),PRODUCT(Prelim!AC68,IF(Settings!$F$11&lt;&gt;0,Settings!$F$11/100,0)),PRODUCT(Prelim!AG68,IF(Settings!$F$12&lt;&gt;0,Settings!$F$12/100,0)),PRODUCT(Prelim!AI68,IF(Settings!$F$13&lt;&gt;0,Settings!$F$13/100,0))),"")</f>
        <v/>
      </c>
      <c r="AK68" s="16"/>
      <c r="AL68" s="16"/>
      <c r="AM68" s="16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</row>
    <row r="69" spans="1:56" ht="12" customHeight="1" thickBot="1" x14ac:dyDescent="0.35">
      <c r="A69" s="54"/>
      <c r="B69" s="61"/>
      <c r="C69" s="214"/>
      <c r="D69" s="85" t="str">
        <f>IF(AND(B69&lt;&gt;""),IF($C$9&lt;&gt;0,VLOOKUP(C69/$C$9*100,TRANSMUTATION_TABLE!$A$2:$B$102,2),""),"")</f>
        <v/>
      </c>
      <c r="E69" s="214"/>
      <c r="F69" s="42" t="str">
        <f>IF(AND(B69&lt;&gt;""),IF($E$9&lt;&gt;0,VLOOKUP(E69/$E$9*100,TRANSMUTATION_TABLE!$A$2:$B$102,2),""),"")</f>
        <v/>
      </c>
      <c r="G69" s="214"/>
      <c r="H69" s="42" t="str">
        <f>IF(AND(B69&lt;&gt;""),IF($G$9&lt;&gt;0,VLOOKUP(G69/$G$9*100,TRANSMUTATION_TABLE!$A$2:$B$102,2),""),"")</f>
        <v/>
      </c>
      <c r="I69" s="214"/>
      <c r="J69" s="43" t="str">
        <f>IF(AND(B69&lt;&gt;""),IF($I$9&lt;&gt;0,VLOOKUP(I69/$I$9*100,TRANSMUTATION_TABLE!$A$2:$B$102,2),""),"")</f>
        <v/>
      </c>
      <c r="K69" s="48" t="str">
        <f t="shared" si="0"/>
        <v/>
      </c>
      <c r="L69" s="214"/>
      <c r="M69" s="43" t="str">
        <f>IF(AND(B69&lt;&gt;""),IF($L$9&lt;&gt;0,VLOOKUP(L69/$L$9*100,TRANSMUTATION_TABLE!$A$2:$B$102,2),""),"")</f>
        <v/>
      </c>
      <c r="N69" s="214"/>
      <c r="O69" s="42" t="str">
        <f>IF(AND(B69&lt;&gt;""),IF($N$9&lt;&gt;0,VLOOKUP(N69/$N$9*100,TRANSMUTATION_TABLE!$A$2:$B$102,2),""),"")</f>
        <v/>
      </c>
      <c r="P69" s="214"/>
      <c r="Q69" s="42" t="str">
        <f>IF(AND(B69&lt;&gt;""),IF($P$9&lt;&gt;0,VLOOKUP(P69/$P$9*100,TRANSMUTATION_TABLE!$A$2:$B$102,2),""),"")</f>
        <v/>
      </c>
      <c r="R69" s="214"/>
      <c r="S69" s="43" t="str">
        <f>IF(AND(B69&lt;&gt;""),IF($R$9&lt;&gt;0,VLOOKUP(R69/$R$9*100,TRANSMUTATION_TABLE!$A$2:$B$102,2),""),"")</f>
        <v/>
      </c>
      <c r="T69" s="48" t="str">
        <f t="shared" si="1"/>
        <v/>
      </c>
      <c r="U69" s="214"/>
      <c r="V69" s="42" t="str">
        <f>IF(AND(B69&lt;&gt;""),IF($U$9&lt;&gt;0,VLOOKUP(U69/$U$9*100,TRANSMUTATION_TABLE!$A$2:$B$102,2),""),"")</f>
        <v/>
      </c>
      <c r="W69" s="214"/>
      <c r="X69" s="42" t="str">
        <f>IF(AND(B69&lt;&gt;""),IF($W$9&lt;&gt;0,VLOOKUP(W69/$W$9*100,TRANSMUTATION_TABLE!$A$2:$B$102,2),""),"")</f>
        <v/>
      </c>
      <c r="Y69" s="214"/>
      <c r="Z69" s="42" t="str">
        <f>IF(AND(B69&lt;&gt;""),IF($Y$9&lt;&gt;0,VLOOKUP(Y69/$Y$9*100,TRANSMUTATION_TABLE!$A$2:$B$102,2),""),"")</f>
        <v/>
      </c>
      <c r="AA69" s="214"/>
      <c r="AB69" s="43" t="str">
        <f>IF(AND(B69&lt;&gt;""),IF($AA$9&lt;&gt;0,VLOOKUP(AA69/$AA$9*100,TRANSMUTATION_TABLE!$A$2:$B$102,2),""),"")</f>
        <v/>
      </c>
      <c r="AC69" s="48" t="str">
        <f t="shared" si="2"/>
        <v/>
      </c>
      <c r="AD69" s="214"/>
      <c r="AE69" s="42" t="str">
        <f>IF(AND(B69&lt;&gt;""),IF($AD$9&lt;&gt;0,VLOOKUP(AD69/$AD$9*100,TRANSMUTATION_TABLE!$A$2:$B$102,2),""),"")</f>
        <v/>
      </c>
      <c r="AF69" s="214">
        <f>Attendance!U66</f>
        <v>0</v>
      </c>
      <c r="AG69" s="87" t="str">
        <f>IF(AND(B69&lt;&gt;""),IF($AF$9&lt;&gt;0,VLOOKUP(AF69/$AF$9*100,TRANSMUTATION_TABLE!$A$2:$B$102,2),""),"")</f>
        <v/>
      </c>
      <c r="AH69" s="214"/>
      <c r="AI69" s="45" t="str">
        <f>IF(AND(B69&lt;&gt;""),IF($AH$9&lt;&gt;0,VLOOKUP(AH69/$AH$9*100,TRANSMUTATION_TABLE!$A$2:$B$102,2),""),"")</f>
        <v/>
      </c>
      <c r="AJ69" s="46" t="str">
        <f>IF(OR(K69&lt;&gt;"",T69&lt;&gt;"",AC69&lt;&gt;"",AI69&lt;&gt;"",AG69&lt;&gt;""),SUM(PRODUCT(K69,IF(Settings!$F$9&lt;&gt;0,Settings!$F$9/100,0)),PRODUCT(Prelim!T69,IF(Settings!$F$10&lt;&gt;0,Settings!$F$10/100,0)),PRODUCT(Prelim!AC69,IF(Settings!$F$11&lt;&gt;0,Settings!$F$11/100,0)),PRODUCT(Prelim!AG69,IF(Settings!$F$12&lt;&gt;0,Settings!$F$12/100,0)),PRODUCT(Prelim!AI69,IF(Settings!$F$13&lt;&gt;0,Settings!$F$13/100,0))),"")</f>
        <v/>
      </c>
      <c r="AK69" s="16"/>
      <c r="AL69" s="16"/>
      <c r="AM69" s="16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</row>
    <row r="70" spans="1:56" ht="9.75" customHeight="1" thickBot="1" x14ac:dyDescent="0.35">
      <c r="A70" s="54"/>
      <c r="B70" s="90"/>
      <c r="C70" s="31"/>
      <c r="D70" s="85" t="str">
        <f>IF(AND(B70&lt;&gt;""),IF($C$9&lt;&gt;0,VLOOKUP(C70/$C$9*100,TRANSMUTATION_TABLE!$A$2:$B$102,2),""),"")</f>
        <v/>
      </c>
      <c r="E70" s="31"/>
      <c r="F70" s="42" t="str">
        <f>IF(AND(B70&lt;&gt;""),IF($E$9&lt;&gt;0,VLOOKUP(E70/$E$9*100,TRANSMUTATION_TABLE!$A$2:$B$102,2),""),"")</f>
        <v/>
      </c>
      <c r="G70" s="31"/>
      <c r="H70" s="42" t="str">
        <f>IF(AND(B70&lt;&gt;""),IF($G$9&lt;&gt;0,VLOOKUP(G70/$G$9*100,TRANSMUTATION_TABLE!$A$2:$B$102,2),""),"")</f>
        <v/>
      </c>
      <c r="I70" s="31"/>
      <c r="J70" s="43" t="str">
        <f>IF(AND(B70&lt;&gt;""),IF($I$9&lt;&gt;0,VLOOKUP(I70/$I$9*100,TRANSMUTATION_TABLE!$A$2:$B$102,2),""),"")</f>
        <v/>
      </c>
      <c r="K70" s="48" t="str">
        <f t="shared" ref="K70:K79" si="3">IF(COUNT(D70,F70,H70,J70)&gt;0,AVERAGE(D70,F70,H70,J70),"")</f>
        <v/>
      </c>
      <c r="L70" s="31"/>
      <c r="M70" s="89" t="str">
        <f>IF(AND(B70&lt;&gt;""),IF($L$9&lt;&gt;0,VLOOKUP(L70/$L$9*100,TRANSMUTATION_TABLE!$A$2:$B$102,2),""),"")</f>
        <v/>
      </c>
      <c r="N70" s="31"/>
      <c r="O70" s="57" t="str">
        <f>IF(AND(B70&lt;&gt;""),IF($N$9&lt;&gt;0,VLOOKUP(N70/$N$9*100,TRANSMUTATION_TABLE!$A$2:$B$102,2),""),"")</f>
        <v/>
      </c>
      <c r="P70" s="31"/>
      <c r="Q70" s="57" t="str">
        <f>IF(AND(B70&lt;&gt;""),IF($P$9&lt;&gt;0,VLOOKUP(P70/$P$9*100,TRANSMUTATION_TABLE!$A$2:$B$102,2),""),"")</f>
        <v/>
      </c>
      <c r="R70" s="31"/>
      <c r="S70" s="89" t="str">
        <f>IF(AND(B70&lt;&gt;""),IF($R$9&lt;&gt;0,VLOOKUP(R70/$R$9*100,TRANSMUTATION_TABLE!$A$2:$B$102,2),""),"")</f>
        <v/>
      </c>
      <c r="T70" s="48" t="str">
        <f t="shared" ref="T70:T79" si="4">IF(COUNT(M70,O70,Q70,S70)&gt;0,AVERAGE(M70,O70,Q70,S70),"")</f>
        <v/>
      </c>
      <c r="U70" s="31"/>
      <c r="V70" s="57" t="str">
        <f>IF(AND(B70&lt;&gt;""),IF($U$9&lt;&gt;0,VLOOKUP(U70/$U$9*100,TRANSMUTATION_TABLE!$A$2:$B$102,2),""),"")</f>
        <v/>
      </c>
      <c r="W70" s="31"/>
      <c r="X70" s="57" t="str">
        <f>IF(AND(B70&lt;&gt;""),IF($W$9&lt;&gt;0,VLOOKUP(W70/$W$9*100,TRANSMUTATION_TABLE!$A$2:$B$102,2),""),"")</f>
        <v/>
      </c>
      <c r="Y70" s="31"/>
      <c r="Z70" s="57" t="str">
        <f>IF(AND(B70&lt;&gt;""),IF($Y$9&lt;&gt;0,VLOOKUP(Y70/$Y$9*100,TRANSMUTATION_TABLE!$A$2:$B$102,2),""),"")</f>
        <v/>
      </c>
      <c r="AA70" s="31"/>
      <c r="AB70" s="89" t="str">
        <f>IF(AND(B70&lt;&gt;""),IF($AA$9&lt;&gt;0,VLOOKUP(AA70/$AA$9*100,TRANSMUTATION_TABLE!$A$2:$B$102,2),""),"")</f>
        <v/>
      </c>
      <c r="AC70" s="48" t="str">
        <f t="shared" ref="AC70:AC79" si="5">IF(COUNT(V70,X70,Z70,AB70)&gt;0,AVERAGE(V70,X70,Z70,AB70),"")</f>
        <v/>
      </c>
      <c r="AD70" s="31"/>
      <c r="AE70" s="57" t="str">
        <f>IF(AND(B70&lt;&gt;""),IF($AD$9&lt;&gt;0,VLOOKUP(AD70/$AD$9*100,TRANSMUTATION_TABLE!$A$2:$B$102,2),""),"")</f>
        <v/>
      </c>
      <c r="AF70" s="31">
        <f>Attendance!U67</f>
        <v>0</v>
      </c>
      <c r="AG70" s="87" t="str">
        <f>IF(AND(B70&lt;&gt;""),IF($AF$9&lt;&gt;0,VLOOKUP(AF70/$AF$9*100,TRANSMUTATION_TABLE!$A$2:$B$102,2),""),"")</f>
        <v/>
      </c>
      <c r="AH70" s="31"/>
      <c r="AI70" s="45" t="str">
        <f>IF(AND(B70&lt;&gt;""),IF($AH$9&lt;&gt;0,VLOOKUP(AH70/$AH$9*100,TRANSMUTATION_TABLE!$A$2:$B$102,2),""),"")</f>
        <v/>
      </c>
      <c r="AJ70" s="46" t="str">
        <f>IF(OR(K70&lt;&gt;"",T70&lt;&gt;"",AC70&lt;&gt;"",AI70&lt;&gt;"",AG70&lt;&gt;""),SUM(PRODUCT(K70,IF(Settings!$F$9&lt;&gt;0,Settings!$F$9/100,0)),PRODUCT(Prelim!T70,IF(Settings!$F$10&lt;&gt;0,Settings!$F$10/100,0)),PRODUCT(Prelim!AC70,IF(Settings!$F$11&lt;&gt;0,Settings!$F$11/100,0)),PRODUCT(Prelim!AG70,IF(Settings!$F$12&lt;&gt;0,Settings!$F$12/100,0)),PRODUCT(Prelim!AI70,IF(Settings!$F$13&lt;&gt;0,Settings!$F$13/100,0))),"")</f>
        <v/>
      </c>
      <c r="AK70" s="16"/>
      <c r="AL70" s="16"/>
      <c r="AM70" s="16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</row>
    <row r="71" spans="1:56" ht="9.75" customHeight="1" thickBot="1" x14ac:dyDescent="0.35">
      <c r="A71" s="54"/>
      <c r="B71" s="90"/>
      <c r="C71" s="31"/>
      <c r="D71" s="85" t="str">
        <f>IF(AND(B71&lt;&gt;""),IF($C$9&lt;&gt;0,VLOOKUP(C71/$C$9*100,TRANSMUTATION_TABLE!$A$2:$B$102,2),""),"")</f>
        <v/>
      </c>
      <c r="E71" s="31"/>
      <c r="F71" s="42" t="str">
        <f>IF(AND(B71&lt;&gt;""),IF($E$9&lt;&gt;0,VLOOKUP(E71/$E$9*100,TRANSMUTATION_TABLE!$A$2:$B$102,2),""),"")</f>
        <v/>
      </c>
      <c r="G71" s="31"/>
      <c r="H71" s="42" t="str">
        <f>IF(AND(B71&lt;&gt;""),IF($G$9&lt;&gt;0,VLOOKUP(G71/$G$9*100,TRANSMUTATION_TABLE!$A$2:$B$102,2),""),"")</f>
        <v/>
      </c>
      <c r="I71" s="31"/>
      <c r="J71" s="43" t="str">
        <f>IF(AND(B71&lt;&gt;""),IF($I$9&lt;&gt;0,VLOOKUP(I71/$I$9*100,TRANSMUTATION_TABLE!$A$2:$B$102,2),""),"")</f>
        <v/>
      </c>
      <c r="K71" s="48" t="str">
        <f t="shared" si="3"/>
        <v/>
      </c>
      <c r="L71" s="31"/>
      <c r="M71" s="43" t="str">
        <f>IF(AND(B71&lt;&gt;""),IF($L$9&lt;&gt;0,VLOOKUP(L71/$L$9*100,TRANSMUTATION_TABLE!$A$2:$B$102,2),""),"")</f>
        <v/>
      </c>
      <c r="N71" s="31"/>
      <c r="O71" s="42" t="str">
        <f>IF(AND(B71&lt;&gt;""),IF($N$9&lt;&gt;0,VLOOKUP(N71/$N$9*100,TRANSMUTATION_TABLE!$A$2:$B$102,2),""),"")</f>
        <v/>
      </c>
      <c r="P71" s="31"/>
      <c r="Q71" s="42" t="str">
        <f>IF(AND(B71&lt;&gt;""),IF($P$9&lt;&gt;0,VLOOKUP(P71/$P$9*100,TRANSMUTATION_TABLE!$A$2:$B$102,2),""),"")</f>
        <v/>
      </c>
      <c r="R71" s="31"/>
      <c r="S71" s="43" t="str">
        <f>IF(AND(B71&lt;&gt;""),IF($R$9&lt;&gt;0,VLOOKUP(R71/$R$9*100,TRANSMUTATION_TABLE!$A$2:$B$102,2),""),"")</f>
        <v/>
      </c>
      <c r="T71" s="48" t="str">
        <f t="shared" si="4"/>
        <v/>
      </c>
      <c r="U71" s="31"/>
      <c r="V71" s="42" t="str">
        <f>IF(AND(B71&lt;&gt;""),IF($U$9&lt;&gt;0,VLOOKUP(U71/$U$9*100,TRANSMUTATION_TABLE!$A$2:$B$102,2),""),"")</f>
        <v/>
      </c>
      <c r="W71" s="31"/>
      <c r="X71" s="42" t="str">
        <f>IF(AND(B71&lt;&gt;""),IF($W$9&lt;&gt;0,VLOOKUP(W71/$W$9*100,TRANSMUTATION_TABLE!$A$2:$B$102,2),""),"")</f>
        <v/>
      </c>
      <c r="Y71" s="31"/>
      <c r="Z71" s="42" t="str">
        <f>IF(AND(B71&lt;&gt;""),IF($Y$9&lt;&gt;0,VLOOKUP(Y71/$Y$9*100,TRANSMUTATION_TABLE!$A$2:$B$102,2),""),"")</f>
        <v/>
      </c>
      <c r="AA71" s="31"/>
      <c r="AB71" s="43" t="str">
        <f>IF(AND(B71&lt;&gt;""),IF($AA$9&lt;&gt;0,VLOOKUP(AA71/$AA$9*100,TRANSMUTATION_TABLE!$A$2:$B$102,2),""),"")</f>
        <v/>
      </c>
      <c r="AC71" s="48" t="str">
        <f t="shared" si="5"/>
        <v/>
      </c>
      <c r="AD71" s="31"/>
      <c r="AE71" s="42" t="str">
        <f>IF(AND(B71&lt;&gt;""),IF($AD$9&lt;&gt;0,VLOOKUP(AD71/$AD$9*100,TRANSMUTATION_TABLE!$A$2:$B$102,2),""),"")</f>
        <v/>
      </c>
      <c r="AF71" s="31">
        <f>Attendance!U68</f>
        <v>0</v>
      </c>
      <c r="AG71" s="87" t="str">
        <f>IF(AND(B71&lt;&gt;""),IF($AF$9&lt;&gt;0,VLOOKUP(AF71/$AF$9*100,TRANSMUTATION_TABLE!$A$2:$B$102,2),""),"")</f>
        <v/>
      </c>
      <c r="AH71" s="31"/>
      <c r="AI71" s="45" t="str">
        <f>IF(AND(B71&lt;&gt;""),IF($AH$9&lt;&gt;0,VLOOKUP(AH71/$AH$9*100,TRANSMUTATION_TABLE!$A$2:$B$102,2),""),"")</f>
        <v/>
      </c>
      <c r="AJ71" s="46" t="str">
        <f>IF(OR(K71&lt;&gt;"",T71&lt;&gt;"",AC71&lt;&gt;"",AI71&lt;&gt;"",AG71&lt;&gt;""),SUM(PRODUCT(K71,IF(Settings!$F$9&lt;&gt;0,Settings!$F$9/100,0)),PRODUCT(Prelim!T71,IF(Settings!$F$10&lt;&gt;0,Settings!$F$10/100,0)),PRODUCT(Prelim!AC71,IF(Settings!$F$11&lt;&gt;0,Settings!$F$11/100,0)),PRODUCT(Prelim!AG71,IF(Settings!$F$12&lt;&gt;0,Settings!$F$12/100,0)),PRODUCT(Prelim!AI71,IF(Settings!$F$13&lt;&gt;0,Settings!$F$13/100,0))),"")</f>
        <v/>
      </c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</row>
    <row r="72" spans="1:56" ht="9.75" customHeight="1" thickBot="1" x14ac:dyDescent="0.35">
      <c r="A72" s="54"/>
      <c r="B72" s="90"/>
      <c r="C72" s="31"/>
      <c r="D72" s="85" t="str">
        <f>IF(AND(B72&lt;&gt;""),IF($C$9&lt;&gt;0,VLOOKUP(C72/$C$9*100,TRANSMUTATION_TABLE!$A$2:$B$102,2),""),"")</f>
        <v/>
      </c>
      <c r="E72" s="31"/>
      <c r="F72" s="42" t="str">
        <f>IF(AND(B72&lt;&gt;""),IF($E$9&lt;&gt;0,VLOOKUP(E72/$E$9*100,TRANSMUTATION_TABLE!$A$2:$B$102,2),""),"")</f>
        <v/>
      </c>
      <c r="G72" s="31"/>
      <c r="H72" s="42" t="str">
        <f>IF(AND(B72&lt;&gt;""),IF($G$9&lt;&gt;0,VLOOKUP(G72/$G$9*100,TRANSMUTATION_TABLE!$A$2:$B$102,2),""),"")</f>
        <v/>
      </c>
      <c r="I72" s="31"/>
      <c r="J72" s="43" t="str">
        <f>IF(AND(B72&lt;&gt;""),IF($I$9&lt;&gt;0,VLOOKUP(I72/$I$9*100,TRANSMUTATION_TABLE!$A$2:$B$102,2),""),"")</f>
        <v/>
      </c>
      <c r="K72" s="48" t="str">
        <f t="shared" si="3"/>
        <v/>
      </c>
      <c r="L72" s="31"/>
      <c r="M72" s="43" t="str">
        <f>IF(AND(B72&lt;&gt;""),IF($L$9&lt;&gt;0,VLOOKUP(L72/$L$9*100,TRANSMUTATION_TABLE!$A$2:$B$102,2),""),"")</f>
        <v/>
      </c>
      <c r="N72" s="31"/>
      <c r="O72" s="42" t="str">
        <f>IF(AND(B72&lt;&gt;""),IF($N$9&lt;&gt;0,VLOOKUP(N72/$N$9*100,TRANSMUTATION_TABLE!$A$2:$B$102,2),""),"")</f>
        <v/>
      </c>
      <c r="P72" s="31"/>
      <c r="Q72" s="42" t="str">
        <f>IF(AND(B72&lt;&gt;""),IF($P$9&lt;&gt;0,VLOOKUP(P72/$P$9*100,TRANSMUTATION_TABLE!$A$2:$B$102,2),""),"")</f>
        <v/>
      </c>
      <c r="R72" s="31"/>
      <c r="S72" s="43" t="str">
        <f>IF(AND(B72&lt;&gt;""),IF($R$9&lt;&gt;0,VLOOKUP(R72/$R$9*100,TRANSMUTATION_TABLE!$A$2:$B$102,2),""),"")</f>
        <v/>
      </c>
      <c r="T72" s="48" t="str">
        <f t="shared" si="4"/>
        <v/>
      </c>
      <c r="U72" s="31"/>
      <c r="V72" s="42" t="str">
        <f>IF(AND(B72&lt;&gt;""),IF($U$9&lt;&gt;0,VLOOKUP(U72/$U$9*100,TRANSMUTATION_TABLE!$A$2:$B$102,2),""),"")</f>
        <v/>
      </c>
      <c r="W72" s="31"/>
      <c r="X72" s="42" t="str">
        <f>IF(AND(B72&lt;&gt;""),IF($W$9&lt;&gt;0,VLOOKUP(W72/$W$9*100,TRANSMUTATION_TABLE!$A$2:$B$102,2),""),"")</f>
        <v/>
      </c>
      <c r="Y72" s="31"/>
      <c r="Z72" s="42" t="str">
        <f>IF(AND(B72&lt;&gt;""),IF($Y$9&lt;&gt;0,VLOOKUP(Y72/$Y$9*100,TRANSMUTATION_TABLE!$A$2:$B$102,2),""),"")</f>
        <v/>
      </c>
      <c r="AA72" s="31"/>
      <c r="AB72" s="43" t="str">
        <f>IF(AND(B72&lt;&gt;""),IF($AA$9&lt;&gt;0,VLOOKUP(AA72/$AA$9*100,TRANSMUTATION_TABLE!$A$2:$B$102,2),""),"")</f>
        <v/>
      </c>
      <c r="AC72" s="48" t="str">
        <f t="shared" si="5"/>
        <v/>
      </c>
      <c r="AD72" s="31"/>
      <c r="AE72" s="42" t="str">
        <f>IF(AND(B72&lt;&gt;""),IF($AD$9&lt;&gt;0,VLOOKUP(AD72/$AD$9*100,TRANSMUTATION_TABLE!$A$2:$B$102,2),""),"")</f>
        <v/>
      </c>
      <c r="AF72" s="31">
        <f>Attendance!U69</f>
        <v>0</v>
      </c>
      <c r="AG72" s="87" t="str">
        <f>IF(AND(B72&lt;&gt;""),IF($AF$9&lt;&gt;0,VLOOKUP(AF72/$AF$9*100,TRANSMUTATION_TABLE!$A$2:$B$102,2),""),"")</f>
        <v/>
      </c>
      <c r="AH72" s="31"/>
      <c r="AI72" s="45" t="str">
        <f>IF(AND(B72&lt;&gt;""),IF($AH$9&lt;&gt;0,VLOOKUP(AH72/$AH$9*100,TRANSMUTATION_TABLE!$A$2:$B$102,2),""),"")</f>
        <v/>
      </c>
      <c r="AJ72" s="46" t="str">
        <f>IF(OR(K72&lt;&gt;"",T72&lt;&gt;"",AC72&lt;&gt;"",AI72&lt;&gt;"",AG72&lt;&gt;""),SUM(PRODUCT(K72,IF(Settings!$F$9&lt;&gt;0,Settings!$F$9/100,0)),PRODUCT(Prelim!T72,IF(Settings!$F$10&lt;&gt;0,Settings!$F$10/100,0)),PRODUCT(Prelim!AC72,IF(Settings!$F$11&lt;&gt;0,Settings!$F$11/100,0)),PRODUCT(Prelim!AG72,IF(Settings!$F$12&lt;&gt;0,Settings!$F$12/100,0)),PRODUCT(Prelim!AI72,IF(Settings!$F$13&lt;&gt;0,Settings!$F$13/100,0))),"")</f>
        <v/>
      </c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</row>
    <row r="73" spans="1:56" ht="9.75" customHeight="1" thickBot="1" x14ac:dyDescent="0.35">
      <c r="A73" s="54"/>
      <c r="B73" s="90"/>
      <c r="C73" s="31"/>
      <c r="D73" s="85" t="str">
        <f>IF(AND(B73&lt;&gt;""),IF($C$9&lt;&gt;0,VLOOKUP(C73/$C$9*100,TRANSMUTATION_TABLE!$A$2:$B$102,2),""),"")</f>
        <v/>
      </c>
      <c r="E73" s="31"/>
      <c r="F73" s="42" t="str">
        <f>IF(AND(B73&lt;&gt;""),IF($E$9&lt;&gt;0,VLOOKUP(E73/$E$9*100,TRANSMUTATION_TABLE!$A$2:$B$102,2),""),"")</f>
        <v/>
      </c>
      <c r="G73" s="31"/>
      <c r="H73" s="42" t="str">
        <f>IF(AND(B73&lt;&gt;""),IF($G$9&lt;&gt;0,VLOOKUP(G73/$G$9*100,TRANSMUTATION_TABLE!$A$2:$B$102,2),""),"")</f>
        <v/>
      </c>
      <c r="I73" s="31"/>
      <c r="J73" s="43" t="str">
        <f>IF(AND(B73&lt;&gt;""),IF($I$9&lt;&gt;0,VLOOKUP(I73/$I$9*100,TRANSMUTATION_TABLE!$A$2:$B$102,2),""),"")</f>
        <v/>
      </c>
      <c r="K73" s="48" t="str">
        <f t="shared" si="3"/>
        <v/>
      </c>
      <c r="L73" s="31"/>
      <c r="M73" s="43" t="str">
        <f>IF(AND(B73&lt;&gt;""),IF($L$9&lt;&gt;0,VLOOKUP(L73/$L$9*100,TRANSMUTATION_TABLE!$A$2:$B$102,2),""),"")</f>
        <v/>
      </c>
      <c r="N73" s="31"/>
      <c r="O73" s="42" t="str">
        <f>IF(AND(B73&lt;&gt;""),IF($N$9&lt;&gt;0,VLOOKUP(N73/$N$9*100,TRANSMUTATION_TABLE!$A$2:$B$102,2),""),"")</f>
        <v/>
      </c>
      <c r="P73" s="31"/>
      <c r="Q73" s="42" t="str">
        <f>IF(AND(B73&lt;&gt;""),IF($P$9&lt;&gt;0,VLOOKUP(P73/$P$9*100,TRANSMUTATION_TABLE!$A$2:$B$102,2),""),"")</f>
        <v/>
      </c>
      <c r="R73" s="31"/>
      <c r="S73" s="43" t="str">
        <f>IF(AND(B73&lt;&gt;""),IF($R$9&lt;&gt;0,VLOOKUP(R73/$R$9*100,TRANSMUTATION_TABLE!$A$2:$B$102,2),""),"")</f>
        <v/>
      </c>
      <c r="T73" s="48" t="str">
        <f t="shared" si="4"/>
        <v/>
      </c>
      <c r="U73" s="31"/>
      <c r="V73" s="42" t="str">
        <f>IF(AND(B73&lt;&gt;""),IF($U$9&lt;&gt;0,VLOOKUP(U73/$U$9*100,TRANSMUTATION_TABLE!$A$2:$B$102,2),""),"")</f>
        <v/>
      </c>
      <c r="W73" s="31"/>
      <c r="X73" s="42" t="str">
        <f>IF(AND(B73&lt;&gt;""),IF($W$9&lt;&gt;0,VLOOKUP(W73/$W$9*100,TRANSMUTATION_TABLE!$A$2:$B$102,2),""),"")</f>
        <v/>
      </c>
      <c r="Y73" s="31"/>
      <c r="Z73" s="42" t="str">
        <f>IF(AND(B73&lt;&gt;""),IF($Y$9&lt;&gt;0,VLOOKUP(Y73/$Y$9*100,TRANSMUTATION_TABLE!$A$2:$B$102,2),""),"")</f>
        <v/>
      </c>
      <c r="AA73" s="31"/>
      <c r="AB73" s="43" t="str">
        <f>IF(AND(B73&lt;&gt;""),IF($AA$9&lt;&gt;0,VLOOKUP(AA73/$AA$9*100,TRANSMUTATION_TABLE!$A$2:$B$102,2),""),"")</f>
        <v/>
      </c>
      <c r="AC73" s="48" t="str">
        <f t="shared" si="5"/>
        <v/>
      </c>
      <c r="AD73" s="31"/>
      <c r="AE73" s="42" t="str">
        <f>IF(AND(B73&lt;&gt;""),IF($AD$9&lt;&gt;0,VLOOKUP(AD73/$AD$9*100,TRANSMUTATION_TABLE!$A$2:$B$102,2),""),"")</f>
        <v/>
      </c>
      <c r="AF73" s="31">
        <f>Attendance!U70</f>
        <v>0</v>
      </c>
      <c r="AG73" s="87" t="str">
        <f>IF(AND(B73&lt;&gt;""),IF($AF$9&lt;&gt;0,VLOOKUP(AF73/$AF$9*100,TRANSMUTATION_TABLE!$A$2:$B$102,2),""),"")</f>
        <v/>
      </c>
      <c r="AH73" s="31"/>
      <c r="AI73" s="45" t="str">
        <f>IF(AND(B73&lt;&gt;""),IF($AH$9&lt;&gt;0,VLOOKUP(AH73/$AH$9*100,TRANSMUTATION_TABLE!$A$2:$B$102,2),""),"")</f>
        <v/>
      </c>
      <c r="AJ73" s="46" t="str">
        <f>IF(OR(K73&lt;&gt;"",T73&lt;&gt;"",AC73&lt;&gt;"",AI73&lt;&gt;"",AG73&lt;&gt;""),SUM(PRODUCT(K73,IF(Settings!$F$9&lt;&gt;0,Settings!$F$9/100,0)),PRODUCT(Prelim!T73,IF(Settings!$F$10&lt;&gt;0,Settings!$F$10/100,0)),PRODUCT(Prelim!AC73,IF(Settings!$F$11&lt;&gt;0,Settings!$F$11/100,0)),PRODUCT(Prelim!AG73,IF(Settings!$F$12&lt;&gt;0,Settings!$F$12/100,0)),PRODUCT(Prelim!AI73,IF(Settings!$F$13&lt;&gt;0,Settings!$F$13/100,0))),"")</f>
        <v/>
      </c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</row>
    <row r="74" spans="1:56" ht="9.75" customHeight="1" thickBot="1" x14ac:dyDescent="0.35">
      <c r="A74" s="54"/>
      <c r="B74" s="61"/>
      <c r="C74" s="214"/>
      <c r="D74" s="85" t="str">
        <f>IF(AND(B74&lt;&gt;""),IF($C$9&lt;&gt;0,VLOOKUP(C74/$C$9*100,TRANSMUTATION_TABLE!$A$2:$B$102,2),""),"")</f>
        <v/>
      </c>
      <c r="E74" s="214"/>
      <c r="F74" s="42" t="str">
        <f>IF(AND(B74&lt;&gt;""),IF($E$9&lt;&gt;0,VLOOKUP(E74/$E$9*100,TRANSMUTATION_TABLE!$A$2:$B$102,2),""),"")</f>
        <v/>
      </c>
      <c r="G74" s="214"/>
      <c r="H74" s="42" t="str">
        <f>IF(AND(B74&lt;&gt;""),IF($G$9&lt;&gt;0,VLOOKUP(G74/$G$9*100,TRANSMUTATION_TABLE!$A$2:$B$102,2),""),"")</f>
        <v/>
      </c>
      <c r="I74" s="214"/>
      <c r="J74" s="43" t="str">
        <f>IF(AND(B74&lt;&gt;""),IF($I$9&lt;&gt;0,VLOOKUP(I74/$I$9*100,TRANSMUTATION_TABLE!$A$2:$B$102,2),""),"")</f>
        <v/>
      </c>
      <c r="K74" s="48" t="str">
        <f t="shared" si="3"/>
        <v/>
      </c>
      <c r="L74" s="214"/>
      <c r="M74" s="43" t="str">
        <f>IF(AND(B74&lt;&gt;""),IF($L$9&lt;&gt;0,VLOOKUP(L74/$L$9*100,TRANSMUTATION_TABLE!$A$2:$B$102,2),""),"")</f>
        <v/>
      </c>
      <c r="N74" s="214"/>
      <c r="O74" s="42" t="str">
        <f>IF(AND(B74&lt;&gt;""),IF($N$9&lt;&gt;0,VLOOKUP(N74/$N$9*100,TRANSMUTATION_TABLE!$A$2:$B$102,2),""),"")</f>
        <v/>
      </c>
      <c r="P74" s="214"/>
      <c r="Q74" s="42" t="str">
        <f>IF(AND(B74&lt;&gt;""),IF($P$9&lt;&gt;0,VLOOKUP(P74/$P$9*100,TRANSMUTATION_TABLE!$A$2:$B$102,2),""),"")</f>
        <v/>
      </c>
      <c r="R74" s="214"/>
      <c r="S74" s="43" t="str">
        <f>IF(AND(B74&lt;&gt;""),IF($R$9&lt;&gt;0,VLOOKUP(R74/$R$9*100,TRANSMUTATION_TABLE!$A$2:$B$102,2),""),"")</f>
        <v/>
      </c>
      <c r="T74" s="48" t="str">
        <f t="shared" si="4"/>
        <v/>
      </c>
      <c r="U74" s="214"/>
      <c r="V74" s="42" t="str">
        <f>IF(AND(B74&lt;&gt;""),IF($U$9&lt;&gt;0,VLOOKUP(U74/$U$9*100,TRANSMUTATION_TABLE!$A$2:$B$102,2),""),"")</f>
        <v/>
      </c>
      <c r="W74" s="214"/>
      <c r="X74" s="42" t="str">
        <f>IF(AND(B74&lt;&gt;""),IF($W$9&lt;&gt;0,VLOOKUP(W74/$W$9*100,TRANSMUTATION_TABLE!$A$2:$B$102,2),""),"")</f>
        <v/>
      </c>
      <c r="Y74" s="214"/>
      <c r="Z74" s="42" t="str">
        <f>IF(AND(B74&lt;&gt;""),IF($Y$9&lt;&gt;0,VLOOKUP(Y74/$Y$9*100,TRANSMUTATION_TABLE!$A$2:$B$102,2),""),"")</f>
        <v/>
      </c>
      <c r="AA74" s="214"/>
      <c r="AB74" s="43" t="str">
        <f>IF(AND(B74&lt;&gt;""),IF($AA$9&lt;&gt;0,VLOOKUP(AA74/$AA$9*100,TRANSMUTATION_TABLE!$A$2:$B$102,2),""),"")</f>
        <v/>
      </c>
      <c r="AC74" s="48" t="str">
        <f t="shared" si="5"/>
        <v/>
      </c>
      <c r="AD74" s="214"/>
      <c r="AE74" s="42" t="str">
        <f>IF(AND(B74&lt;&gt;""),IF($AD$9&lt;&gt;0,VLOOKUP(AD74/$AD$9*100,TRANSMUTATION_TABLE!$A$2:$B$102,2),""),"")</f>
        <v/>
      </c>
      <c r="AF74" s="214">
        <f>Attendance!U71</f>
        <v>0</v>
      </c>
      <c r="AG74" s="87" t="str">
        <f>IF(AND(B74&lt;&gt;""),IF($AF$9&lt;&gt;0,VLOOKUP(AF74/$AF$9*100,TRANSMUTATION_TABLE!$A$2:$B$102,2),""),"")</f>
        <v/>
      </c>
      <c r="AH74" s="214"/>
      <c r="AI74" s="45" t="str">
        <f>IF(AND(B74&lt;&gt;""),IF($AH$9&lt;&gt;0,VLOOKUP(AH74/$AH$9*100,TRANSMUTATION_TABLE!$A$2:$B$102,2),""),"")</f>
        <v/>
      </c>
      <c r="AJ74" s="46" t="str">
        <f>IF(OR(K74&lt;&gt;"",T74&lt;&gt;"",AC74&lt;&gt;"",AI74&lt;&gt;"",AG74&lt;&gt;""),SUM(PRODUCT(K74,IF(Settings!$F$9&lt;&gt;0,Settings!$F$9/100,0)),PRODUCT(Prelim!T74,IF(Settings!$F$10&lt;&gt;0,Settings!$F$10/100,0)),PRODUCT(Prelim!AC74,IF(Settings!$F$11&lt;&gt;0,Settings!$F$11/100,0)),PRODUCT(Prelim!AG74,IF(Settings!$F$12&lt;&gt;0,Settings!$F$12/100,0)),PRODUCT(Prelim!AI74,IF(Settings!$F$13&lt;&gt;0,Settings!$F$13/100,0))),"")</f>
        <v/>
      </c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</row>
    <row r="75" spans="1:56" ht="9.75" customHeight="1" thickBot="1" x14ac:dyDescent="0.35">
      <c r="A75" s="54"/>
      <c r="B75" s="90"/>
      <c r="C75" s="31"/>
      <c r="D75" s="85" t="str">
        <f>IF(AND(B75&lt;&gt;""),IF($C$9&lt;&gt;0,VLOOKUP(C75/$C$9*100,TRANSMUTATION_TABLE!$A$2:$B$102,2),""),"")</f>
        <v/>
      </c>
      <c r="E75" s="31"/>
      <c r="F75" s="42" t="str">
        <f>IF(AND(B75&lt;&gt;""),IF($E$9&lt;&gt;0,VLOOKUP(E75/$E$9*100,TRANSMUTATION_TABLE!$A$2:$B$102,2),""),"")</f>
        <v/>
      </c>
      <c r="G75" s="31"/>
      <c r="H75" s="42" t="str">
        <f>IF(AND(B75&lt;&gt;""),IF($G$9&lt;&gt;0,VLOOKUP(G75/$G$9*100,TRANSMUTATION_TABLE!$A$2:$B$102,2),""),"")</f>
        <v/>
      </c>
      <c r="I75" s="31"/>
      <c r="J75" s="43" t="str">
        <f>IF(AND(B75&lt;&gt;""),IF($I$9&lt;&gt;0,VLOOKUP(I75/$I$9*100,TRANSMUTATION_TABLE!$A$2:$B$102,2),""),"")</f>
        <v/>
      </c>
      <c r="K75" s="48" t="str">
        <f t="shared" si="3"/>
        <v/>
      </c>
      <c r="L75" s="31"/>
      <c r="M75" s="89" t="str">
        <f>IF(AND(B75&lt;&gt;""),IF($L$9&lt;&gt;0,VLOOKUP(L75/$L$9*100,TRANSMUTATION_TABLE!$A$2:$B$102,2),""),"")</f>
        <v/>
      </c>
      <c r="N75" s="31"/>
      <c r="O75" s="57" t="str">
        <f>IF(AND(B75&lt;&gt;""),IF($N$9&lt;&gt;0,VLOOKUP(N75/$N$9*100,TRANSMUTATION_TABLE!$A$2:$B$102,2),""),"")</f>
        <v/>
      </c>
      <c r="P75" s="31"/>
      <c r="Q75" s="57" t="str">
        <f>IF(AND(B75&lt;&gt;""),IF($P$9&lt;&gt;0,VLOOKUP(P75/$P$9*100,TRANSMUTATION_TABLE!$A$2:$B$102,2),""),"")</f>
        <v/>
      </c>
      <c r="R75" s="31"/>
      <c r="S75" s="89" t="str">
        <f>IF(AND(B75&lt;&gt;""),IF($R$9&lt;&gt;0,VLOOKUP(R75/$R$9*100,TRANSMUTATION_TABLE!$A$2:$B$102,2),""),"")</f>
        <v/>
      </c>
      <c r="T75" s="48" t="str">
        <f t="shared" si="4"/>
        <v/>
      </c>
      <c r="U75" s="31"/>
      <c r="V75" s="57" t="str">
        <f>IF(AND(B75&lt;&gt;""),IF($U$9&lt;&gt;0,VLOOKUP(U75/$U$9*100,TRANSMUTATION_TABLE!$A$2:$B$102,2),""),"")</f>
        <v/>
      </c>
      <c r="W75" s="31"/>
      <c r="X75" s="57" t="str">
        <f>IF(AND(B75&lt;&gt;""),IF($W$9&lt;&gt;0,VLOOKUP(W75/$W$9*100,TRANSMUTATION_TABLE!$A$2:$B$102,2),""),"")</f>
        <v/>
      </c>
      <c r="Y75" s="31"/>
      <c r="Z75" s="57" t="str">
        <f>IF(AND(B75&lt;&gt;""),IF($Y$9&lt;&gt;0,VLOOKUP(Y75/$Y$9*100,TRANSMUTATION_TABLE!$A$2:$B$102,2),""),"")</f>
        <v/>
      </c>
      <c r="AA75" s="31"/>
      <c r="AB75" s="89" t="str">
        <f>IF(AND(B75&lt;&gt;""),IF($AA$9&lt;&gt;0,VLOOKUP(AA75/$AA$9*100,TRANSMUTATION_TABLE!$A$2:$B$102,2),""),"")</f>
        <v/>
      </c>
      <c r="AC75" s="48" t="str">
        <f t="shared" si="5"/>
        <v/>
      </c>
      <c r="AD75" s="31"/>
      <c r="AE75" s="57" t="str">
        <f>IF(AND(B75&lt;&gt;""),IF($AD$9&lt;&gt;0,VLOOKUP(AD75/$AD$9*100,TRANSMUTATION_TABLE!$A$2:$B$102,2),""),"")</f>
        <v/>
      </c>
      <c r="AF75" s="31">
        <f>Attendance!U72</f>
        <v>0</v>
      </c>
      <c r="AG75" s="87" t="str">
        <f>IF(AND(B75&lt;&gt;""),IF($AF$9&lt;&gt;0,VLOOKUP(AF75/$AF$9*100,TRANSMUTATION_TABLE!$A$2:$B$102,2),""),"")</f>
        <v/>
      </c>
      <c r="AH75" s="31"/>
      <c r="AI75" s="45" t="str">
        <f>IF(AND(B75&lt;&gt;""),IF($AH$9&lt;&gt;0,VLOOKUP(AH75/$AH$9*100,TRANSMUTATION_TABLE!$A$2:$B$102,2),""),"")</f>
        <v/>
      </c>
      <c r="AJ75" s="46" t="str">
        <f>IF(OR(K75&lt;&gt;"",T75&lt;&gt;"",AC75&lt;&gt;"",AI75&lt;&gt;"",AG75&lt;&gt;""),SUM(PRODUCT(K75,IF(Settings!$F$9&lt;&gt;0,Settings!$F$9/100,0)),PRODUCT(Prelim!T75,IF(Settings!$F$10&lt;&gt;0,Settings!$F$10/100,0)),PRODUCT(Prelim!AC75,IF(Settings!$F$11&lt;&gt;0,Settings!$F$11/100,0)),PRODUCT(Prelim!AG75,IF(Settings!$F$12&lt;&gt;0,Settings!$F$12/100,0)),PRODUCT(Prelim!AI75,IF(Settings!$F$13&lt;&gt;0,Settings!$F$13/100,0))),"")</f>
        <v/>
      </c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</row>
    <row r="76" spans="1:56" ht="9.75" customHeight="1" thickBot="1" x14ac:dyDescent="0.35">
      <c r="A76" s="54"/>
      <c r="B76" s="90"/>
      <c r="C76" s="31"/>
      <c r="D76" s="85" t="str">
        <f>IF(AND(B76&lt;&gt;""),IF($C$9&lt;&gt;0,VLOOKUP(C76/$C$9*100,TRANSMUTATION_TABLE!$A$2:$B$102,2),""),"")</f>
        <v/>
      </c>
      <c r="E76" s="31"/>
      <c r="F76" s="42" t="str">
        <f>IF(AND(B76&lt;&gt;""),IF($E$9&lt;&gt;0,VLOOKUP(E76/$E$9*100,TRANSMUTATION_TABLE!$A$2:$B$102,2),""),"")</f>
        <v/>
      </c>
      <c r="G76" s="31"/>
      <c r="H76" s="42" t="str">
        <f>IF(AND(B76&lt;&gt;""),IF($G$9&lt;&gt;0,VLOOKUP(G76/$G$9*100,TRANSMUTATION_TABLE!$A$2:$B$102,2),""),"")</f>
        <v/>
      </c>
      <c r="I76" s="31"/>
      <c r="J76" s="43" t="str">
        <f>IF(AND(B76&lt;&gt;""),IF($I$9&lt;&gt;0,VLOOKUP(I76/$I$9*100,TRANSMUTATION_TABLE!$A$2:$B$102,2),""),"")</f>
        <v/>
      </c>
      <c r="K76" s="48" t="str">
        <f t="shared" si="3"/>
        <v/>
      </c>
      <c r="L76" s="31"/>
      <c r="M76" s="43" t="str">
        <f>IF(AND(B76&lt;&gt;""),IF($L$9&lt;&gt;0,VLOOKUP(L76/$L$9*100,TRANSMUTATION_TABLE!$A$2:$B$102,2),""),"")</f>
        <v/>
      </c>
      <c r="N76" s="31"/>
      <c r="O76" s="42" t="str">
        <f>IF(AND(B76&lt;&gt;""),IF($N$9&lt;&gt;0,VLOOKUP(N76/$N$9*100,TRANSMUTATION_TABLE!$A$2:$B$102,2),""),"")</f>
        <v/>
      </c>
      <c r="P76" s="31"/>
      <c r="Q76" s="42" t="str">
        <f>IF(AND(B76&lt;&gt;""),IF($P$9&lt;&gt;0,VLOOKUP(P76/$P$9*100,TRANSMUTATION_TABLE!$A$2:$B$102,2),""),"")</f>
        <v/>
      </c>
      <c r="R76" s="31"/>
      <c r="S76" s="43" t="str">
        <f>IF(AND(B76&lt;&gt;""),IF($R$9&lt;&gt;0,VLOOKUP(R76/$R$9*100,TRANSMUTATION_TABLE!$A$2:$B$102,2),""),"")</f>
        <v/>
      </c>
      <c r="T76" s="48" t="str">
        <f t="shared" si="4"/>
        <v/>
      </c>
      <c r="U76" s="31"/>
      <c r="V76" s="42" t="str">
        <f>IF(AND(B76&lt;&gt;""),IF($U$9&lt;&gt;0,VLOOKUP(U76/$U$9*100,TRANSMUTATION_TABLE!$A$2:$B$102,2),""),"")</f>
        <v/>
      </c>
      <c r="W76" s="31"/>
      <c r="X76" s="42" t="str">
        <f>IF(AND(B76&lt;&gt;""),IF($W$9&lt;&gt;0,VLOOKUP(W76/$W$9*100,TRANSMUTATION_TABLE!$A$2:$B$102,2),""),"")</f>
        <v/>
      </c>
      <c r="Y76" s="31"/>
      <c r="Z76" s="42" t="str">
        <f>IF(AND(B76&lt;&gt;""),IF($Y$9&lt;&gt;0,VLOOKUP(Y76/$Y$9*100,TRANSMUTATION_TABLE!$A$2:$B$102,2),""),"")</f>
        <v/>
      </c>
      <c r="AA76" s="31"/>
      <c r="AB76" s="43" t="str">
        <f>IF(AND(B76&lt;&gt;""),IF($AA$9&lt;&gt;0,VLOOKUP(AA76/$AA$9*100,TRANSMUTATION_TABLE!$A$2:$B$102,2),""),"")</f>
        <v/>
      </c>
      <c r="AC76" s="48" t="str">
        <f t="shared" si="5"/>
        <v/>
      </c>
      <c r="AD76" s="31"/>
      <c r="AE76" s="42" t="str">
        <f>IF(AND(B76&lt;&gt;""),IF($AD$9&lt;&gt;0,VLOOKUP(AD76/$AD$9*100,TRANSMUTATION_TABLE!$A$2:$B$102,2),""),"")</f>
        <v/>
      </c>
      <c r="AF76" s="31">
        <f>Attendance!U73</f>
        <v>0</v>
      </c>
      <c r="AG76" s="87" t="str">
        <f>IF(AND(B76&lt;&gt;""),IF($AF$9&lt;&gt;0,VLOOKUP(AF76/$AF$9*100,TRANSMUTATION_TABLE!$A$2:$B$102,2),""),"")</f>
        <v/>
      </c>
      <c r="AH76" s="31"/>
      <c r="AI76" s="45" t="str">
        <f>IF(AND(B76&lt;&gt;""),IF($AH$9&lt;&gt;0,VLOOKUP(AH76/$AH$9*100,TRANSMUTATION_TABLE!$A$2:$B$102,2),""),"")</f>
        <v/>
      </c>
      <c r="AJ76" s="46" t="str">
        <f>IF(OR(K76&lt;&gt;"",T76&lt;&gt;"",AC76&lt;&gt;"",AI76&lt;&gt;"",AG76&lt;&gt;""),SUM(PRODUCT(K76,IF(Settings!$F$9&lt;&gt;0,Settings!$F$9/100,0)),PRODUCT(Prelim!T76,IF(Settings!$F$10&lt;&gt;0,Settings!$F$10/100,0)),PRODUCT(Prelim!AC76,IF(Settings!$F$11&lt;&gt;0,Settings!$F$11/100,0)),PRODUCT(Prelim!AG76,IF(Settings!$F$12&lt;&gt;0,Settings!$F$12/100,0)),PRODUCT(Prelim!AI76,IF(Settings!$F$13&lt;&gt;0,Settings!$F$13/100,0))),"")</f>
        <v/>
      </c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</row>
    <row r="77" spans="1:56" ht="9.75" customHeight="1" thickBot="1" x14ac:dyDescent="0.35">
      <c r="A77" s="54"/>
      <c r="B77" s="90"/>
      <c r="C77" s="31"/>
      <c r="D77" s="85" t="str">
        <f>IF(AND(B77&lt;&gt;""),IF($C$9&lt;&gt;0,VLOOKUP(C77/$C$9*100,TRANSMUTATION_TABLE!$A$2:$B$102,2),""),"")</f>
        <v/>
      </c>
      <c r="E77" s="31"/>
      <c r="F77" s="42" t="str">
        <f>IF(AND(B77&lt;&gt;""),IF($E$9&lt;&gt;0,VLOOKUP(E77/$E$9*100,TRANSMUTATION_TABLE!$A$2:$B$102,2),""),"")</f>
        <v/>
      </c>
      <c r="G77" s="31"/>
      <c r="H77" s="42" t="str">
        <f>IF(AND(B77&lt;&gt;""),IF($G$9&lt;&gt;0,VLOOKUP(G77/$G$9*100,TRANSMUTATION_TABLE!$A$2:$B$102,2),""),"")</f>
        <v/>
      </c>
      <c r="I77" s="31"/>
      <c r="J77" s="43" t="str">
        <f>IF(AND(B77&lt;&gt;""),IF($I$9&lt;&gt;0,VLOOKUP(I77/$I$9*100,TRANSMUTATION_TABLE!$A$2:$B$102,2),""),"")</f>
        <v/>
      </c>
      <c r="K77" s="48" t="str">
        <f t="shared" si="3"/>
        <v/>
      </c>
      <c r="L77" s="31"/>
      <c r="M77" s="43" t="str">
        <f>IF(AND(B77&lt;&gt;""),IF($L$9&lt;&gt;0,VLOOKUP(L77/$L$9*100,TRANSMUTATION_TABLE!$A$2:$B$102,2),""),"")</f>
        <v/>
      </c>
      <c r="N77" s="31"/>
      <c r="O77" s="42" t="str">
        <f>IF(AND(B77&lt;&gt;""),IF($N$9&lt;&gt;0,VLOOKUP(N77/$N$9*100,TRANSMUTATION_TABLE!$A$2:$B$102,2),""),"")</f>
        <v/>
      </c>
      <c r="P77" s="31"/>
      <c r="Q77" s="42" t="str">
        <f>IF(AND(B77&lt;&gt;""),IF($P$9&lt;&gt;0,VLOOKUP(P77/$P$9*100,TRANSMUTATION_TABLE!$A$2:$B$102,2),""),"")</f>
        <v/>
      </c>
      <c r="R77" s="31"/>
      <c r="S77" s="43" t="str">
        <f>IF(AND(B77&lt;&gt;""),IF($R$9&lt;&gt;0,VLOOKUP(R77/$R$9*100,TRANSMUTATION_TABLE!$A$2:$B$102,2),""),"")</f>
        <v/>
      </c>
      <c r="T77" s="48" t="str">
        <f t="shared" si="4"/>
        <v/>
      </c>
      <c r="U77" s="31"/>
      <c r="V77" s="42" t="str">
        <f>IF(AND(B77&lt;&gt;""),IF($U$9&lt;&gt;0,VLOOKUP(U77/$U$9*100,TRANSMUTATION_TABLE!$A$2:$B$102,2),""),"")</f>
        <v/>
      </c>
      <c r="W77" s="31"/>
      <c r="X77" s="42" t="str">
        <f>IF(AND(B77&lt;&gt;""),IF($W$9&lt;&gt;0,VLOOKUP(W77/$W$9*100,TRANSMUTATION_TABLE!$A$2:$B$102,2),""),"")</f>
        <v/>
      </c>
      <c r="Y77" s="31"/>
      <c r="Z77" s="42" t="str">
        <f>IF(AND(B77&lt;&gt;""),IF($Y$9&lt;&gt;0,VLOOKUP(Y77/$Y$9*100,TRANSMUTATION_TABLE!$A$2:$B$102,2),""),"")</f>
        <v/>
      </c>
      <c r="AA77" s="31"/>
      <c r="AB77" s="43" t="str">
        <f>IF(AND(B77&lt;&gt;""),IF($AA$9&lt;&gt;0,VLOOKUP(AA77/$AA$9*100,TRANSMUTATION_TABLE!$A$2:$B$102,2),""),"")</f>
        <v/>
      </c>
      <c r="AC77" s="48" t="str">
        <f t="shared" si="5"/>
        <v/>
      </c>
      <c r="AD77" s="31"/>
      <c r="AE77" s="42" t="str">
        <f>IF(AND(B77&lt;&gt;""),IF($AD$9&lt;&gt;0,VLOOKUP(AD77/$AD$9*100,TRANSMUTATION_TABLE!$A$2:$B$102,2),""),"")</f>
        <v/>
      </c>
      <c r="AF77" s="31">
        <f>Attendance!U74</f>
        <v>0</v>
      </c>
      <c r="AG77" s="87" t="str">
        <f>IF(AND(B77&lt;&gt;""),IF($AF$9&lt;&gt;0,VLOOKUP(AF77/$AF$9*100,TRANSMUTATION_TABLE!$A$2:$B$102,2),""),"")</f>
        <v/>
      </c>
      <c r="AH77" s="31"/>
      <c r="AI77" s="45" t="str">
        <f>IF(AND(B77&lt;&gt;""),IF($AH$9&lt;&gt;0,VLOOKUP(AH77/$AH$9*100,TRANSMUTATION_TABLE!$A$2:$B$102,2),""),"")</f>
        <v/>
      </c>
      <c r="AJ77" s="46" t="str">
        <f>IF(OR(K77&lt;&gt;"",T77&lt;&gt;"",AC77&lt;&gt;"",AI77&lt;&gt;"",AG77&lt;&gt;""),SUM(PRODUCT(K77,IF(Settings!$F$9&lt;&gt;0,Settings!$F$9/100,0)),PRODUCT(Prelim!T77,IF(Settings!$F$10&lt;&gt;0,Settings!$F$10/100,0)),PRODUCT(Prelim!AC77,IF(Settings!$F$11&lt;&gt;0,Settings!$F$11/100,0)),PRODUCT(Prelim!AG77,IF(Settings!$F$12&lt;&gt;0,Settings!$F$12/100,0)),PRODUCT(Prelim!AI77,IF(Settings!$F$13&lt;&gt;0,Settings!$F$13/100,0))),"")</f>
        <v/>
      </c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</row>
    <row r="78" spans="1:56" ht="9.75" customHeight="1" thickBot="1" x14ac:dyDescent="0.35">
      <c r="A78" s="54"/>
      <c r="B78" s="90"/>
      <c r="C78" s="31"/>
      <c r="D78" s="85" t="str">
        <f>IF(AND(B78&lt;&gt;""),IF($C$9&lt;&gt;0,VLOOKUP(C78/$C$9*100,TRANSMUTATION_TABLE!$A$2:$B$102,2),""),"")</f>
        <v/>
      </c>
      <c r="E78" s="31"/>
      <c r="F78" s="42" t="str">
        <f>IF(AND(B78&lt;&gt;""),IF($E$9&lt;&gt;0,VLOOKUP(E78/$E$9*100,TRANSMUTATION_TABLE!$A$2:$B$102,2),""),"")</f>
        <v/>
      </c>
      <c r="G78" s="31"/>
      <c r="H78" s="42" t="str">
        <f>IF(AND(B78&lt;&gt;""),IF($G$9&lt;&gt;0,VLOOKUP(G78/$G$9*100,TRANSMUTATION_TABLE!$A$2:$B$102,2),""),"")</f>
        <v/>
      </c>
      <c r="I78" s="31"/>
      <c r="J78" s="43" t="str">
        <f>IF(AND(B78&lt;&gt;""),IF($I$9&lt;&gt;0,VLOOKUP(I78/$I$9*100,TRANSMUTATION_TABLE!$A$2:$B$102,2),""),"")</f>
        <v/>
      </c>
      <c r="K78" s="48" t="str">
        <f t="shared" si="3"/>
        <v/>
      </c>
      <c r="L78" s="31"/>
      <c r="M78" s="43" t="str">
        <f>IF(AND(B78&lt;&gt;""),IF($L$9&lt;&gt;0,VLOOKUP(L78/$L$9*100,TRANSMUTATION_TABLE!$A$2:$B$102,2),""),"")</f>
        <v/>
      </c>
      <c r="N78" s="31"/>
      <c r="O78" s="42" t="str">
        <f>IF(AND(B78&lt;&gt;""),IF($N$9&lt;&gt;0,VLOOKUP(N78/$N$9*100,TRANSMUTATION_TABLE!$A$2:$B$102,2),""),"")</f>
        <v/>
      </c>
      <c r="P78" s="31"/>
      <c r="Q78" s="42" t="str">
        <f>IF(AND(B78&lt;&gt;""),IF($P$9&lt;&gt;0,VLOOKUP(P78/$P$9*100,TRANSMUTATION_TABLE!$A$2:$B$102,2),""),"")</f>
        <v/>
      </c>
      <c r="R78" s="31"/>
      <c r="S78" s="43" t="str">
        <f>IF(AND(B78&lt;&gt;""),IF($R$9&lt;&gt;0,VLOOKUP(R78/$R$9*100,TRANSMUTATION_TABLE!$A$2:$B$102,2),""),"")</f>
        <v/>
      </c>
      <c r="T78" s="48" t="str">
        <f t="shared" si="4"/>
        <v/>
      </c>
      <c r="U78" s="31"/>
      <c r="V78" s="42" t="str">
        <f>IF(AND(B78&lt;&gt;""),IF($U$9&lt;&gt;0,VLOOKUP(U78/$U$9*100,TRANSMUTATION_TABLE!$A$2:$B$102,2),""),"")</f>
        <v/>
      </c>
      <c r="W78" s="31"/>
      <c r="X78" s="42" t="str">
        <f>IF(AND(B78&lt;&gt;""),IF($W$9&lt;&gt;0,VLOOKUP(W78/$W$9*100,TRANSMUTATION_TABLE!$A$2:$B$102,2),""),"")</f>
        <v/>
      </c>
      <c r="Y78" s="31"/>
      <c r="Z78" s="42" t="str">
        <f>IF(AND(B78&lt;&gt;""),IF($Y$9&lt;&gt;0,VLOOKUP(Y78/$Y$9*100,TRANSMUTATION_TABLE!$A$2:$B$102,2),""),"")</f>
        <v/>
      </c>
      <c r="AA78" s="31"/>
      <c r="AB78" s="43" t="str">
        <f>IF(AND(B78&lt;&gt;""),IF($AA$9&lt;&gt;0,VLOOKUP(AA78/$AA$9*100,TRANSMUTATION_TABLE!$A$2:$B$102,2),""),"")</f>
        <v/>
      </c>
      <c r="AC78" s="48" t="str">
        <f t="shared" si="5"/>
        <v/>
      </c>
      <c r="AD78" s="31"/>
      <c r="AE78" s="42" t="str">
        <f>IF(AND(B78&lt;&gt;""),IF($AD$9&lt;&gt;0,VLOOKUP(AD78/$AD$9*100,TRANSMUTATION_TABLE!$A$2:$B$102,2),""),"")</f>
        <v/>
      </c>
      <c r="AF78" s="31">
        <f>Attendance!U75</f>
        <v>0</v>
      </c>
      <c r="AG78" s="87" t="str">
        <f>IF(AND(B78&lt;&gt;""),IF($AF$9&lt;&gt;0,VLOOKUP(AF78/$AF$9*100,TRANSMUTATION_TABLE!$A$2:$B$102,2),""),"")</f>
        <v/>
      </c>
      <c r="AH78" s="31"/>
      <c r="AI78" s="45" t="str">
        <f>IF(AND(B78&lt;&gt;""),IF($AH$9&lt;&gt;0,VLOOKUP(AH78/$AH$9*100,TRANSMUTATION_TABLE!$A$2:$B$102,2),""),"")</f>
        <v/>
      </c>
      <c r="AJ78" s="46" t="str">
        <f>IF(OR(K78&lt;&gt;"",T78&lt;&gt;"",AC78&lt;&gt;"",AI78&lt;&gt;"",AG78&lt;&gt;""),SUM(PRODUCT(K78,IF(Settings!$F$9&lt;&gt;0,Settings!$F$9/100,0)),PRODUCT(Prelim!T78,IF(Settings!$F$10&lt;&gt;0,Settings!$F$10/100,0)),PRODUCT(Prelim!AC78,IF(Settings!$F$11&lt;&gt;0,Settings!$F$11/100,0)),PRODUCT(Prelim!AG78,IF(Settings!$F$12&lt;&gt;0,Settings!$F$12/100,0)),PRODUCT(Prelim!AI78,IF(Settings!$F$13&lt;&gt;0,Settings!$F$13/100,0))),"")</f>
        <v/>
      </c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</row>
    <row r="79" spans="1:56" ht="9.75" customHeight="1" thickBot="1" x14ac:dyDescent="0.35">
      <c r="A79" s="54"/>
      <c r="B79" s="61"/>
      <c r="C79" s="214"/>
      <c r="D79" s="85" t="str">
        <f>IF(AND(B79&lt;&gt;""),IF($C$9&lt;&gt;0,VLOOKUP(C79/$C$9*100,TRANSMUTATION_TABLE!$A$2:$B$102,2),""),"")</f>
        <v/>
      </c>
      <c r="E79" s="214"/>
      <c r="F79" s="42" t="str">
        <f>IF(AND(B79&lt;&gt;""),IF($E$9&lt;&gt;0,VLOOKUP(E79/$E$9*100,TRANSMUTATION_TABLE!$A$2:$B$102,2),""),"")</f>
        <v/>
      </c>
      <c r="G79" s="214"/>
      <c r="H79" s="42" t="str">
        <f>IF(AND(B79&lt;&gt;""),IF($G$9&lt;&gt;0,VLOOKUP(G79/$G$9*100,TRANSMUTATION_TABLE!$A$2:$B$102,2),""),"")</f>
        <v/>
      </c>
      <c r="I79" s="214"/>
      <c r="J79" s="43" t="str">
        <f>IF(AND(B79&lt;&gt;""),IF($I$9&lt;&gt;0,VLOOKUP(I79/$I$9*100,TRANSMUTATION_TABLE!$A$2:$B$102,2),""),"")</f>
        <v/>
      </c>
      <c r="K79" s="48" t="str">
        <f t="shared" si="3"/>
        <v/>
      </c>
      <c r="L79" s="214"/>
      <c r="M79" s="43" t="str">
        <f>IF(AND(B79&lt;&gt;""),IF($L$9&lt;&gt;0,VLOOKUP(L79/$L$9*100,TRANSMUTATION_TABLE!$A$2:$B$102,2),""),"")</f>
        <v/>
      </c>
      <c r="N79" s="214"/>
      <c r="O79" s="42" t="str">
        <f>IF(AND(B79&lt;&gt;""),IF($N$9&lt;&gt;0,VLOOKUP(N79/$N$9*100,TRANSMUTATION_TABLE!$A$2:$B$102,2),""),"")</f>
        <v/>
      </c>
      <c r="P79" s="214"/>
      <c r="Q79" s="42" t="str">
        <f>IF(AND(B79&lt;&gt;""),IF($P$9&lt;&gt;0,VLOOKUP(P79/$P$9*100,TRANSMUTATION_TABLE!$A$2:$B$102,2),""),"")</f>
        <v/>
      </c>
      <c r="R79" s="214"/>
      <c r="S79" s="43" t="str">
        <f>IF(AND(B79&lt;&gt;""),IF($R$9&lt;&gt;0,VLOOKUP(R79/$R$9*100,TRANSMUTATION_TABLE!$A$2:$B$102,2),""),"")</f>
        <v/>
      </c>
      <c r="T79" s="48" t="str">
        <f t="shared" si="4"/>
        <v/>
      </c>
      <c r="U79" s="214"/>
      <c r="V79" s="42" t="str">
        <f>IF(AND(B79&lt;&gt;""),IF($U$9&lt;&gt;0,VLOOKUP(U79/$U$9*100,TRANSMUTATION_TABLE!$A$2:$B$102,2),""),"")</f>
        <v/>
      </c>
      <c r="W79" s="214"/>
      <c r="X79" s="42" t="str">
        <f>IF(AND(B79&lt;&gt;""),IF($W$9&lt;&gt;0,VLOOKUP(W79/$W$9*100,TRANSMUTATION_TABLE!$A$2:$B$102,2),""),"")</f>
        <v/>
      </c>
      <c r="Y79" s="214"/>
      <c r="Z79" s="42" t="str">
        <f>IF(AND(B79&lt;&gt;""),IF($Y$9&lt;&gt;0,VLOOKUP(Y79/$Y$9*100,TRANSMUTATION_TABLE!$A$2:$B$102,2),""),"")</f>
        <v/>
      </c>
      <c r="AA79" s="214"/>
      <c r="AB79" s="43" t="str">
        <f>IF(AND(B79&lt;&gt;""),IF($AA$9&lt;&gt;0,VLOOKUP(AA79/$AA$9*100,TRANSMUTATION_TABLE!$A$2:$B$102,2),""),"")</f>
        <v/>
      </c>
      <c r="AC79" s="48" t="str">
        <f t="shared" si="5"/>
        <v/>
      </c>
      <c r="AD79" s="214"/>
      <c r="AE79" s="42" t="str">
        <f>IF(AND(B79&lt;&gt;""),IF($AD$9&lt;&gt;0,VLOOKUP(AD79/$AD$9*100,TRANSMUTATION_TABLE!$A$2:$B$102,2),""),"")</f>
        <v/>
      </c>
      <c r="AF79" s="214">
        <f>Attendance!U76</f>
        <v>0</v>
      </c>
      <c r="AG79" s="87" t="str">
        <f>IF(AND(B79&lt;&gt;""),IF($AF$9&lt;&gt;0,VLOOKUP(AF79/$AF$9*100,TRANSMUTATION_TABLE!$A$2:$B$102,2),""),"")</f>
        <v/>
      </c>
      <c r="AH79" s="214"/>
      <c r="AI79" s="45" t="str">
        <f>IF(AND(B79&lt;&gt;""),IF($AH$9&lt;&gt;0,VLOOKUP(AH79/$AH$9*100,TRANSMUTATION_TABLE!$A$2:$B$102,2),""),"")</f>
        <v/>
      </c>
      <c r="AJ79" s="46" t="str">
        <f>IF(OR(K79&lt;&gt;"",T79&lt;&gt;"",AC79&lt;&gt;"",AI79&lt;&gt;"",AG79&lt;&gt;""),SUM(PRODUCT(K79,IF(Settings!$F$9&lt;&gt;0,Settings!$F$9/100,0)),PRODUCT(Prelim!T79,IF(Settings!$F$10&lt;&gt;0,Settings!$F$10/100,0)),PRODUCT(Prelim!AC79,IF(Settings!$F$11&lt;&gt;0,Settings!$F$11/100,0)),PRODUCT(Prelim!AG79,IF(Settings!$F$12&lt;&gt;0,Settings!$F$12/100,0)),PRODUCT(Prelim!AI79,IF(Settings!$F$13&lt;&gt;0,Settings!$F$13/100,0))),"")</f>
        <v/>
      </c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</row>
    <row r="80" spans="1:56" ht="9.75" customHeight="1" x14ac:dyDescent="0.3">
      <c r="A80" s="34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6"/>
      <c r="V80" s="16"/>
      <c r="W80" s="16"/>
      <c r="X80" s="16"/>
      <c r="Y80" s="16"/>
      <c r="Z80" s="16"/>
      <c r="AA80" s="15"/>
      <c r="AB80" s="16"/>
      <c r="AC80" s="16"/>
      <c r="AD80" s="16"/>
      <c r="AE80" s="16"/>
      <c r="AF80" s="16"/>
      <c r="AG80" s="16"/>
      <c r="AH80" s="16"/>
      <c r="AI80" s="16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</row>
    <row r="81" spans="1:56" ht="9.75" customHeight="1" x14ac:dyDescent="0.3">
      <c r="A81" s="34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6"/>
      <c r="V81" s="16"/>
      <c r="W81" s="16"/>
      <c r="X81" s="16"/>
      <c r="Y81" s="16"/>
      <c r="Z81" s="16"/>
      <c r="AA81" s="15"/>
      <c r="AB81" s="16"/>
      <c r="AC81" s="16"/>
      <c r="AD81" s="16"/>
      <c r="AE81" s="16"/>
      <c r="AF81" s="16"/>
      <c r="AG81" s="16"/>
      <c r="AH81" s="16"/>
      <c r="AI81" s="16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</row>
    <row r="82" spans="1:56" ht="9.75" customHeight="1" x14ac:dyDescent="0.3">
      <c r="A82" s="34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6"/>
      <c r="V82" s="16"/>
      <c r="W82" s="16"/>
      <c r="X82" s="16"/>
      <c r="Y82" s="16"/>
      <c r="Z82" s="16"/>
      <c r="AA82" s="15"/>
      <c r="AB82" s="16"/>
      <c r="AC82" s="16"/>
      <c r="AD82" s="16"/>
      <c r="AE82" s="16"/>
      <c r="AF82" s="16"/>
      <c r="AG82" s="16"/>
      <c r="AH82" s="16"/>
      <c r="AI82" s="16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</row>
    <row r="83" spans="1:56" ht="9.75" customHeight="1" x14ac:dyDescent="0.3">
      <c r="A83" s="34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6"/>
      <c r="V83" s="16"/>
      <c r="W83" s="16"/>
      <c r="X83" s="16"/>
      <c r="Y83" s="16"/>
      <c r="Z83" s="16"/>
      <c r="AA83" s="15"/>
      <c r="AB83" s="16"/>
      <c r="AC83" s="259" t="str">
        <f>IF(Settings!$B$6&lt;&gt;0,Settings!$B$6,"")</f>
        <v/>
      </c>
      <c r="AD83" s="260"/>
      <c r="AE83" s="260"/>
      <c r="AF83" s="260"/>
      <c r="AG83" s="260"/>
      <c r="AH83" s="260"/>
      <c r="AI83" s="260"/>
      <c r="AJ83" s="260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</row>
    <row r="84" spans="1:56" ht="9.75" customHeight="1" x14ac:dyDescent="0.3">
      <c r="A84" s="34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6"/>
      <c r="V84" s="16"/>
      <c r="W84" s="16"/>
      <c r="X84" s="16"/>
      <c r="Y84" s="16"/>
      <c r="Z84" s="16"/>
      <c r="AA84" s="15"/>
      <c r="AB84" s="16"/>
      <c r="AC84" s="262"/>
      <c r="AD84" s="263"/>
      <c r="AE84" s="263"/>
      <c r="AF84" s="263"/>
      <c r="AG84" s="263"/>
      <c r="AH84" s="263"/>
      <c r="AI84" s="263"/>
      <c r="AJ84" s="263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</row>
    <row r="85" spans="1:56" ht="9.75" customHeight="1" x14ac:dyDescent="0.3">
      <c r="A85" s="34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6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6"/>
      <c r="AG85" s="16"/>
      <c r="AH85" s="16"/>
      <c r="AI85" s="16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</row>
    <row r="86" spans="1:56" ht="9.75" customHeight="1" x14ac:dyDescent="0.3">
      <c r="A86" s="34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6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16"/>
      <c r="AG86" s="16"/>
      <c r="AH86" s="16"/>
      <c r="AI86" s="16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</row>
    <row r="87" spans="1:56" ht="9.75" customHeight="1" x14ac:dyDescent="0.3">
      <c r="A87" s="34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6"/>
      <c r="V87" s="16"/>
      <c r="W87" s="16"/>
      <c r="X87" s="16"/>
      <c r="Y87" s="16"/>
      <c r="Z87" s="16"/>
      <c r="AA87" s="15"/>
      <c r="AB87" s="16"/>
      <c r="AC87" s="259" t="str">
        <f>IF(Settings!$B$8&lt;&gt;0,Settings!$B$8,"")</f>
        <v/>
      </c>
      <c r="AD87" s="260"/>
      <c r="AE87" s="260"/>
      <c r="AF87" s="260"/>
      <c r="AG87" s="260"/>
      <c r="AH87" s="260"/>
      <c r="AI87" s="260"/>
      <c r="AJ87" s="260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</row>
    <row r="88" spans="1:56" ht="9.75" customHeight="1" x14ac:dyDescent="0.3">
      <c r="A88" s="34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6"/>
      <c r="V88" s="16"/>
      <c r="W88" s="16"/>
      <c r="X88" s="16"/>
      <c r="Y88" s="16"/>
      <c r="Z88" s="16"/>
      <c r="AA88" s="15"/>
      <c r="AB88" s="16"/>
      <c r="AC88" s="262"/>
      <c r="AD88" s="263"/>
      <c r="AE88" s="263"/>
      <c r="AF88" s="263"/>
      <c r="AG88" s="263"/>
      <c r="AH88" s="263"/>
      <c r="AI88" s="263"/>
      <c r="AJ88" s="263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</row>
    <row r="89" spans="1:56" ht="9.75" customHeight="1" x14ac:dyDescent="0.3">
      <c r="A89" s="34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6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6"/>
      <c r="AI89" s="16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</row>
    <row r="90" spans="1:56" ht="9.75" customHeight="1" x14ac:dyDescent="0.3">
      <c r="A90" s="34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6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6"/>
      <c r="AI90" s="16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</row>
    <row r="91" spans="1:56" ht="9.75" customHeight="1" x14ac:dyDescent="0.3">
      <c r="A91" s="34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6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6"/>
      <c r="AI91" s="16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</row>
    <row r="92" spans="1:56" ht="9.75" customHeight="1" x14ac:dyDescent="0.3">
      <c r="A92" s="34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6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6"/>
      <c r="AI92" s="16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</row>
    <row r="93" spans="1:56" ht="9.75" customHeight="1" x14ac:dyDescent="0.3">
      <c r="A93" s="34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6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6"/>
      <c r="AI93" s="16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</row>
    <row r="94" spans="1:56" ht="9.75" customHeight="1" x14ac:dyDescent="0.3">
      <c r="A94" s="34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6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6"/>
      <c r="AI94" s="16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</row>
    <row r="95" spans="1:56" ht="9.75" customHeight="1" x14ac:dyDescent="0.3">
      <c r="A95" s="34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6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6"/>
      <c r="AI95" s="16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</row>
    <row r="96" spans="1:56" ht="9.75" customHeight="1" x14ac:dyDescent="0.3">
      <c r="A96" s="34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6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6"/>
      <c r="AI96" s="16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</row>
    <row r="97" spans="1:56" ht="9.75" customHeight="1" x14ac:dyDescent="0.3">
      <c r="A97" s="34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6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6"/>
      <c r="AI97" s="16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</row>
    <row r="98" spans="1:56" ht="9.75" customHeight="1" x14ac:dyDescent="0.3">
      <c r="A98" s="34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6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6"/>
      <c r="AI98" s="16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</row>
    <row r="99" spans="1:56" ht="9.75" customHeight="1" x14ac:dyDescent="0.3">
      <c r="A99" s="34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6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6"/>
      <c r="AI99" s="16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</row>
    <row r="100" spans="1:56" ht="9.75" customHeight="1" x14ac:dyDescent="0.3">
      <c r="A100" s="34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6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6"/>
      <c r="AI100" s="16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</row>
    <row r="101" spans="1:56" ht="9.75" customHeight="1" x14ac:dyDescent="0.3">
      <c r="A101" s="34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6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6"/>
      <c r="AI101" s="16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</row>
    <row r="102" spans="1:56" ht="9.75" customHeight="1" x14ac:dyDescent="0.3">
      <c r="A102" s="34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6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6"/>
      <c r="AI102" s="16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</row>
    <row r="103" spans="1:56" ht="9.75" customHeight="1" x14ac:dyDescent="0.3">
      <c r="A103" s="34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6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6"/>
      <c r="AI103" s="16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</row>
    <row r="104" spans="1:56" ht="9.75" customHeight="1" x14ac:dyDescent="0.3">
      <c r="A104" s="34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6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6"/>
      <c r="AI104" s="16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</row>
    <row r="105" spans="1:56" ht="9.75" customHeight="1" x14ac:dyDescent="0.3">
      <c r="A105" s="34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6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6"/>
      <c r="AI105" s="16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</row>
    <row r="106" spans="1:56" ht="9.75" customHeight="1" x14ac:dyDescent="0.3">
      <c r="A106" s="34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6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6"/>
      <c r="AI106" s="16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</row>
    <row r="107" spans="1:56" ht="9.75" customHeight="1" x14ac:dyDescent="0.3">
      <c r="A107" s="34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6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6"/>
      <c r="AI107" s="16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</row>
    <row r="108" spans="1:56" ht="9.75" customHeight="1" x14ac:dyDescent="0.3">
      <c r="A108" s="34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6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6"/>
      <c r="AI108" s="16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</row>
    <row r="109" spans="1:56" ht="9.75" customHeight="1" x14ac:dyDescent="0.3">
      <c r="A109" s="34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6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6"/>
      <c r="AI109" s="16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</row>
    <row r="110" spans="1:56" ht="9.75" customHeight="1" x14ac:dyDescent="0.3">
      <c r="A110" s="34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6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6"/>
      <c r="AI110" s="16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</row>
    <row r="111" spans="1:56" ht="9.75" customHeight="1" x14ac:dyDescent="0.3">
      <c r="A111" s="34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6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6"/>
      <c r="AI111" s="16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</row>
    <row r="112" spans="1:56" ht="9.75" customHeight="1" x14ac:dyDescent="0.3">
      <c r="A112" s="34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6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6"/>
      <c r="AI112" s="16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</row>
    <row r="113" spans="1:56" ht="9.75" customHeight="1" x14ac:dyDescent="0.3">
      <c r="A113" s="34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6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6"/>
      <c r="AI113" s="16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</row>
    <row r="114" spans="1:56" ht="9.75" customHeight="1" x14ac:dyDescent="0.3">
      <c r="A114" s="34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6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6"/>
      <c r="AI114" s="16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</row>
    <row r="115" spans="1:56" ht="9.75" customHeight="1" x14ac:dyDescent="0.3">
      <c r="A115" s="34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6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6"/>
      <c r="AI115" s="16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</row>
    <row r="116" spans="1:56" ht="9.75" customHeight="1" x14ac:dyDescent="0.3">
      <c r="A116" s="34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6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6"/>
      <c r="AI116" s="16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</row>
    <row r="117" spans="1:56" ht="9.75" customHeight="1" x14ac:dyDescent="0.3">
      <c r="A117" s="34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6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6"/>
      <c r="AI117" s="16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</row>
    <row r="118" spans="1:56" ht="9.75" customHeight="1" x14ac:dyDescent="0.3">
      <c r="A118" s="34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6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6"/>
      <c r="AI118" s="16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</row>
    <row r="119" spans="1:56" ht="9.75" customHeight="1" x14ac:dyDescent="0.3">
      <c r="A119" s="34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6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6"/>
      <c r="AI119" s="16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</row>
    <row r="120" spans="1:56" ht="9.75" customHeight="1" x14ac:dyDescent="0.3">
      <c r="A120" s="34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6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6"/>
      <c r="AI120" s="16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</row>
    <row r="121" spans="1:56" ht="9.75" customHeight="1" x14ac:dyDescent="0.3">
      <c r="A121" s="34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6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6"/>
      <c r="AI121" s="16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</row>
    <row r="122" spans="1:56" ht="9.75" customHeight="1" x14ac:dyDescent="0.3">
      <c r="A122" s="34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6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6"/>
      <c r="AI122" s="16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</row>
    <row r="123" spans="1:56" ht="9.75" customHeight="1" x14ac:dyDescent="0.3">
      <c r="A123" s="34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6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6"/>
      <c r="AI123" s="16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</row>
    <row r="124" spans="1:56" ht="9.75" customHeight="1" x14ac:dyDescent="0.3">
      <c r="A124" s="34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6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6"/>
      <c r="AI124" s="16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</row>
    <row r="125" spans="1:56" ht="9.75" customHeight="1" x14ac:dyDescent="0.3">
      <c r="A125" s="34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6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6"/>
      <c r="AI125" s="16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</row>
    <row r="126" spans="1:56" ht="9.75" customHeight="1" x14ac:dyDescent="0.3">
      <c r="A126" s="34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6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6"/>
      <c r="AI126" s="16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</row>
    <row r="127" spans="1:56" ht="9.75" customHeight="1" x14ac:dyDescent="0.3">
      <c r="A127" s="34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6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6"/>
      <c r="AI127" s="16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</row>
    <row r="128" spans="1:56" ht="9.75" customHeight="1" x14ac:dyDescent="0.3">
      <c r="A128" s="34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6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6"/>
      <c r="AI128" s="16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</row>
    <row r="129" spans="1:56" ht="9.75" customHeight="1" x14ac:dyDescent="0.3">
      <c r="A129" s="34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6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6"/>
      <c r="AI129" s="16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</row>
    <row r="130" spans="1:56" ht="9.75" customHeight="1" x14ac:dyDescent="0.3">
      <c r="A130" s="34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6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6"/>
      <c r="AI130" s="16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</row>
    <row r="131" spans="1:56" ht="9.75" customHeight="1" x14ac:dyDescent="0.3">
      <c r="A131" s="34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6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6"/>
      <c r="AI131" s="16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</row>
    <row r="132" spans="1:56" ht="9.75" customHeight="1" x14ac:dyDescent="0.3">
      <c r="A132" s="34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6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6"/>
      <c r="AI132" s="16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</row>
    <row r="133" spans="1:56" ht="9.75" customHeight="1" x14ac:dyDescent="0.3">
      <c r="A133" s="34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6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6"/>
      <c r="AI133" s="16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</row>
    <row r="134" spans="1:56" ht="9.75" customHeight="1" x14ac:dyDescent="0.3">
      <c r="A134" s="34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6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6"/>
      <c r="AI134" s="16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</row>
    <row r="135" spans="1:56" ht="9.75" customHeight="1" x14ac:dyDescent="0.3">
      <c r="A135" s="34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6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6"/>
      <c r="AI135" s="16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</row>
    <row r="136" spans="1:56" ht="9.75" customHeight="1" x14ac:dyDescent="0.3">
      <c r="A136" s="34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6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6"/>
      <c r="AI136" s="16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</row>
    <row r="137" spans="1:56" ht="9.75" customHeight="1" x14ac:dyDescent="0.3">
      <c r="A137" s="34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6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6"/>
      <c r="AI137" s="16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</row>
    <row r="138" spans="1:56" ht="9.75" customHeight="1" x14ac:dyDescent="0.3">
      <c r="A138" s="34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6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6"/>
      <c r="AI138" s="16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</row>
    <row r="139" spans="1:56" ht="9.75" customHeight="1" x14ac:dyDescent="0.3">
      <c r="A139" s="34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6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6"/>
      <c r="AI139" s="16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</row>
    <row r="140" spans="1:56" ht="9.75" customHeight="1" x14ac:dyDescent="0.3">
      <c r="A140" s="34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6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6"/>
      <c r="AI140" s="16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</row>
    <row r="141" spans="1:56" ht="9.75" customHeight="1" x14ac:dyDescent="0.3">
      <c r="A141" s="34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6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6"/>
      <c r="AI141" s="16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</row>
    <row r="142" spans="1:56" ht="9.75" customHeight="1" x14ac:dyDescent="0.3">
      <c r="A142" s="34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6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6"/>
      <c r="AI142" s="16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</row>
    <row r="143" spans="1:56" ht="9.75" customHeight="1" x14ac:dyDescent="0.3">
      <c r="A143" s="34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6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6"/>
      <c r="AI143" s="16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</row>
    <row r="144" spans="1:56" ht="9.75" customHeight="1" x14ac:dyDescent="0.3">
      <c r="A144" s="34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6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6"/>
      <c r="AI144" s="16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</row>
    <row r="145" spans="1:56" ht="9.75" customHeight="1" x14ac:dyDescent="0.3">
      <c r="A145" s="34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6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6"/>
      <c r="AI145" s="16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</row>
    <row r="146" spans="1:56" ht="9.75" customHeight="1" x14ac:dyDescent="0.3">
      <c r="A146" s="34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6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6"/>
      <c r="AI146" s="16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</row>
    <row r="147" spans="1:56" ht="9.75" customHeight="1" x14ac:dyDescent="0.3">
      <c r="A147" s="34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6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6"/>
      <c r="AI147" s="16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</row>
    <row r="148" spans="1:56" ht="9.75" customHeight="1" x14ac:dyDescent="0.3">
      <c r="A148" s="34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6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6"/>
      <c r="AI148" s="16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</row>
    <row r="149" spans="1:56" ht="9.75" customHeight="1" x14ac:dyDescent="0.3">
      <c r="A149" s="34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6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6"/>
      <c r="AI149" s="16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</row>
    <row r="150" spans="1:56" ht="9.75" customHeight="1" x14ac:dyDescent="0.3">
      <c r="A150" s="34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6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6"/>
      <c r="AI150" s="16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</row>
    <row r="151" spans="1:56" ht="9.75" customHeight="1" x14ac:dyDescent="0.3">
      <c r="A151" s="34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6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6"/>
      <c r="AI151" s="16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</row>
    <row r="152" spans="1:56" ht="9.75" customHeight="1" x14ac:dyDescent="0.3">
      <c r="A152" s="34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6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6"/>
      <c r="AI152" s="16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</row>
    <row r="153" spans="1:56" ht="9.75" customHeight="1" x14ac:dyDescent="0.3">
      <c r="A153" s="34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6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6"/>
      <c r="AI153" s="16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</row>
    <row r="154" spans="1:56" ht="9.75" customHeight="1" x14ac:dyDescent="0.3">
      <c r="A154" s="34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6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6"/>
      <c r="AI154" s="16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</row>
    <row r="155" spans="1:56" ht="9.75" customHeight="1" x14ac:dyDescent="0.3">
      <c r="A155" s="34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6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6"/>
      <c r="AI155" s="16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</row>
    <row r="156" spans="1:56" ht="9.75" customHeight="1" x14ac:dyDescent="0.3">
      <c r="A156" s="34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6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6"/>
      <c r="AI156" s="16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</row>
    <row r="157" spans="1:56" ht="9.75" customHeight="1" x14ac:dyDescent="0.3">
      <c r="A157" s="34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6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6"/>
      <c r="AI157" s="16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</row>
    <row r="158" spans="1:56" ht="9.75" customHeight="1" x14ac:dyDescent="0.3">
      <c r="A158" s="34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6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6"/>
      <c r="AI158" s="16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</row>
    <row r="159" spans="1:56" ht="9.75" customHeight="1" x14ac:dyDescent="0.3">
      <c r="A159" s="34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6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6"/>
      <c r="AI159" s="16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</row>
    <row r="160" spans="1:56" ht="9.75" customHeight="1" x14ac:dyDescent="0.3">
      <c r="A160" s="34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6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6"/>
      <c r="AI160" s="16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</row>
    <row r="161" spans="1:56" ht="9.75" customHeight="1" x14ac:dyDescent="0.3">
      <c r="A161" s="34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6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6"/>
      <c r="AI161" s="16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</row>
    <row r="162" spans="1:56" ht="9.75" customHeight="1" x14ac:dyDescent="0.3">
      <c r="A162" s="34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6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6"/>
      <c r="AI162" s="16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</row>
    <row r="163" spans="1:56" ht="9.75" customHeight="1" x14ac:dyDescent="0.3">
      <c r="A163" s="34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6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6"/>
      <c r="AI163" s="16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</row>
    <row r="164" spans="1:56" ht="9.75" customHeight="1" x14ac:dyDescent="0.3">
      <c r="A164" s="34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6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6"/>
      <c r="AI164" s="16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</row>
    <row r="165" spans="1:56" ht="9.75" customHeight="1" x14ac:dyDescent="0.3">
      <c r="A165" s="34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6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6"/>
      <c r="AI165" s="16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</row>
    <row r="166" spans="1:56" ht="9.75" customHeight="1" x14ac:dyDescent="0.3">
      <c r="A166" s="34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6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6"/>
      <c r="AI166" s="16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</row>
    <row r="167" spans="1:56" ht="9.75" customHeight="1" x14ac:dyDescent="0.3">
      <c r="A167" s="34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6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6"/>
      <c r="AI167" s="16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</row>
    <row r="168" spans="1:56" ht="9.75" customHeight="1" x14ac:dyDescent="0.3">
      <c r="A168" s="34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6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6"/>
      <c r="AI168" s="16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</row>
    <row r="169" spans="1:56" ht="9.75" customHeight="1" x14ac:dyDescent="0.3">
      <c r="A169" s="34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6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6"/>
      <c r="AI169" s="16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</row>
    <row r="170" spans="1:56" ht="9.75" customHeight="1" x14ac:dyDescent="0.3">
      <c r="A170" s="34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6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6"/>
      <c r="AI170" s="16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</row>
    <row r="171" spans="1:56" ht="9.75" customHeight="1" x14ac:dyDescent="0.3">
      <c r="A171" s="34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6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6"/>
      <c r="AI171" s="16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</row>
    <row r="172" spans="1:56" ht="9.75" customHeight="1" x14ac:dyDescent="0.3">
      <c r="A172" s="34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6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6"/>
      <c r="AI172" s="16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</row>
    <row r="173" spans="1:56" ht="9.75" customHeight="1" x14ac:dyDescent="0.3">
      <c r="A173" s="34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6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6"/>
      <c r="AI173" s="16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</row>
    <row r="174" spans="1:56" ht="9.75" customHeight="1" x14ac:dyDescent="0.3">
      <c r="A174" s="34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6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6"/>
      <c r="AI174" s="16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</row>
    <row r="175" spans="1:56" ht="9.75" customHeight="1" x14ac:dyDescent="0.3">
      <c r="A175" s="34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6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6"/>
      <c r="AI175" s="16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</row>
    <row r="176" spans="1:56" ht="9.75" customHeight="1" x14ac:dyDescent="0.3">
      <c r="A176" s="34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6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6"/>
      <c r="AI176" s="16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</row>
    <row r="177" spans="1:56" ht="9.75" customHeight="1" x14ac:dyDescent="0.3">
      <c r="A177" s="34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6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6"/>
      <c r="AI177" s="16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</row>
    <row r="178" spans="1:56" ht="9.75" customHeight="1" x14ac:dyDescent="0.3">
      <c r="A178" s="34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6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6"/>
      <c r="AI178" s="16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</row>
    <row r="179" spans="1:56" ht="9.75" customHeight="1" x14ac:dyDescent="0.3">
      <c r="A179" s="34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6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6"/>
      <c r="AI179" s="16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</row>
    <row r="180" spans="1:56" ht="9.75" customHeight="1" x14ac:dyDescent="0.3">
      <c r="A180" s="34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6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6"/>
      <c r="AI180" s="16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</row>
    <row r="181" spans="1:56" ht="9.75" customHeight="1" x14ac:dyDescent="0.3">
      <c r="A181" s="34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6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6"/>
      <c r="AI181" s="16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</row>
    <row r="182" spans="1:56" ht="9.75" customHeight="1" x14ac:dyDescent="0.3">
      <c r="A182" s="34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6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6"/>
      <c r="AI182" s="16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</row>
    <row r="183" spans="1:56" ht="9.75" customHeight="1" x14ac:dyDescent="0.3">
      <c r="A183" s="34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6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6"/>
      <c r="AI183" s="16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</row>
    <row r="184" spans="1:56" ht="9.75" customHeight="1" x14ac:dyDescent="0.3">
      <c r="A184" s="34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6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6"/>
      <c r="AI184" s="16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</row>
    <row r="185" spans="1:56" ht="9.75" customHeight="1" x14ac:dyDescent="0.3">
      <c r="A185" s="34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6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6"/>
      <c r="AI185" s="16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</row>
    <row r="186" spans="1:56" ht="9.75" customHeight="1" x14ac:dyDescent="0.3">
      <c r="A186" s="34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6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6"/>
      <c r="AI186" s="16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</row>
    <row r="187" spans="1:56" ht="9.75" customHeight="1" x14ac:dyDescent="0.3">
      <c r="A187" s="34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6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6"/>
      <c r="AI187" s="16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</row>
    <row r="188" spans="1:56" ht="9.75" customHeight="1" x14ac:dyDescent="0.3">
      <c r="A188" s="34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6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6"/>
      <c r="AI188" s="16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</row>
    <row r="189" spans="1:56" ht="9.75" customHeight="1" x14ac:dyDescent="0.3">
      <c r="A189" s="34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6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6"/>
      <c r="AI189" s="16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</row>
    <row r="190" spans="1:56" ht="9.75" customHeight="1" x14ac:dyDescent="0.3">
      <c r="A190" s="34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6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6"/>
      <c r="AI190" s="16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</row>
    <row r="191" spans="1:56" ht="9.75" customHeight="1" x14ac:dyDescent="0.3">
      <c r="A191" s="34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6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6"/>
      <c r="AI191" s="16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</row>
    <row r="192" spans="1:56" ht="9.75" customHeight="1" x14ac:dyDescent="0.3">
      <c r="A192" s="34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6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6"/>
      <c r="AI192" s="16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</row>
    <row r="193" spans="1:56" ht="9.75" customHeight="1" x14ac:dyDescent="0.3">
      <c r="A193" s="34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6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6"/>
      <c r="AI193" s="16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</row>
    <row r="194" spans="1:56" ht="9.75" customHeight="1" x14ac:dyDescent="0.3">
      <c r="A194" s="34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6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6"/>
      <c r="AI194" s="16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</row>
    <row r="195" spans="1:56" ht="9.75" customHeight="1" x14ac:dyDescent="0.3">
      <c r="A195" s="34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6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6"/>
      <c r="AI195" s="16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</row>
    <row r="196" spans="1:56" ht="9.75" customHeight="1" x14ac:dyDescent="0.3">
      <c r="A196" s="34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6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6"/>
      <c r="AI196" s="16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</row>
    <row r="197" spans="1:56" ht="9.75" customHeight="1" x14ac:dyDescent="0.3">
      <c r="A197" s="34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6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6"/>
      <c r="AI197" s="16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</row>
    <row r="198" spans="1:56" ht="9.75" customHeight="1" x14ac:dyDescent="0.3">
      <c r="A198" s="34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6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6"/>
      <c r="AI198" s="16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</row>
    <row r="199" spans="1:56" ht="9.75" customHeight="1" x14ac:dyDescent="0.3">
      <c r="A199" s="34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6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6"/>
      <c r="AI199" s="16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</row>
    <row r="200" spans="1:56" ht="9.75" customHeight="1" x14ac:dyDescent="0.3">
      <c r="A200" s="34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6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6"/>
      <c r="AI200" s="16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</row>
    <row r="201" spans="1:56" ht="9.75" customHeight="1" x14ac:dyDescent="0.3">
      <c r="A201" s="34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6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6"/>
      <c r="AI201" s="16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</row>
    <row r="202" spans="1:56" ht="9.75" customHeight="1" x14ac:dyDescent="0.3">
      <c r="A202" s="34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6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6"/>
      <c r="AI202" s="16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</row>
    <row r="203" spans="1:56" ht="9.75" customHeight="1" x14ac:dyDescent="0.3">
      <c r="A203" s="34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6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6"/>
      <c r="AI203" s="16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</row>
    <row r="204" spans="1:56" ht="9.75" customHeight="1" x14ac:dyDescent="0.3">
      <c r="A204" s="34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6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6"/>
      <c r="AI204" s="16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</row>
    <row r="205" spans="1:56" ht="9.75" customHeight="1" x14ac:dyDescent="0.3">
      <c r="A205" s="34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6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6"/>
      <c r="AI205" s="16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</row>
    <row r="206" spans="1:56" ht="9.75" customHeight="1" x14ac:dyDescent="0.3">
      <c r="A206" s="34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6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6"/>
      <c r="AI206" s="16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</row>
    <row r="207" spans="1:56" ht="9.75" customHeight="1" x14ac:dyDescent="0.3">
      <c r="A207" s="34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6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6"/>
      <c r="AI207" s="16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</row>
    <row r="208" spans="1:56" ht="9.75" customHeight="1" x14ac:dyDescent="0.3">
      <c r="A208" s="34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6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6"/>
      <c r="AI208" s="16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</row>
    <row r="209" spans="1:56" ht="9.75" customHeight="1" x14ac:dyDescent="0.3">
      <c r="A209" s="34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6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6"/>
      <c r="AI209" s="16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</row>
    <row r="210" spans="1:56" ht="9.75" customHeight="1" x14ac:dyDescent="0.3">
      <c r="A210" s="34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6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6"/>
      <c r="AI210" s="16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</row>
    <row r="211" spans="1:56" ht="9.75" customHeight="1" x14ac:dyDescent="0.3">
      <c r="A211" s="34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6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6"/>
      <c r="AI211" s="16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</row>
    <row r="212" spans="1:56" ht="9.75" customHeight="1" x14ac:dyDescent="0.3">
      <c r="A212" s="34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6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6"/>
      <c r="AI212" s="16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</row>
    <row r="213" spans="1:56" ht="9.75" customHeight="1" x14ac:dyDescent="0.3">
      <c r="A213" s="34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6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6"/>
      <c r="AI213" s="16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</row>
    <row r="214" spans="1:56" ht="9.75" customHeight="1" x14ac:dyDescent="0.3">
      <c r="A214" s="34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6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6"/>
      <c r="AI214" s="16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</row>
    <row r="215" spans="1:56" ht="9.75" customHeight="1" x14ac:dyDescent="0.3">
      <c r="A215" s="34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6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6"/>
      <c r="AI215" s="16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</row>
    <row r="216" spans="1:56" ht="9.75" customHeight="1" x14ac:dyDescent="0.3">
      <c r="A216" s="34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6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6"/>
      <c r="AI216" s="16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</row>
    <row r="217" spans="1:56" ht="9.75" customHeight="1" x14ac:dyDescent="0.3">
      <c r="A217" s="34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6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6"/>
      <c r="AI217" s="16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</row>
    <row r="218" spans="1:56" ht="9.75" customHeight="1" x14ac:dyDescent="0.3">
      <c r="A218" s="34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6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6"/>
      <c r="AI218" s="16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</row>
    <row r="219" spans="1:56" ht="9.75" customHeight="1" x14ac:dyDescent="0.3">
      <c r="A219" s="34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6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6"/>
      <c r="AI219" s="16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</row>
    <row r="220" spans="1:56" ht="9.75" customHeight="1" x14ac:dyDescent="0.3">
      <c r="A220" s="34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6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6"/>
      <c r="AI220" s="16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</row>
    <row r="221" spans="1:56" ht="9.75" customHeight="1" x14ac:dyDescent="0.3">
      <c r="A221" s="34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6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6"/>
      <c r="AI221" s="16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</row>
    <row r="222" spans="1:56" ht="9.75" customHeight="1" x14ac:dyDescent="0.3">
      <c r="A222" s="34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6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6"/>
      <c r="AI222" s="16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</row>
    <row r="223" spans="1:56" ht="9.75" customHeight="1" x14ac:dyDescent="0.3">
      <c r="A223" s="34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6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6"/>
      <c r="AI223" s="16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</row>
    <row r="224" spans="1:56" ht="9.75" customHeight="1" x14ac:dyDescent="0.3">
      <c r="A224" s="34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6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6"/>
      <c r="AI224" s="16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</row>
    <row r="225" spans="1:56" ht="9.75" customHeight="1" x14ac:dyDescent="0.3">
      <c r="A225" s="34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6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6"/>
      <c r="AI225" s="16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</row>
    <row r="226" spans="1:56" ht="9.75" customHeight="1" x14ac:dyDescent="0.3">
      <c r="A226" s="34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6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6"/>
      <c r="AI226" s="16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</row>
    <row r="227" spans="1:56" ht="9.75" customHeight="1" x14ac:dyDescent="0.3">
      <c r="A227" s="34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6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6"/>
      <c r="AI227" s="16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</row>
    <row r="228" spans="1:56" ht="9.75" customHeight="1" x14ac:dyDescent="0.3">
      <c r="A228" s="34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6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6"/>
      <c r="AI228" s="16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</row>
    <row r="229" spans="1:56" ht="9.75" customHeight="1" x14ac:dyDescent="0.3">
      <c r="A229" s="34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6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6"/>
      <c r="AI229" s="16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</row>
    <row r="230" spans="1:56" ht="9.75" customHeight="1" x14ac:dyDescent="0.3">
      <c r="A230" s="34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6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6"/>
      <c r="AI230" s="16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</row>
    <row r="231" spans="1:56" ht="9.75" customHeight="1" x14ac:dyDescent="0.3">
      <c r="A231" s="34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6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6"/>
      <c r="AI231" s="16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</row>
    <row r="232" spans="1:56" ht="9.75" customHeight="1" x14ac:dyDescent="0.3">
      <c r="A232" s="34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6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6"/>
      <c r="AI232" s="16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</row>
    <row r="233" spans="1:56" ht="9.75" customHeight="1" x14ac:dyDescent="0.3">
      <c r="A233" s="34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6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6"/>
      <c r="AI233" s="16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</row>
    <row r="234" spans="1:56" ht="9.75" customHeight="1" x14ac:dyDescent="0.3">
      <c r="A234" s="34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6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6"/>
      <c r="AI234" s="16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</row>
    <row r="235" spans="1:56" ht="9.75" customHeight="1" x14ac:dyDescent="0.3">
      <c r="A235" s="34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6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6"/>
      <c r="AI235" s="16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</row>
    <row r="236" spans="1:56" ht="9.75" customHeight="1" x14ac:dyDescent="0.3">
      <c r="A236" s="34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6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6"/>
      <c r="AI236" s="16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</row>
    <row r="237" spans="1:56" ht="9.75" customHeight="1" x14ac:dyDescent="0.3">
      <c r="A237" s="34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6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6"/>
      <c r="AI237" s="16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</row>
    <row r="238" spans="1:56" ht="9.75" customHeight="1" x14ac:dyDescent="0.3">
      <c r="A238" s="34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6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6"/>
      <c r="AI238" s="16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</row>
    <row r="239" spans="1:56" ht="9.75" customHeight="1" x14ac:dyDescent="0.3">
      <c r="A239" s="34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6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6"/>
      <c r="AI239" s="16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</row>
    <row r="240" spans="1:56" ht="9.75" customHeight="1" x14ac:dyDescent="0.3">
      <c r="A240" s="34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6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6"/>
      <c r="AI240" s="16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</row>
    <row r="241" spans="1:56" ht="9.75" customHeight="1" x14ac:dyDescent="0.3">
      <c r="A241" s="34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6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6"/>
      <c r="AI241" s="16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</row>
    <row r="242" spans="1:56" ht="9.75" customHeight="1" x14ac:dyDescent="0.3">
      <c r="A242" s="34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6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6"/>
      <c r="AI242" s="16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</row>
    <row r="243" spans="1:56" ht="9.75" customHeight="1" x14ac:dyDescent="0.3">
      <c r="A243" s="34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6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6"/>
      <c r="AI243" s="16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</row>
    <row r="244" spans="1:56" ht="9.75" customHeight="1" x14ac:dyDescent="0.3">
      <c r="A244" s="34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6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6"/>
      <c r="AI244" s="16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</row>
    <row r="245" spans="1:56" ht="9.75" customHeight="1" x14ac:dyDescent="0.3">
      <c r="A245" s="34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6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6"/>
      <c r="AI245" s="16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</row>
    <row r="246" spans="1:56" ht="9.75" customHeight="1" x14ac:dyDescent="0.3">
      <c r="A246" s="34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6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6"/>
      <c r="AI246" s="16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</row>
    <row r="247" spans="1:56" ht="9.75" customHeight="1" x14ac:dyDescent="0.3">
      <c r="A247" s="34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6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6"/>
      <c r="AI247" s="16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</row>
    <row r="248" spans="1:56" ht="9.75" customHeight="1" x14ac:dyDescent="0.3">
      <c r="A248" s="34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6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6"/>
      <c r="AI248" s="16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</row>
    <row r="249" spans="1:56" ht="9.75" customHeight="1" x14ac:dyDescent="0.3">
      <c r="A249" s="34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6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6"/>
      <c r="AI249" s="16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</row>
    <row r="250" spans="1:56" ht="9.75" customHeight="1" x14ac:dyDescent="0.3">
      <c r="A250" s="34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6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6"/>
      <c r="AI250" s="16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</row>
    <row r="251" spans="1:56" ht="9.75" customHeight="1" x14ac:dyDescent="0.3">
      <c r="A251" s="34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6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6"/>
      <c r="AI251" s="16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</row>
    <row r="252" spans="1:56" ht="9.75" customHeight="1" x14ac:dyDescent="0.3">
      <c r="A252" s="34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6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6"/>
      <c r="AI252" s="16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</row>
    <row r="253" spans="1:56" ht="9.75" customHeight="1" x14ac:dyDescent="0.3">
      <c r="A253" s="34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6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6"/>
      <c r="AI253" s="16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</row>
    <row r="254" spans="1:56" ht="9.75" customHeight="1" x14ac:dyDescent="0.3">
      <c r="A254" s="34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6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6"/>
      <c r="AI254" s="16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</row>
    <row r="255" spans="1:56" ht="9.75" customHeight="1" x14ac:dyDescent="0.3">
      <c r="A255" s="34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6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6"/>
      <c r="AI255" s="16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</row>
    <row r="256" spans="1:56" ht="9.75" customHeight="1" x14ac:dyDescent="0.3">
      <c r="A256" s="34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6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6"/>
      <c r="AI256" s="16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</row>
    <row r="257" spans="1:56" ht="9.75" customHeight="1" x14ac:dyDescent="0.3">
      <c r="A257" s="34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6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6"/>
      <c r="AI257" s="16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</row>
    <row r="258" spans="1:56" ht="9.75" customHeight="1" x14ac:dyDescent="0.3">
      <c r="A258" s="34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6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6"/>
      <c r="AI258" s="16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</row>
    <row r="259" spans="1:56" ht="9.75" customHeight="1" x14ac:dyDescent="0.3">
      <c r="A259" s="34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6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6"/>
      <c r="AI259" s="16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</row>
    <row r="260" spans="1:56" ht="9.75" customHeight="1" x14ac:dyDescent="0.3">
      <c r="A260" s="34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6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6"/>
      <c r="AI260" s="16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</row>
    <row r="261" spans="1:56" ht="9.75" customHeight="1" x14ac:dyDescent="0.3">
      <c r="A261" s="34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6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6"/>
      <c r="AI261" s="16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</row>
    <row r="262" spans="1:56" ht="9.75" customHeight="1" x14ac:dyDescent="0.3">
      <c r="A262" s="34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6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6"/>
      <c r="AI262" s="16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</row>
    <row r="263" spans="1:56" ht="9.75" customHeight="1" x14ac:dyDescent="0.3">
      <c r="A263" s="34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6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6"/>
      <c r="AI263" s="16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</row>
    <row r="264" spans="1:56" ht="9.75" customHeight="1" x14ac:dyDescent="0.3">
      <c r="A264" s="34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6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6"/>
      <c r="AI264" s="16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</row>
    <row r="265" spans="1:56" ht="9.75" customHeight="1" x14ac:dyDescent="0.3">
      <c r="A265" s="34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6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6"/>
      <c r="AI265" s="16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</row>
    <row r="266" spans="1:56" ht="9.75" customHeight="1" x14ac:dyDescent="0.3">
      <c r="A266" s="34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6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6"/>
      <c r="AI266" s="16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</row>
    <row r="267" spans="1:56" ht="9.75" customHeight="1" x14ac:dyDescent="0.3">
      <c r="A267" s="34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6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6"/>
      <c r="AI267" s="16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</row>
    <row r="268" spans="1:56" ht="9.75" customHeight="1" x14ac:dyDescent="0.3">
      <c r="A268" s="34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6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6"/>
      <c r="AI268" s="16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</row>
    <row r="269" spans="1:56" ht="9.75" customHeight="1" x14ac:dyDescent="0.3">
      <c r="A269" s="34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6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6"/>
      <c r="AI269" s="16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</row>
    <row r="270" spans="1:56" ht="9.75" customHeight="1" x14ac:dyDescent="0.3">
      <c r="A270" s="34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6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6"/>
      <c r="AI270" s="16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</row>
    <row r="271" spans="1:56" ht="9.75" customHeight="1" x14ac:dyDescent="0.3">
      <c r="A271" s="34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6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6"/>
      <c r="AI271" s="16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</row>
    <row r="272" spans="1:56" ht="9.75" customHeight="1" x14ac:dyDescent="0.3">
      <c r="A272" s="34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6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6"/>
      <c r="AI272" s="16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</row>
    <row r="273" spans="1:56" ht="9.75" customHeight="1" x14ac:dyDescent="0.3">
      <c r="A273" s="34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6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6"/>
      <c r="AI273" s="16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</row>
    <row r="274" spans="1:56" ht="9.75" customHeight="1" x14ac:dyDescent="0.3">
      <c r="A274" s="34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6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6"/>
      <c r="AI274" s="16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</row>
    <row r="275" spans="1:56" ht="9.75" customHeight="1" x14ac:dyDescent="0.3">
      <c r="A275" s="34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6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6"/>
      <c r="AI275" s="16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</row>
    <row r="276" spans="1:56" ht="9.75" customHeight="1" x14ac:dyDescent="0.3">
      <c r="A276" s="34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6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6"/>
      <c r="AI276" s="16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</row>
    <row r="277" spans="1:56" ht="9.75" customHeight="1" x14ac:dyDescent="0.3">
      <c r="A277" s="34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6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6"/>
      <c r="AI277" s="16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</row>
    <row r="278" spans="1:56" ht="9.75" customHeight="1" x14ac:dyDescent="0.3">
      <c r="A278" s="34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6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6"/>
      <c r="AI278" s="16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</row>
    <row r="279" spans="1:56" ht="9.75" customHeight="1" x14ac:dyDescent="0.3">
      <c r="A279" s="34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6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6"/>
      <c r="AI279" s="16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</row>
    <row r="280" spans="1:56" ht="9.75" customHeight="1" x14ac:dyDescent="0.3">
      <c r="A280" s="34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6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6"/>
      <c r="AI280" s="16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</row>
    <row r="281" spans="1:56" ht="9.75" customHeight="1" x14ac:dyDescent="0.3">
      <c r="A281" s="34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6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6"/>
      <c r="AI281" s="16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</row>
    <row r="282" spans="1:56" ht="9.75" customHeight="1" x14ac:dyDescent="0.3">
      <c r="A282" s="34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6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6"/>
      <c r="AI282" s="16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</row>
    <row r="283" spans="1:56" ht="9.75" customHeight="1" x14ac:dyDescent="0.3">
      <c r="A283" s="34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6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6"/>
      <c r="AI283" s="16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</row>
    <row r="284" spans="1:56" ht="9.75" customHeight="1" x14ac:dyDescent="0.3">
      <c r="A284" s="34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6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6"/>
      <c r="AI284" s="16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</row>
    <row r="285" spans="1:56" ht="9.75" customHeight="1" x14ac:dyDescent="0.3">
      <c r="A285" s="34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6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6"/>
      <c r="AI285" s="16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</row>
    <row r="286" spans="1:56" ht="9.75" customHeight="1" x14ac:dyDescent="0.3">
      <c r="A286" s="34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6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6"/>
      <c r="AI286" s="16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</row>
    <row r="287" spans="1:56" ht="9.75" customHeight="1" x14ac:dyDescent="0.3">
      <c r="A287" s="34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6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6"/>
      <c r="AI287" s="16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</row>
    <row r="288" spans="1:56" ht="9.75" customHeight="1" x14ac:dyDescent="0.3">
      <c r="A288" s="34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6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6"/>
      <c r="AI288" s="16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</row>
    <row r="289" spans="1:56" ht="9.75" customHeight="1" x14ac:dyDescent="0.3">
      <c r="A289" s="34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6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6"/>
      <c r="AI289" s="16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</row>
    <row r="290" spans="1:56" ht="9.75" customHeight="1" x14ac:dyDescent="0.3">
      <c r="A290" s="34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6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6"/>
      <c r="AI290" s="16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</row>
    <row r="291" spans="1:56" ht="9.75" customHeight="1" x14ac:dyDescent="0.3">
      <c r="A291" s="34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6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6"/>
      <c r="AI291" s="16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</row>
    <row r="292" spans="1:56" ht="9.75" customHeight="1" x14ac:dyDescent="0.3">
      <c r="A292" s="34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6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6"/>
      <c r="AI292" s="16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</row>
    <row r="293" spans="1:56" ht="9.75" customHeight="1" x14ac:dyDescent="0.3">
      <c r="A293" s="34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6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6"/>
      <c r="AI293" s="16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</row>
    <row r="294" spans="1:56" ht="9.75" customHeight="1" x14ac:dyDescent="0.3">
      <c r="A294" s="34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6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6"/>
      <c r="AI294" s="16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</row>
    <row r="295" spans="1:56" ht="9.75" customHeight="1" x14ac:dyDescent="0.3">
      <c r="A295" s="34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6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6"/>
      <c r="AI295" s="16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</row>
    <row r="296" spans="1:56" ht="9.75" customHeight="1" x14ac:dyDescent="0.3">
      <c r="A296" s="34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6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6"/>
      <c r="AI296" s="16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</row>
    <row r="297" spans="1:56" ht="9.75" customHeight="1" x14ac:dyDescent="0.3">
      <c r="A297" s="34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6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6"/>
      <c r="AI297" s="16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</row>
    <row r="298" spans="1:56" ht="9.75" customHeight="1" x14ac:dyDescent="0.3">
      <c r="A298" s="34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6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6"/>
      <c r="AI298" s="16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</row>
    <row r="299" spans="1:56" ht="9.75" customHeight="1" x14ac:dyDescent="0.3">
      <c r="A299" s="34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6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6"/>
      <c r="AI299" s="16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</row>
    <row r="300" spans="1:56" ht="9.75" customHeight="1" x14ac:dyDescent="0.3">
      <c r="A300" s="34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6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6"/>
      <c r="AI300" s="16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</row>
    <row r="301" spans="1:56" ht="9.75" customHeight="1" x14ac:dyDescent="0.3">
      <c r="A301" s="34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6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6"/>
      <c r="AI301" s="16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</row>
    <row r="302" spans="1:56" ht="9.75" customHeight="1" x14ac:dyDescent="0.3">
      <c r="A302" s="34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6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6"/>
      <c r="AI302" s="16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</row>
    <row r="303" spans="1:56" ht="9.75" customHeight="1" x14ac:dyDescent="0.3">
      <c r="A303" s="34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6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6"/>
      <c r="AI303" s="16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</row>
    <row r="304" spans="1:56" ht="9.75" customHeight="1" x14ac:dyDescent="0.3">
      <c r="A304" s="34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6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6"/>
      <c r="AI304" s="16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</row>
    <row r="305" spans="1:56" ht="9.75" customHeight="1" x14ac:dyDescent="0.3">
      <c r="A305" s="34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6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6"/>
      <c r="AI305" s="16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</row>
    <row r="306" spans="1:56" ht="9.75" customHeight="1" x14ac:dyDescent="0.3">
      <c r="A306" s="34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6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6"/>
      <c r="AI306" s="16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</row>
    <row r="307" spans="1:56" ht="9.75" customHeight="1" x14ac:dyDescent="0.3">
      <c r="A307" s="34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6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6"/>
      <c r="AI307" s="16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</row>
    <row r="308" spans="1:56" ht="9.75" customHeight="1" x14ac:dyDescent="0.3">
      <c r="A308" s="34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6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6"/>
      <c r="AI308" s="16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</row>
    <row r="309" spans="1:56" ht="9.75" customHeight="1" x14ac:dyDescent="0.3">
      <c r="A309" s="34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6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6"/>
      <c r="AI309" s="16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</row>
    <row r="310" spans="1:56" ht="9.75" customHeight="1" x14ac:dyDescent="0.3">
      <c r="A310" s="34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6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6"/>
      <c r="AI310" s="16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</row>
    <row r="311" spans="1:56" ht="9.75" customHeight="1" x14ac:dyDescent="0.3">
      <c r="A311" s="34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6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6"/>
      <c r="AI311" s="16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</row>
    <row r="312" spans="1:56" ht="9.75" customHeight="1" x14ac:dyDescent="0.3">
      <c r="A312" s="34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6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6"/>
      <c r="AI312" s="16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</row>
    <row r="313" spans="1:56" ht="9.75" customHeight="1" x14ac:dyDescent="0.3">
      <c r="A313" s="34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6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6"/>
      <c r="AI313" s="16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</row>
    <row r="314" spans="1:56" ht="9.75" customHeight="1" x14ac:dyDescent="0.3">
      <c r="A314" s="34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6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6"/>
      <c r="AI314" s="16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</row>
    <row r="315" spans="1:56" ht="9.75" customHeight="1" x14ac:dyDescent="0.3">
      <c r="A315" s="34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6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6"/>
      <c r="AI315" s="16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</row>
    <row r="316" spans="1:56" ht="9.75" customHeight="1" x14ac:dyDescent="0.3">
      <c r="A316" s="34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6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6"/>
      <c r="AI316" s="16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</row>
    <row r="317" spans="1:56" ht="9.75" customHeight="1" x14ac:dyDescent="0.3">
      <c r="A317" s="34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6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6"/>
      <c r="AI317" s="16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</row>
    <row r="318" spans="1:56" ht="9.75" customHeight="1" x14ac:dyDescent="0.3">
      <c r="A318" s="34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6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6"/>
      <c r="AI318" s="16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</row>
    <row r="319" spans="1:56" ht="9.75" customHeight="1" x14ac:dyDescent="0.3">
      <c r="A319" s="34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6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6"/>
      <c r="AI319" s="16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</row>
    <row r="320" spans="1:56" ht="9.75" customHeight="1" x14ac:dyDescent="0.3">
      <c r="A320" s="34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6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6"/>
      <c r="AI320" s="16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</row>
    <row r="321" spans="1:56" ht="9.75" customHeight="1" x14ac:dyDescent="0.3">
      <c r="A321" s="34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6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6"/>
      <c r="AI321" s="16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</row>
    <row r="322" spans="1:56" ht="9.75" customHeight="1" x14ac:dyDescent="0.3">
      <c r="A322" s="34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6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6"/>
      <c r="AI322" s="16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</row>
    <row r="323" spans="1:56" ht="9.75" customHeight="1" x14ac:dyDescent="0.3">
      <c r="A323" s="34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6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6"/>
      <c r="AI323" s="16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</row>
    <row r="324" spans="1:56" ht="9.75" customHeight="1" x14ac:dyDescent="0.3">
      <c r="A324" s="34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6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6"/>
      <c r="AI324" s="16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</row>
    <row r="325" spans="1:56" ht="9.75" customHeight="1" x14ac:dyDescent="0.3">
      <c r="A325" s="34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6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6"/>
      <c r="AI325" s="16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</row>
    <row r="326" spans="1:56" ht="9.75" customHeight="1" x14ac:dyDescent="0.3">
      <c r="A326" s="34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6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6"/>
      <c r="AI326" s="16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</row>
    <row r="327" spans="1:56" ht="9.75" customHeight="1" x14ac:dyDescent="0.3">
      <c r="A327" s="34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6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6"/>
      <c r="AI327" s="16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</row>
    <row r="328" spans="1:56" ht="9.75" customHeight="1" x14ac:dyDescent="0.3">
      <c r="A328" s="34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6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6"/>
      <c r="AI328" s="16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</row>
    <row r="329" spans="1:56" ht="9.75" customHeight="1" x14ac:dyDescent="0.3">
      <c r="A329" s="34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6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6"/>
      <c r="AI329" s="16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</row>
    <row r="330" spans="1:56" ht="9.75" customHeight="1" x14ac:dyDescent="0.3">
      <c r="A330" s="34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6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6"/>
      <c r="AI330" s="16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</row>
    <row r="331" spans="1:56" ht="9.75" customHeight="1" x14ac:dyDescent="0.3">
      <c r="A331" s="34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6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6"/>
      <c r="AI331" s="16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</row>
    <row r="332" spans="1:56" ht="9.75" customHeight="1" x14ac:dyDescent="0.3">
      <c r="A332" s="34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6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6"/>
      <c r="AI332" s="16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</row>
    <row r="333" spans="1:56" ht="9.75" customHeight="1" x14ac:dyDescent="0.3">
      <c r="A333" s="34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6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6"/>
      <c r="AI333" s="16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</row>
    <row r="334" spans="1:56" ht="9.75" customHeight="1" x14ac:dyDescent="0.3">
      <c r="A334" s="34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6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6"/>
      <c r="AI334" s="16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</row>
    <row r="335" spans="1:56" ht="9.75" customHeight="1" x14ac:dyDescent="0.3">
      <c r="A335" s="34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6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6"/>
      <c r="AI335" s="16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</row>
    <row r="336" spans="1:56" ht="9.75" customHeight="1" x14ac:dyDescent="0.3">
      <c r="A336" s="34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6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6"/>
      <c r="AI336" s="16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</row>
    <row r="337" spans="1:56" ht="9.75" customHeight="1" x14ac:dyDescent="0.3">
      <c r="A337" s="34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6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6"/>
      <c r="AI337" s="16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</row>
    <row r="338" spans="1:56" ht="9.75" customHeight="1" x14ac:dyDescent="0.3">
      <c r="A338" s="34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6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6"/>
      <c r="AI338" s="16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</row>
    <row r="339" spans="1:56" ht="9.75" customHeight="1" x14ac:dyDescent="0.3">
      <c r="A339" s="34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6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6"/>
      <c r="AI339" s="16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</row>
    <row r="340" spans="1:56" ht="9.75" customHeight="1" x14ac:dyDescent="0.3">
      <c r="A340" s="34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6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6"/>
      <c r="AI340" s="16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</row>
    <row r="341" spans="1:56" ht="9.75" customHeight="1" x14ac:dyDescent="0.3">
      <c r="A341" s="34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6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6"/>
      <c r="AI341" s="16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</row>
    <row r="342" spans="1:56" ht="9.75" customHeight="1" x14ac:dyDescent="0.3">
      <c r="A342" s="34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6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6"/>
      <c r="AI342" s="16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</row>
    <row r="343" spans="1:56" ht="9.75" customHeight="1" x14ac:dyDescent="0.3">
      <c r="A343" s="34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6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6"/>
      <c r="AI343" s="16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</row>
    <row r="344" spans="1:56" ht="9.75" customHeight="1" x14ac:dyDescent="0.3">
      <c r="A344" s="34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6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6"/>
      <c r="AI344" s="16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</row>
    <row r="345" spans="1:56" ht="9.75" customHeight="1" x14ac:dyDescent="0.3">
      <c r="A345" s="34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6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6"/>
      <c r="AI345" s="16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</row>
    <row r="346" spans="1:56" ht="9.75" customHeight="1" x14ac:dyDescent="0.3">
      <c r="A346" s="34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6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6"/>
      <c r="AI346" s="16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</row>
    <row r="347" spans="1:56" ht="9.75" customHeight="1" x14ac:dyDescent="0.3">
      <c r="A347" s="34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6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6"/>
      <c r="AI347" s="16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</row>
    <row r="348" spans="1:56" ht="9.75" customHeight="1" x14ac:dyDescent="0.3">
      <c r="A348" s="34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6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6"/>
      <c r="AI348" s="16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</row>
    <row r="349" spans="1:56" ht="9.75" customHeight="1" x14ac:dyDescent="0.3">
      <c r="A349" s="34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6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6"/>
      <c r="AI349" s="16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</row>
    <row r="350" spans="1:56" ht="9.75" customHeight="1" x14ac:dyDescent="0.3">
      <c r="A350" s="34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6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6"/>
      <c r="AI350" s="16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</row>
    <row r="351" spans="1:56" ht="9.75" customHeight="1" x14ac:dyDescent="0.3">
      <c r="A351" s="34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6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6"/>
      <c r="AI351" s="16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</row>
    <row r="352" spans="1:56" ht="9.75" customHeight="1" x14ac:dyDescent="0.3">
      <c r="A352" s="34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6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6"/>
      <c r="AI352" s="16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</row>
    <row r="353" spans="1:56" ht="9.75" customHeight="1" x14ac:dyDescent="0.3">
      <c r="A353" s="34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6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6"/>
      <c r="AI353" s="16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</row>
    <row r="354" spans="1:56" ht="9.75" customHeight="1" x14ac:dyDescent="0.3">
      <c r="A354" s="34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6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6"/>
      <c r="AI354" s="16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</row>
    <row r="355" spans="1:56" ht="9.75" customHeight="1" x14ac:dyDescent="0.3">
      <c r="A355" s="34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6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6"/>
      <c r="AI355" s="16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</row>
    <row r="356" spans="1:56" ht="9.75" customHeight="1" x14ac:dyDescent="0.3">
      <c r="A356" s="34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6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6"/>
      <c r="AI356" s="16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</row>
    <row r="357" spans="1:56" ht="9.75" customHeight="1" x14ac:dyDescent="0.3">
      <c r="A357" s="34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6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6"/>
      <c r="AI357" s="16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</row>
    <row r="358" spans="1:56" ht="9.75" customHeight="1" x14ac:dyDescent="0.3">
      <c r="A358" s="34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6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6"/>
      <c r="AI358" s="16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</row>
    <row r="359" spans="1:56" ht="9.75" customHeight="1" x14ac:dyDescent="0.3">
      <c r="A359" s="34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6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6"/>
      <c r="AI359" s="16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</row>
    <row r="360" spans="1:56" ht="9.75" customHeight="1" x14ac:dyDescent="0.3">
      <c r="A360" s="34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6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6"/>
      <c r="AI360" s="16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</row>
    <row r="361" spans="1:56" ht="9.75" customHeight="1" x14ac:dyDescent="0.3">
      <c r="A361" s="34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6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6"/>
      <c r="AI361" s="16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</row>
    <row r="362" spans="1:56" ht="9.75" customHeight="1" x14ac:dyDescent="0.3">
      <c r="A362" s="34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6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6"/>
      <c r="AI362" s="16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</row>
    <row r="363" spans="1:56" ht="9.75" customHeight="1" x14ac:dyDescent="0.3">
      <c r="A363" s="34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6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6"/>
      <c r="AI363" s="16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</row>
    <row r="364" spans="1:56" ht="9.75" customHeight="1" x14ac:dyDescent="0.3">
      <c r="A364" s="34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6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6"/>
      <c r="AI364" s="16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</row>
    <row r="365" spans="1:56" ht="9.75" customHeight="1" x14ac:dyDescent="0.3">
      <c r="A365" s="34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6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6"/>
      <c r="AI365" s="16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</row>
    <row r="366" spans="1:56" ht="9.75" customHeight="1" x14ac:dyDescent="0.3">
      <c r="A366" s="34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6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6"/>
      <c r="AI366" s="16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</row>
    <row r="367" spans="1:56" ht="9.75" customHeight="1" x14ac:dyDescent="0.3">
      <c r="A367" s="34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6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6"/>
      <c r="AI367" s="16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</row>
    <row r="368" spans="1:56" ht="9.75" customHeight="1" x14ac:dyDescent="0.3">
      <c r="A368" s="34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6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6"/>
      <c r="AI368" s="16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</row>
    <row r="369" spans="1:56" ht="9.75" customHeight="1" x14ac:dyDescent="0.3">
      <c r="A369" s="34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6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6"/>
      <c r="AI369" s="16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</row>
    <row r="370" spans="1:56" ht="9.75" customHeight="1" x14ac:dyDescent="0.3">
      <c r="A370" s="34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6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6"/>
      <c r="AI370" s="16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</row>
    <row r="371" spans="1:56" ht="9.75" customHeight="1" x14ac:dyDescent="0.3">
      <c r="A371" s="34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6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6"/>
      <c r="AI371" s="16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</row>
    <row r="372" spans="1:56" ht="9.75" customHeight="1" x14ac:dyDescent="0.3">
      <c r="A372" s="34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6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6"/>
      <c r="AI372" s="16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</row>
    <row r="373" spans="1:56" ht="9.75" customHeight="1" x14ac:dyDescent="0.3">
      <c r="A373" s="34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6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6"/>
      <c r="AI373" s="16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</row>
    <row r="374" spans="1:56" ht="9.75" customHeight="1" x14ac:dyDescent="0.3">
      <c r="A374" s="34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6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6"/>
      <c r="AI374" s="16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</row>
    <row r="375" spans="1:56" ht="9.75" customHeight="1" x14ac:dyDescent="0.3">
      <c r="A375" s="34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6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6"/>
      <c r="AI375" s="16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</row>
    <row r="376" spans="1:56" ht="9.75" customHeight="1" x14ac:dyDescent="0.3">
      <c r="A376" s="34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6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6"/>
      <c r="AI376" s="16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</row>
    <row r="377" spans="1:56" ht="9.75" customHeight="1" x14ac:dyDescent="0.3">
      <c r="A377" s="34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6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6"/>
      <c r="AI377" s="16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</row>
    <row r="378" spans="1:56" ht="9.75" customHeight="1" x14ac:dyDescent="0.3">
      <c r="A378" s="34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6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6"/>
      <c r="AI378" s="16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</row>
    <row r="379" spans="1:56" ht="9.75" customHeight="1" x14ac:dyDescent="0.3">
      <c r="A379" s="34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6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6"/>
      <c r="AI379" s="16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</row>
    <row r="380" spans="1:56" ht="9.75" customHeight="1" x14ac:dyDescent="0.3">
      <c r="A380" s="34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6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6"/>
      <c r="AI380" s="16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</row>
    <row r="381" spans="1:56" ht="9.75" customHeight="1" x14ac:dyDescent="0.3">
      <c r="A381" s="34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6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6"/>
      <c r="AI381" s="16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</row>
    <row r="382" spans="1:56" ht="9.75" customHeight="1" x14ac:dyDescent="0.3">
      <c r="A382" s="34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6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6"/>
      <c r="AI382" s="16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</row>
    <row r="383" spans="1:56" ht="9.75" customHeight="1" x14ac:dyDescent="0.3">
      <c r="A383" s="34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6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6"/>
      <c r="AI383" s="16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</row>
    <row r="384" spans="1:56" ht="9.75" customHeight="1" x14ac:dyDescent="0.3">
      <c r="A384" s="34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6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6"/>
      <c r="AI384" s="16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</row>
    <row r="385" spans="1:56" ht="9.75" customHeight="1" x14ac:dyDescent="0.3">
      <c r="A385" s="34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6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6"/>
      <c r="AI385" s="16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</row>
    <row r="386" spans="1:56" ht="9.75" customHeight="1" x14ac:dyDescent="0.3">
      <c r="A386" s="34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6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6"/>
      <c r="AI386" s="16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</row>
    <row r="387" spans="1:56" ht="9.75" customHeight="1" x14ac:dyDescent="0.3">
      <c r="A387" s="34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6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6"/>
      <c r="AI387" s="16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</row>
    <row r="388" spans="1:56" ht="9.75" customHeight="1" x14ac:dyDescent="0.3">
      <c r="A388" s="34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6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6"/>
      <c r="AI388" s="16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</row>
    <row r="389" spans="1:56" ht="9.75" customHeight="1" x14ac:dyDescent="0.3">
      <c r="A389" s="34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6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6"/>
      <c r="AI389" s="16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</row>
    <row r="390" spans="1:56" ht="9.75" customHeight="1" x14ac:dyDescent="0.3">
      <c r="A390" s="34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6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6"/>
      <c r="AI390" s="16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</row>
    <row r="391" spans="1:56" ht="9.75" customHeight="1" x14ac:dyDescent="0.3">
      <c r="A391" s="34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6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6"/>
      <c r="AI391" s="16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</row>
    <row r="392" spans="1:56" ht="9.75" customHeight="1" x14ac:dyDescent="0.3">
      <c r="A392" s="34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6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6"/>
      <c r="AI392" s="16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</row>
    <row r="393" spans="1:56" ht="9.75" customHeight="1" x14ac:dyDescent="0.3">
      <c r="A393" s="34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6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6"/>
      <c r="AI393" s="16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</row>
    <row r="394" spans="1:56" ht="9.75" customHeight="1" x14ac:dyDescent="0.3">
      <c r="A394" s="34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6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6"/>
      <c r="AI394" s="16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</row>
    <row r="395" spans="1:56" ht="9.75" customHeight="1" x14ac:dyDescent="0.3">
      <c r="A395" s="34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6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6"/>
      <c r="AI395" s="16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</row>
    <row r="396" spans="1:56" ht="9.75" customHeight="1" x14ac:dyDescent="0.3">
      <c r="A396" s="34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6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6"/>
      <c r="AI396" s="16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</row>
    <row r="397" spans="1:56" ht="9.75" customHeight="1" x14ac:dyDescent="0.3">
      <c r="A397" s="34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6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6"/>
      <c r="AI397" s="16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</row>
    <row r="398" spans="1:56" ht="9.75" customHeight="1" x14ac:dyDescent="0.3">
      <c r="A398" s="34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6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6"/>
      <c r="AI398" s="16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</row>
    <row r="399" spans="1:56" ht="9.75" customHeight="1" x14ac:dyDescent="0.3">
      <c r="A399" s="34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6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6"/>
      <c r="AI399" s="16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</row>
    <row r="400" spans="1:56" ht="9.75" customHeight="1" x14ac:dyDescent="0.3">
      <c r="A400" s="34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6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6"/>
      <c r="AI400" s="16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</row>
    <row r="401" spans="1:56" ht="9.75" customHeight="1" x14ac:dyDescent="0.3">
      <c r="A401" s="34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6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6"/>
      <c r="AI401" s="16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</row>
    <row r="402" spans="1:56" ht="9.75" customHeight="1" x14ac:dyDescent="0.3">
      <c r="A402" s="34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6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6"/>
      <c r="AI402" s="16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</row>
    <row r="403" spans="1:56" ht="9.75" customHeight="1" x14ac:dyDescent="0.3">
      <c r="A403" s="34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6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6"/>
      <c r="AI403" s="16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</row>
    <row r="404" spans="1:56" ht="9.75" customHeight="1" x14ac:dyDescent="0.3">
      <c r="A404" s="34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6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6"/>
      <c r="AI404" s="16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</row>
    <row r="405" spans="1:56" ht="9.75" customHeight="1" x14ac:dyDescent="0.3">
      <c r="A405" s="34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6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6"/>
      <c r="AI405" s="16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</row>
    <row r="406" spans="1:56" ht="9.75" customHeight="1" x14ac:dyDescent="0.3">
      <c r="A406" s="34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6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6"/>
      <c r="AI406" s="16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</row>
    <row r="407" spans="1:56" ht="9.75" customHeight="1" x14ac:dyDescent="0.3">
      <c r="A407" s="34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6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6"/>
      <c r="AI407" s="16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</row>
    <row r="408" spans="1:56" ht="9.75" customHeight="1" x14ac:dyDescent="0.3">
      <c r="A408" s="34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6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6"/>
      <c r="AI408" s="16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</row>
    <row r="409" spans="1:56" ht="9.75" customHeight="1" x14ac:dyDescent="0.3">
      <c r="A409" s="34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6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6"/>
      <c r="AI409" s="16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</row>
    <row r="410" spans="1:56" ht="9.75" customHeight="1" x14ac:dyDescent="0.3">
      <c r="A410" s="34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6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6"/>
      <c r="AI410" s="16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</row>
    <row r="411" spans="1:56" ht="9.75" customHeight="1" x14ac:dyDescent="0.3">
      <c r="A411" s="34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6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6"/>
      <c r="AI411" s="16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</row>
    <row r="412" spans="1:56" ht="9.75" customHeight="1" x14ac:dyDescent="0.3">
      <c r="A412" s="34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6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6"/>
      <c r="AI412" s="16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</row>
    <row r="413" spans="1:56" ht="9.75" customHeight="1" x14ac:dyDescent="0.3">
      <c r="A413" s="34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6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6"/>
      <c r="AI413" s="16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</row>
    <row r="414" spans="1:56" ht="9.75" customHeight="1" x14ac:dyDescent="0.3">
      <c r="A414" s="34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6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6"/>
      <c r="AI414" s="16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</row>
    <row r="415" spans="1:56" ht="9.75" customHeight="1" x14ac:dyDescent="0.3">
      <c r="A415" s="34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6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6"/>
      <c r="AI415" s="16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</row>
    <row r="416" spans="1:56" ht="9.75" customHeight="1" x14ac:dyDescent="0.3">
      <c r="A416" s="34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6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6"/>
      <c r="AI416" s="16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</row>
    <row r="417" spans="1:56" ht="9.75" customHeight="1" x14ac:dyDescent="0.3">
      <c r="A417" s="34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6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6"/>
      <c r="AI417" s="16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</row>
    <row r="418" spans="1:56" ht="9.75" customHeight="1" x14ac:dyDescent="0.3">
      <c r="A418" s="34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6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6"/>
      <c r="AI418" s="16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</row>
    <row r="419" spans="1:56" ht="9.75" customHeight="1" x14ac:dyDescent="0.3">
      <c r="A419" s="34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6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6"/>
      <c r="AI419" s="16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</row>
    <row r="420" spans="1:56" ht="9.75" customHeight="1" x14ac:dyDescent="0.3">
      <c r="A420" s="34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6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6"/>
      <c r="AI420" s="16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</row>
    <row r="421" spans="1:56" ht="9.75" customHeight="1" x14ac:dyDescent="0.3">
      <c r="A421" s="34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6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6"/>
      <c r="AI421" s="16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</row>
    <row r="422" spans="1:56" ht="9.75" customHeight="1" x14ac:dyDescent="0.3">
      <c r="A422" s="34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6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6"/>
      <c r="AI422" s="16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</row>
    <row r="423" spans="1:56" ht="9.75" customHeight="1" x14ac:dyDescent="0.3">
      <c r="A423" s="34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6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6"/>
      <c r="AI423" s="16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</row>
    <row r="424" spans="1:56" ht="9.75" customHeight="1" x14ac:dyDescent="0.3">
      <c r="A424" s="34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6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6"/>
      <c r="AI424" s="16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</row>
    <row r="425" spans="1:56" ht="9.75" customHeight="1" x14ac:dyDescent="0.3">
      <c r="A425" s="34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6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6"/>
      <c r="AI425" s="16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</row>
    <row r="426" spans="1:56" ht="9.75" customHeight="1" x14ac:dyDescent="0.3">
      <c r="A426" s="34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6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6"/>
      <c r="AI426" s="16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</row>
    <row r="427" spans="1:56" ht="9.75" customHeight="1" x14ac:dyDescent="0.3">
      <c r="A427" s="34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6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6"/>
      <c r="AI427" s="16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</row>
    <row r="428" spans="1:56" ht="9.75" customHeight="1" x14ac:dyDescent="0.3">
      <c r="A428" s="34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6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6"/>
      <c r="AI428" s="16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</row>
    <row r="429" spans="1:56" ht="9.75" customHeight="1" x14ac:dyDescent="0.3">
      <c r="A429" s="34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6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6"/>
      <c r="AI429" s="16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</row>
    <row r="430" spans="1:56" ht="9.75" customHeight="1" x14ac:dyDescent="0.3">
      <c r="A430" s="34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6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6"/>
      <c r="AI430" s="16"/>
      <c r="AJ430" s="37"/>
      <c r="AK430" s="37"/>
      <c r="AL430" s="37"/>
      <c r="AM430" s="37"/>
      <c r="AN430" s="37"/>
      <c r="AO430" s="37"/>
      <c r="AP430" s="37"/>
      <c r="AQ430" s="37"/>
      <c r="AR430" s="37"/>
      <c r="AS430" s="37"/>
      <c r="AT430" s="37"/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</row>
    <row r="431" spans="1:56" ht="9.75" customHeight="1" x14ac:dyDescent="0.3">
      <c r="A431" s="34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6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6"/>
      <c r="AI431" s="16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</row>
    <row r="432" spans="1:56" ht="9.75" customHeight="1" x14ac:dyDescent="0.3">
      <c r="A432" s="34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6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6"/>
      <c r="AI432" s="16"/>
      <c r="AJ432" s="37"/>
      <c r="AK432" s="37"/>
      <c r="AL432" s="37"/>
      <c r="AM432" s="37"/>
      <c r="AN432" s="37"/>
      <c r="AO432" s="37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</row>
    <row r="433" spans="1:56" ht="9.75" customHeight="1" x14ac:dyDescent="0.3">
      <c r="A433" s="34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6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6"/>
      <c r="AI433" s="16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</row>
    <row r="434" spans="1:56" ht="9.75" customHeight="1" x14ac:dyDescent="0.3">
      <c r="A434" s="34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6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6"/>
      <c r="AI434" s="16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</row>
    <row r="435" spans="1:56" ht="9.75" customHeight="1" x14ac:dyDescent="0.3">
      <c r="A435" s="34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6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6"/>
      <c r="AI435" s="16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</row>
    <row r="436" spans="1:56" ht="9.75" customHeight="1" x14ac:dyDescent="0.3">
      <c r="A436" s="34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6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6"/>
      <c r="AI436" s="16"/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</row>
    <row r="437" spans="1:56" ht="9.75" customHeight="1" x14ac:dyDescent="0.3">
      <c r="A437" s="34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6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6"/>
      <c r="AI437" s="16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</row>
    <row r="438" spans="1:56" ht="9.75" customHeight="1" x14ac:dyDescent="0.3">
      <c r="A438" s="34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6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6"/>
      <c r="AI438" s="16"/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</row>
    <row r="439" spans="1:56" ht="9.75" customHeight="1" x14ac:dyDescent="0.3">
      <c r="A439" s="34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6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6"/>
      <c r="AI439" s="16"/>
      <c r="AJ439" s="37"/>
      <c r="AK439" s="37"/>
      <c r="AL439" s="37"/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</row>
    <row r="440" spans="1:56" ht="9.75" customHeight="1" x14ac:dyDescent="0.3">
      <c r="A440" s="34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6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6"/>
      <c r="AI440" s="16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</row>
    <row r="441" spans="1:56" ht="9.75" customHeight="1" x14ac:dyDescent="0.3">
      <c r="A441" s="34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6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6"/>
      <c r="AI441" s="16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</row>
    <row r="442" spans="1:56" ht="9.75" customHeight="1" x14ac:dyDescent="0.3">
      <c r="A442" s="34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6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6"/>
      <c r="AI442" s="16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</row>
    <row r="443" spans="1:56" ht="9.75" customHeight="1" x14ac:dyDescent="0.3">
      <c r="A443" s="34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6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6"/>
      <c r="AI443" s="16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</row>
    <row r="444" spans="1:56" ht="9.75" customHeight="1" x14ac:dyDescent="0.3">
      <c r="A444" s="34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6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6"/>
      <c r="AI444" s="16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</row>
    <row r="445" spans="1:56" ht="9.75" customHeight="1" x14ac:dyDescent="0.3">
      <c r="A445" s="34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6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6"/>
      <c r="AI445" s="16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</row>
    <row r="446" spans="1:56" ht="9.75" customHeight="1" x14ac:dyDescent="0.3">
      <c r="A446" s="34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6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6"/>
      <c r="AI446" s="16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</row>
    <row r="447" spans="1:56" ht="9.75" customHeight="1" x14ac:dyDescent="0.3">
      <c r="A447" s="34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6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6"/>
      <c r="AI447" s="16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</row>
    <row r="448" spans="1:56" ht="9.75" customHeight="1" x14ac:dyDescent="0.3">
      <c r="A448" s="34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6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6"/>
      <c r="AI448" s="16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</row>
    <row r="449" spans="1:56" ht="9.75" customHeight="1" x14ac:dyDescent="0.3">
      <c r="A449" s="34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6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6"/>
      <c r="AI449" s="16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</row>
    <row r="450" spans="1:56" ht="9.75" customHeight="1" x14ac:dyDescent="0.3">
      <c r="A450" s="34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6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6"/>
      <c r="AI450" s="16"/>
      <c r="AJ450" s="37"/>
      <c r="AK450" s="37"/>
      <c r="AL450" s="37"/>
      <c r="AM450" s="37"/>
      <c r="AN450" s="37"/>
      <c r="AO450" s="37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</row>
    <row r="451" spans="1:56" ht="9.75" customHeight="1" x14ac:dyDescent="0.3">
      <c r="A451" s="34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6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6"/>
      <c r="AI451" s="16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</row>
    <row r="452" spans="1:56" ht="9.75" customHeight="1" x14ac:dyDescent="0.3">
      <c r="A452" s="34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6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6"/>
      <c r="AI452" s="16"/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</row>
    <row r="453" spans="1:56" ht="9.75" customHeight="1" x14ac:dyDescent="0.3">
      <c r="A453" s="34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6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6"/>
      <c r="AI453" s="16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</row>
    <row r="454" spans="1:56" ht="9.75" customHeight="1" x14ac:dyDescent="0.3">
      <c r="A454" s="34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6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6"/>
      <c r="AI454" s="16"/>
      <c r="AJ454" s="37"/>
      <c r="AK454" s="37"/>
      <c r="AL454" s="37"/>
      <c r="AM454" s="37"/>
      <c r="AN454" s="37"/>
      <c r="AO454" s="37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</row>
    <row r="455" spans="1:56" ht="9.75" customHeight="1" x14ac:dyDescent="0.3">
      <c r="A455" s="34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6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6"/>
      <c r="AI455" s="16"/>
      <c r="AJ455" s="37"/>
      <c r="AK455" s="37"/>
      <c r="AL455" s="37"/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</row>
    <row r="456" spans="1:56" ht="9.75" customHeight="1" x14ac:dyDescent="0.3">
      <c r="A456" s="34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6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6"/>
      <c r="AI456" s="16"/>
      <c r="AJ456" s="37"/>
      <c r="AK456" s="37"/>
      <c r="AL456" s="37"/>
      <c r="AM456" s="37"/>
      <c r="AN456" s="37"/>
      <c r="AO456" s="37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</row>
    <row r="457" spans="1:56" ht="9.75" customHeight="1" x14ac:dyDescent="0.3">
      <c r="A457" s="34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6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6"/>
      <c r="AI457" s="16"/>
      <c r="AJ457" s="37"/>
      <c r="AK457" s="37"/>
      <c r="AL457" s="37"/>
      <c r="AM457" s="37"/>
      <c r="AN457" s="37"/>
      <c r="AO457" s="37"/>
      <c r="AP457" s="37"/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</row>
    <row r="458" spans="1:56" ht="9.75" customHeight="1" x14ac:dyDescent="0.3">
      <c r="A458" s="34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6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6"/>
      <c r="AI458" s="16"/>
      <c r="AJ458" s="37"/>
      <c r="AK458" s="37"/>
      <c r="AL458" s="37"/>
      <c r="AM458" s="37"/>
      <c r="AN458" s="37"/>
      <c r="AO458" s="37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</row>
    <row r="459" spans="1:56" ht="9.75" customHeight="1" x14ac:dyDescent="0.3">
      <c r="A459" s="34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6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6"/>
      <c r="AI459" s="16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</row>
    <row r="460" spans="1:56" ht="9.75" customHeight="1" x14ac:dyDescent="0.3">
      <c r="A460" s="34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6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6"/>
      <c r="AI460" s="16"/>
      <c r="AJ460" s="37"/>
      <c r="AK460" s="37"/>
      <c r="AL460" s="37"/>
      <c r="AM460" s="37"/>
      <c r="AN460" s="37"/>
      <c r="AO460" s="37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</row>
    <row r="461" spans="1:56" ht="9.75" customHeight="1" x14ac:dyDescent="0.3">
      <c r="A461" s="34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6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6"/>
      <c r="AI461" s="16"/>
      <c r="AJ461" s="37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</row>
    <row r="462" spans="1:56" ht="9.75" customHeight="1" x14ac:dyDescent="0.3">
      <c r="A462" s="34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6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6"/>
      <c r="AI462" s="16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</row>
    <row r="463" spans="1:56" ht="9.75" customHeight="1" x14ac:dyDescent="0.3">
      <c r="A463" s="34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6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6"/>
      <c r="AI463" s="16"/>
      <c r="AJ463" s="37"/>
      <c r="AK463" s="37"/>
      <c r="AL463" s="37"/>
      <c r="AM463" s="37"/>
      <c r="AN463" s="37"/>
      <c r="AO463" s="37"/>
      <c r="AP463" s="37"/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</row>
    <row r="464" spans="1:56" ht="9.75" customHeight="1" x14ac:dyDescent="0.3">
      <c r="A464" s="34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6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6"/>
      <c r="AI464" s="16"/>
      <c r="AJ464" s="37"/>
      <c r="AK464" s="37"/>
      <c r="AL464" s="37"/>
      <c r="AM464" s="37"/>
      <c r="AN464" s="37"/>
      <c r="AO464" s="37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</row>
    <row r="465" spans="1:56" ht="9.75" customHeight="1" x14ac:dyDescent="0.3">
      <c r="A465" s="34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6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6"/>
      <c r="AI465" s="16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</row>
    <row r="466" spans="1:56" ht="9.75" customHeight="1" x14ac:dyDescent="0.3">
      <c r="A466" s="34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6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6"/>
      <c r="AI466" s="16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</row>
    <row r="467" spans="1:56" ht="9.75" customHeight="1" x14ac:dyDescent="0.3">
      <c r="A467" s="34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6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6"/>
      <c r="AI467" s="16"/>
      <c r="AJ467" s="37"/>
      <c r="AK467" s="37"/>
      <c r="AL467" s="37"/>
      <c r="AM467" s="37"/>
      <c r="AN467" s="37"/>
      <c r="AO467" s="37"/>
      <c r="AP467" s="37"/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</row>
    <row r="468" spans="1:56" ht="9.75" customHeight="1" x14ac:dyDescent="0.3">
      <c r="A468" s="34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6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6"/>
      <c r="AI468" s="16"/>
      <c r="AJ468" s="37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</row>
    <row r="469" spans="1:56" ht="9.75" customHeight="1" x14ac:dyDescent="0.3">
      <c r="A469" s="34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6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6"/>
      <c r="AI469" s="16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</row>
    <row r="470" spans="1:56" ht="9.75" customHeight="1" x14ac:dyDescent="0.3">
      <c r="A470" s="34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6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6"/>
      <c r="AI470" s="16"/>
      <c r="AJ470" s="37"/>
      <c r="AK470" s="37"/>
      <c r="AL470" s="37"/>
      <c r="AM470" s="37"/>
      <c r="AN470" s="37"/>
      <c r="AO470" s="37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</row>
    <row r="471" spans="1:56" ht="9.75" customHeight="1" x14ac:dyDescent="0.3">
      <c r="A471" s="34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6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6"/>
      <c r="AI471" s="16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</row>
    <row r="472" spans="1:56" ht="9.75" customHeight="1" x14ac:dyDescent="0.3">
      <c r="A472" s="34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6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6"/>
      <c r="AI472" s="16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</row>
    <row r="473" spans="1:56" ht="9.75" customHeight="1" x14ac:dyDescent="0.3">
      <c r="A473" s="34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6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6"/>
      <c r="AI473" s="16"/>
      <c r="AJ473" s="37"/>
      <c r="AK473" s="37"/>
      <c r="AL473" s="37"/>
      <c r="AM473" s="37"/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</row>
    <row r="474" spans="1:56" ht="9.75" customHeight="1" x14ac:dyDescent="0.3">
      <c r="A474" s="34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6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6"/>
      <c r="AI474" s="16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</row>
    <row r="475" spans="1:56" ht="9.75" customHeight="1" x14ac:dyDescent="0.3">
      <c r="A475" s="34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6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6"/>
      <c r="AI475" s="16"/>
      <c r="AJ475" s="37"/>
      <c r="AK475" s="37"/>
      <c r="AL475" s="37"/>
      <c r="AM475" s="37"/>
      <c r="AN475" s="37"/>
      <c r="AO475" s="37"/>
      <c r="AP475" s="37"/>
      <c r="AQ475" s="37"/>
      <c r="AR475" s="37"/>
      <c r="AS475" s="37"/>
      <c r="AT475" s="37"/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</row>
    <row r="476" spans="1:56" ht="9.75" customHeight="1" x14ac:dyDescent="0.3">
      <c r="A476" s="34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6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6"/>
      <c r="AI476" s="16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</row>
    <row r="477" spans="1:56" ht="9.75" customHeight="1" x14ac:dyDescent="0.3">
      <c r="A477" s="34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6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6"/>
      <c r="AI477" s="16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</row>
    <row r="478" spans="1:56" ht="9.75" customHeight="1" x14ac:dyDescent="0.3">
      <c r="A478" s="34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6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6"/>
      <c r="AI478" s="16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</row>
    <row r="479" spans="1:56" ht="9.75" customHeight="1" x14ac:dyDescent="0.3">
      <c r="A479" s="34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6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6"/>
      <c r="AI479" s="16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</row>
    <row r="480" spans="1:56" ht="9.75" customHeight="1" x14ac:dyDescent="0.3">
      <c r="A480" s="34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6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6"/>
      <c r="AI480" s="16"/>
      <c r="AJ480" s="37"/>
      <c r="AK480" s="37"/>
      <c r="AL480" s="37"/>
      <c r="AM480" s="37"/>
      <c r="AN480" s="37"/>
      <c r="AO480" s="37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</row>
    <row r="481" spans="1:56" ht="9.75" customHeight="1" x14ac:dyDescent="0.3">
      <c r="A481" s="34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6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6"/>
      <c r="AI481" s="16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</row>
    <row r="482" spans="1:56" ht="9.75" customHeight="1" x14ac:dyDescent="0.3">
      <c r="A482" s="34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6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6"/>
      <c r="AI482" s="16"/>
      <c r="AJ482" s="37"/>
      <c r="AK482" s="37"/>
      <c r="AL482" s="37"/>
      <c r="AM482" s="37"/>
      <c r="AN482" s="37"/>
      <c r="AO482" s="37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</row>
    <row r="483" spans="1:56" ht="9.75" customHeight="1" x14ac:dyDescent="0.3">
      <c r="A483" s="34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6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6"/>
      <c r="AI483" s="16"/>
      <c r="AJ483" s="37"/>
      <c r="AK483" s="37"/>
      <c r="AL483" s="37"/>
      <c r="AM483" s="37"/>
      <c r="AN483" s="37"/>
      <c r="AO483" s="37"/>
      <c r="AP483" s="37"/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</row>
    <row r="484" spans="1:56" ht="9.75" customHeight="1" x14ac:dyDescent="0.3">
      <c r="A484" s="34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6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6"/>
      <c r="AI484" s="16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</row>
    <row r="485" spans="1:56" ht="9.75" customHeight="1" x14ac:dyDescent="0.3">
      <c r="A485" s="34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6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6"/>
      <c r="AI485" s="16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</row>
    <row r="486" spans="1:56" ht="9.75" customHeight="1" x14ac:dyDescent="0.3">
      <c r="A486" s="34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6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6"/>
      <c r="AI486" s="16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</row>
    <row r="487" spans="1:56" ht="9.75" customHeight="1" x14ac:dyDescent="0.3">
      <c r="A487" s="34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6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6"/>
      <c r="AI487" s="16"/>
      <c r="AJ487" s="37"/>
      <c r="AK487" s="37"/>
      <c r="AL487" s="37"/>
      <c r="AM487" s="37"/>
      <c r="AN487" s="37"/>
      <c r="AO487" s="37"/>
      <c r="AP487" s="37"/>
      <c r="AQ487" s="37"/>
      <c r="AR487" s="37"/>
      <c r="AS487" s="37"/>
      <c r="AT487" s="37"/>
      <c r="AU487" s="37"/>
      <c r="AV487" s="37"/>
      <c r="AW487" s="37"/>
      <c r="AX487" s="37"/>
      <c r="AY487" s="37"/>
      <c r="AZ487" s="37"/>
      <c r="BA487" s="37"/>
      <c r="BB487" s="37"/>
      <c r="BC487" s="37"/>
      <c r="BD487" s="37"/>
    </row>
    <row r="488" spans="1:56" ht="9.75" customHeight="1" x14ac:dyDescent="0.3">
      <c r="A488" s="34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6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6"/>
      <c r="AI488" s="16"/>
      <c r="AJ488" s="37"/>
      <c r="AK488" s="37"/>
      <c r="AL488" s="37"/>
      <c r="AM488" s="37"/>
      <c r="AN488" s="37"/>
      <c r="AO488" s="37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</row>
    <row r="489" spans="1:56" ht="9.75" customHeight="1" x14ac:dyDescent="0.3">
      <c r="A489" s="34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6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6"/>
      <c r="AI489" s="16"/>
      <c r="AJ489" s="37"/>
      <c r="AK489" s="37"/>
      <c r="AL489" s="37"/>
      <c r="AM489" s="37"/>
      <c r="AN489" s="37"/>
      <c r="AO489" s="37"/>
      <c r="AP489" s="37"/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</row>
    <row r="490" spans="1:56" ht="9.75" customHeight="1" x14ac:dyDescent="0.3">
      <c r="A490" s="34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6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6"/>
      <c r="AI490" s="16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</row>
    <row r="491" spans="1:56" ht="9.75" customHeight="1" x14ac:dyDescent="0.3">
      <c r="A491" s="34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6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6"/>
      <c r="AI491" s="16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</row>
    <row r="492" spans="1:56" ht="9.75" customHeight="1" x14ac:dyDescent="0.3">
      <c r="A492" s="34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6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6"/>
      <c r="AI492" s="16"/>
      <c r="AJ492" s="37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</row>
    <row r="493" spans="1:56" ht="9.75" customHeight="1" x14ac:dyDescent="0.3">
      <c r="A493" s="34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6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6"/>
      <c r="AI493" s="16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</row>
    <row r="494" spans="1:56" ht="9.75" customHeight="1" x14ac:dyDescent="0.3">
      <c r="A494" s="34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6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6"/>
      <c r="AI494" s="16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</row>
    <row r="495" spans="1:56" ht="9.75" customHeight="1" x14ac:dyDescent="0.3">
      <c r="A495" s="34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6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6"/>
      <c r="AI495" s="16"/>
      <c r="AJ495" s="37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</row>
    <row r="496" spans="1:56" ht="9.75" customHeight="1" x14ac:dyDescent="0.3">
      <c r="A496" s="34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6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6"/>
      <c r="AI496" s="16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</row>
    <row r="497" spans="1:56" ht="9.75" customHeight="1" x14ac:dyDescent="0.3">
      <c r="A497" s="34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6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6"/>
      <c r="AI497" s="16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</row>
    <row r="498" spans="1:56" ht="9.75" customHeight="1" x14ac:dyDescent="0.3">
      <c r="A498" s="34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6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6"/>
      <c r="AI498" s="16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</row>
    <row r="499" spans="1:56" ht="9.75" customHeight="1" x14ac:dyDescent="0.3">
      <c r="A499" s="34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6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6"/>
      <c r="AI499" s="16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</row>
    <row r="500" spans="1:56" ht="9.75" customHeight="1" x14ac:dyDescent="0.3">
      <c r="A500" s="34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6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6"/>
      <c r="AI500" s="16"/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</row>
    <row r="501" spans="1:56" ht="9.75" customHeight="1" x14ac:dyDescent="0.3">
      <c r="A501" s="34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6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6"/>
      <c r="AI501" s="16"/>
      <c r="AJ501" s="37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</row>
    <row r="502" spans="1:56" ht="9.75" customHeight="1" x14ac:dyDescent="0.3">
      <c r="A502" s="34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6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6"/>
      <c r="AI502" s="16"/>
      <c r="AJ502" s="37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</row>
    <row r="503" spans="1:56" ht="9.75" customHeight="1" x14ac:dyDescent="0.3">
      <c r="A503" s="34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6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6"/>
      <c r="AI503" s="16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</row>
    <row r="504" spans="1:56" ht="9.75" customHeight="1" x14ac:dyDescent="0.3">
      <c r="A504" s="34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6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6"/>
      <c r="AI504" s="16"/>
      <c r="AJ504" s="37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</row>
    <row r="505" spans="1:56" ht="9.75" customHeight="1" x14ac:dyDescent="0.3">
      <c r="A505" s="34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6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6"/>
      <c r="AI505" s="16"/>
      <c r="AJ505" s="37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</row>
    <row r="506" spans="1:56" ht="9.75" customHeight="1" x14ac:dyDescent="0.3">
      <c r="A506" s="34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6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6"/>
      <c r="AI506" s="16"/>
      <c r="AJ506" s="37"/>
      <c r="AK506" s="37"/>
      <c r="AL506" s="37"/>
      <c r="AM506" s="37"/>
      <c r="AN506" s="37"/>
      <c r="AO506" s="37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</row>
    <row r="507" spans="1:56" ht="9.75" customHeight="1" x14ac:dyDescent="0.3">
      <c r="A507" s="34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6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6"/>
      <c r="AI507" s="16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</row>
    <row r="508" spans="1:56" ht="9.75" customHeight="1" x14ac:dyDescent="0.3">
      <c r="A508" s="34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6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6"/>
      <c r="AI508" s="16"/>
      <c r="AJ508" s="37"/>
      <c r="AK508" s="37"/>
      <c r="AL508" s="37"/>
      <c r="AM508" s="37"/>
      <c r="AN508" s="37"/>
      <c r="AO508" s="37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</row>
    <row r="509" spans="1:56" ht="9.75" customHeight="1" x14ac:dyDescent="0.3">
      <c r="A509" s="34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6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6"/>
      <c r="AI509" s="16"/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</row>
    <row r="510" spans="1:56" ht="9.75" customHeight="1" x14ac:dyDescent="0.3">
      <c r="A510" s="34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6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6"/>
      <c r="AI510" s="16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</row>
    <row r="511" spans="1:56" ht="9.75" customHeight="1" x14ac:dyDescent="0.3">
      <c r="A511" s="34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6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6"/>
      <c r="AI511" s="16"/>
      <c r="AJ511" s="37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</row>
    <row r="512" spans="1:56" ht="9.75" customHeight="1" x14ac:dyDescent="0.3">
      <c r="A512" s="34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6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6"/>
      <c r="AI512" s="16"/>
      <c r="AJ512" s="37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</row>
    <row r="513" spans="1:56" ht="9.75" customHeight="1" x14ac:dyDescent="0.3">
      <c r="A513" s="34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6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6"/>
      <c r="AI513" s="16"/>
      <c r="AJ513" s="37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</row>
    <row r="514" spans="1:56" ht="9.75" customHeight="1" x14ac:dyDescent="0.3">
      <c r="A514" s="34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6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6"/>
      <c r="AI514" s="16"/>
      <c r="AJ514" s="37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</row>
    <row r="515" spans="1:56" ht="9.75" customHeight="1" x14ac:dyDescent="0.3">
      <c r="A515" s="34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6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6"/>
      <c r="AI515" s="16"/>
      <c r="AJ515" s="37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</row>
    <row r="516" spans="1:56" ht="9.75" customHeight="1" x14ac:dyDescent="0.3">
      <c r="A516" s="34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6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6"/>
      <c r="AI516" s="16"/>
      <c r="AJ516" s="37"/>
      <c r="AK516" s="37"/>
      <c r="AL516" s="37"/>
      <c r="AM516" s="37"/>
      <c r="AN516" s="37"/>
      <c r="AO516" s="37"/>
      <c r="AP516" s="37"/>
      <c r="AQ516" s="37"/>
      <c r="AR516" s="37"/>
      <c r="AS516" s="37"/>
      <c r="AT516" s="37"/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</row>
    <row r="517" spans="1:56" ht="9.75" customHeight="1" x14ac:dyDescent="0.3">
      <c r="A517" s="34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6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6"/>
      <c r="AI517" s="16"/>
      <c r="AJ517" s="37"/>
      <c r="AK517" s="37"/>
      <c r="AL517" s="37"/>
      <c r="AM517" s="37"/>
      <c r="AN517" s="37"/>
      <c r="AO517" s="37"/>
      <c r="AP517" s="37"/>
      <c r="AQ517" s="37"/>
      <c r="AR517" s="37"/>
      <c r="AS517" s="37"/>
      <c r="AT517" s="37"/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</row>
    <row r="518" spans="1:56" ht="9.75" customHeight="1" x14ac:dyDescent="0.3">
      <c r="A518" s="34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6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6"/>
      <c r="AI518" s="16"/>
      <c r="AJ518" s="37"/>
      <c r="AK518" s="37"/>
      <c r="AL518" s="37"/>
      <c r="AM518" s="37"/>
      <c r="AN518" s="37"/>
      <c r="AO518" s="37"/>
      <c r="AP518" s="37"/>
      <c r="AQ518" s="37"/>
      <c r="AR518" s="37"/>
      <c r="AS518" s="37"/>
      <c r="AT518" s="37"/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</row>
    <row r="519" spans="1:56" ht="9.75" customHeight="1" x14ac:dyDescent="0.3">
      <c r="A519" s="34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6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6"/>
      <c r="AI519" s="16"/>
      <c r="AJ519" s="37"/>
      <c r="AK519" s="37"/>
      <c r="AL519" s="37"/>
      <c r="AM519" s="37"/>
      <c r="AN519" s="37"/>
      <c r="AO519" s="37"/>
      <c r="AP519" s="37"/>
      <c r="AQ519" s="37"/>
      <c r="AR519" s="37"/>
      <c r="AS519" s="37"/>
      <c r="AT519" s="37"/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</row>
    <row r="520" spans="1:56" ht="9.75" customHeight="1" x14ac:dyDescent="0.3">
      <c r="A520" s="34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6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6"/>
      <c r="AI520" s="16"/>
      <c r="AJ520" s="37"/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</row>
    <row r="521" spans="1:56" ht="9.75" customHeight="1" x14ac:dyDescent="0.3">
      <c r="A521" s="34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6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6"/>
      <c r="AI521" s="16"/>
      <c r="AJ521" s="37"/>
      <c r="AK521" s="37"/>
      <c r="AL521" s="37"/>
      <c r="AM521" s="37"/>
      <c r="AN521" s="37"/>
      <c r="AO521" s="37"/>
      <c r="AP521" s="37"/>
      <c r="AQ521" s="37"/>
      <c r="AR521" s="37"/>
      <c r="AS521" s="37"/>
      <c r="AT521" s="37"/>
      <c r="AU521" s="37"/>
      <c r="AV521" s="37"/>
      <c r="AW521" s="37"/>
      <c r="AX521" s="37"/>
      <c r="AY521" s="37"/>
      <c r="AZ521" s="37"/>
      <c r="BA521" s="37"/>
      <c r="BB521" s="37"/>
      <c r="BC521" s="37"/>
      <c r="BD521" s="37"/>
    </row>
    <row r="522" spans="1:56" ht="9.75" customHeight="1" x14ac:dyDescent="0.3">
      <c r="A522" s="34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6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6"/>
      <c r="AI522" s="16"/>
      <c r="AJ522" s="37"/>
      <c r="AK522" s="37"/>
      <c r="AL522" s="37"/>
      <c r="AM522" s="37"/>
      <c r="AN522" s="37"/>
      <c r="AO522" s="37"/>
      <c r="AP522" s="37"/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</row>
    <row r="523" spans="1:56" ht="9.75" customHeight="1" x14ac:dyDescent="0.3">
      <c r="A523" s="34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6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6"/>
      <c r="AI523" s="16"/>
      <c r="AJ523" s="37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</row>
    <row r="524" spans="1:56" ht="9.75" customHeight="1" x14ac:dyDescent="0.3">
      <c r="A524" s="34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6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6"/>
      <c r="AI524" s="16"/>
      <c r="AJ524" s="37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</row>
    <row r="525" spans="1:56" ht="9.75" customHeight="1" x14ac:dyDescent="0.3">
      <c r="A525" s="34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6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6"/>
      <c r="AI525" s="16"/>
      <c r="AJ525" s="37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</row>
    <row r="526" spans="1:56" ht="9.75" customHeight="1" x14ac:dyDescent="0.3">
      <c r="A526" s="34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6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6"/>
      <c r="AI526" s="16"/>
      <c r="AJ526" s="37"/>
      <c r="AK526" s="37"/>
      <c r="AL526" s="37"/>
      <c r="AM526" s="37"/>
      <c r="AN526" s="37"/>
      <c r="AO526" s="37"/>
      <c r="AP526" s="37"/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</row>
    <row r="527" spans="1:56" ht="9.75" customHeight="1" x14ac:dyDescent="0.3">
      <c r="A527" s="34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6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6"/>
      <c r="AI527" s="16"/>
      <c r="AJ527" s="37"/>
      <c r="AK527" s="37"/>
      <c r="AL527" s="37"/>
      <c r="AM527" s="37"/>
      <c r="AN527" s="37"/>
      <c r="AO527" s="37"/>
      <c r="AP527" s="37"/>
      <c r="AQ527" s="37"/>
      <c r="AR527" s="37"/>
      <c r="AS527" s="37"/>
      <c r="AT527" s="37"/>
      <c r="AU527" s="37"/>
      <c r="AV527" s="37"/>
      <c r="AW527" s="37"/>
      <c r="AX527" s="37"/>
      <c r="AY527" s="37"/>
      <c r="AZ527" s="37"/>
      <c r="BA527" s="37"/>
      <c r="BB527" s="37"/>
      <c r="BC527" s="37"/>
      <c r="BD527" s="37"/>
    </row>
    <row r="528" spans="1:56" ht="9.75" customHeight="1" x14ac:dyDescent="0.3">
      <c r="A528" s="34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6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6"/>
      <c r="AI528" s="16"/>
      <c r="AJ528" s="37"/>
      <c r="AK528" s="37"/>
      <c r="AL528" s="37"/>
      <c r="AM528" s="37"/>
      <c r="AN528" s="37"/>
      <c r="AO528" s="37"/>
      <c r="AP528" s="37"/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</row>
    <row r="529" spans="1:56" ht="9.75" customHeight="1" x14ac:dyDescent="0.3">
      <c r="A529" s="34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6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6"/>
      <c r="AI529" s="16"/>
      <c r="AJ529" s="37"/>
      <c r="AK529" s="37"/>
      <c r="AL529" s="37"/>
      <c r="AM529" s="37"/>
      <c r="AN529" s="37"/>
      <c r="AO529" s="37"/>
      <c r="AP529" s="37"/>
      <c r="AQ529" s="37"/>
      <c r="AR529" s="37"/>
      <c r="AS529" s="37"/>
      <c r="AT529" s="37"/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</row>
    <row r="530" spans="1:56" ht="9.75" customHeight="1" x14ac:dyDescent="0.3">
      <c r="A530" s="34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6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6"/>
      <c r="AI530" s="16"/>
      <c r="AJ530" s="37"/>
      <c r="AK530" s="37"/>
      <c r="AL530" s="37"/>
      <c r="AM530" s="37"/>
      <c r="AN530" s="37"/>
      <c r="AO530" s="37"/>
      <c r="AP530" s="37"/>
      <c r="AQ530" s="37"/>
      <c r="AR530" s="37"/>
      <c r="AS530" s="37"/>
      <c r="AT530" s="37"/>
      <c r="AU530" s="37"/>
      <c r="AV530" s="37"/>
      <c r="AW530" s="37"/>
      <c r="AX530" s="37"/>
      <c r="AY530" s="37"/>
      <c r="AZ530" s="37"/>
      <c r="BA530" s="37"/>
      <c r="BB530" s="37"/>
      <c r="BC530" s="37"/>
      <c r="BD530" s="37"/>
    </row>
    <row r="531" spans="1:56" ht="9.75" customHeight="1" x14ac:dyDescent="0.3">
      <c r="A531" s="34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6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6"/>
      <c r="AI531" s="16"/>
      <c r="AJ531" s="37"/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</row>
    <row r="532" spans="1:56" ht="9.75" customHeight="1" x14ac:dyDescent="0.3">
      <c r="A532" s="34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6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6"/>
      <c r="AI532" s="16"/>
      <c r="AJ532" s="37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</row>
    <row r="533" spans="1:56" ht="9.75" customHeight="1" x14ac:dyDescent="0.3">
      <c r="A533" s="34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6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6"/>
      <c r="AI533" s="16"/>
      <c r="AJ533" s="37"/>
      <c r="AK533" s="37"/>
      <c r="AL533" s="37"/>
      <c r="AM533" s="37"/>
      <c r="AN533" s="37"/>
      <c r="AO533" s="37"/>
      <c r="AP533" s="37"/>
      <c r="AQ533" s="37"/>
      <c r="AR533" s="37"/>
      <c r="AS533" s="37"/>
      <c r="AT533" s="37"/>
      <c r="AU533" s="37"/>
      <c r="AV533" s="37"/>
      <c r="AW533" s="37"/>
      <c r="AX533" s="37"/>
      <c r="AY533" s="37"/>
      <c r="AZ533" s="37"/>
      <c r="BA533" s="37"/>
      <c r="BB533" s="37"/>
      <c r="BC533" s="37"/>
      <c r="BD533" s="37"/>
    </row>
    <row r="534" spans="1:56" ht="9.75" customHeight="1" x14ac:dyDescent="0.3">
      <c r="A534" s="34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6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6"/>
      <c r="AI534" s="16"/>
      <c r="AJ534" s="37"/>
      <c r="AK534" s="37"/>
      <c r="AL534" s="37"/>
      <c r="AM534" s="37"/>
      <c r="AN534" s="37"/>
      <c r="AO534" s="37"/>
      <c r="AP534" s="37"/>
      <c r="AQ534" s="37"/>
      <c r="AR534" s="37"/>
      <c r="AS534" s="37"/>
      <c r="AT534" s="37"/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</row>
    <row r="535" spans="1:56" ht="9.75" customHeight="1" x14ac:dyDescent="0.3">
      <c r="A535" s="34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6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6"/>
      <c r="AI535" s="16"/>
      <c r="AJ535" s="37"/>
      <c r="AK535" s="37"/>
      <c r="AL535" s="37"/>
      <c r="AM535" s="37"/>
      <c r="AN535" s="37"/>
      <c r="AO535" s="37"/>
      <c r="AP535" s="37"/>
      <c r="AQ535" s="37"/>
      <c r="AR535" s="37"/>
      <c r="AS535" s="37"/>
      <c r="AT535" s="37"/>
      <c r="AU535" s="37"/>
      <c r="AV535" s="37"/>
      <c r="AW535" s="37"/>
      <c r="AX535" s="37"/>
      <c r="AY535" s="37"/>
      <c r="AZ535" s="37"/>
      <c r="BA535" s="37"/>
      <c r="BB535" s="37"/>
      <c r="BC535" s="37"/>
      <c r="BD535" s="37"/>
    </row>
    <row r="536" spans="1:56" ht="9.75" customHeight="1" x14ac:dyDescent="0.3">
      <c r="A536" s="34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6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6"/>
      <c r="AI536" s="16"/>
      <c r="AJ536" s="37"/>
      <c r="AK536" s="37"/>
      <c r="AL536" s="37"/>
      <c r="AM536" s="37"/>
      <c r="AN536" s="37"/>
      <c r="AO536" s="37"/>
      <c r="AP536" s="37"/>
      <c r="AQ536" s="37"/>
      <c r="AR536" s="37"/>
      <c r="AS536" s="37"/>
      <c r="AT536" s="37"/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</row>
    <row r="537" spans="1:56" ht="9.75" customHeight="1" x14ac:dyDescent="0.3">
      <c r="A537" s="34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6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6"/>
      <c r="AI537" s="16"/>
      <c r="AJ537" s="37"/>
      <c r="AK537" s="37"/>
      <c r="AL537" s="37"/>
      <c r="AM537" s="37"/>
      <c r="AN537" s="37"/>
      <c r="AO537" s="37"/>
      <c r="AP537" s="37"/>
      <c r="AQ537" s="37"/>
      <c r="AR537" s="37"/>
      <c r="AS537" s="37"/>
      <c r="AT537" s="37"/>
      <c r="AU537" s="37"/>
      <c r="AV537" s="37"/>
      <c r="AW537" s="37"/>
      <c r="AX537" s="37"/>
      <c r="AY537" s="37"/>
      <c r="AZ537" s="37"/>
      <c r="BA537" s="37"/>
      <c r="BB537" s="37"/>
      <c r="BC537" s="37"/>
      <c r="BD537" s="37"/>
    </row>
    <row r="538" spans="1:56" ht="9.75" customHeight="1" x14ac:dyDescent="0.3">
      <c r="A538" s="34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6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6"/>
      <c r="AI538" s="16"/>
      <c r="AJ538" s="37"/>
      <c r="AK538" s="37"/>
      <c r="AL538" s="37"/>
      <c r="AM538" s="37"/>
      <c r="AN538" s="37"/>
      <c r="AO538" s="37"/>
      <c r="AP538" s="37"/>
      <c r="AQ538" s="37"/>
      <c r="AR538" s="37"/>
      <c r="AS538" s="37"/>
      <c r="AT538" s="37"/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</row>
    <row r="539" spans="1:56" ht="9.75" customHeight="1" x14ac:dyDescent="0.3">
      <c r="A539" s="34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6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6"/>
      <c r="AI539" s="16"/>
      <c r="AJ539" s="37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</row>
    <row r="540" spans="1:56" ht="9.75" customHeight="1" x14ac:dyDescent="0.3">
      <c r="A540" s="34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6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6"/>
      <c r="AI540" s="16"/>
      <c r="AJ540" s="37"/>
      <c r="AK540" s="37"/>
      <c r="AL540" s="37"/>
      <c r="AM540" s="37"/>
      <c r="AN540" s="37"/>
      <c r="AO540" s="37"/>
      <c r="AP540" s="37"/>
      <c r="AQ540" s="37"/>
      <c r="AR540" s="37"/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</row>
    <row r="541" spans="1:56" ht="9.75" customHeight="1" x14ac:dyDescent="0.3">
      <c r="A541" s="34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6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6"/>
      <c r="AI541" s="16"/>
      <c r="AJ541" s="37"/>
      <c r="AK541" s="37"/>
      <c r="AL541" s="37"/>
      <c r="AM541" s="37"/>
      <c r="AN541" s="37"/>
      <c r="AO541" s="37"/>
      <c r="AP541" s="37"/>
      <c r="AQ541" s="37"/>
      <c r="AR541" s="37"/>
      <c r="AS541" s="37"/>
      <c r="AT541" s="37"/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</row>
    <row r="542" spans="1:56" ht="9.75" customHeight="1" x14ac:dyDescent="0.3">
      <c r="A542" s="34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6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6"/>
      <c r="AI542" s="16"/>
      <c r="AJ542" s="37"/>
      <c r="AK542" s="37"/>
      <c r="AL542" s="37"/>
      <c r="AM542" s="37"/>
      <c r="AN542" s="37"/>
      <c r="AO542" s="37"/>
      <c r="AP542" s="37"/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</row>
    <row r="543" spans="1:56" ht="9.75" customHeight="1" x14ac:dyDescent="0.3">
      <c r="A543" s="34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6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6"/>
      <c r="AI543" s="16"/>
      <c r="AJ543" s="37"/>
      <c r="AK543" s="37"/>
      <c r="AL543" s="37"/>
      <c r="AM543" s="37"/>
      <c r="AN543" s="37"/>
      <c r="AO543" s="37"/>
      <c r="AP543" s="37"/>
      <c r="AQ543" s="37"/>
      <c r="AR543" s="37"/>
      <c r="AS543" s="37"/>
      <c r="AT543" s="37"/>
      <c r="AU543" s="37"/>
      <c r="AV543" s="37"/>
      <c r="AW543" s="37"/>
      <c r="AX543" s="37"/>
      <c r="AY543" s="37"/>
      <c r="AZ543" s="37"/>
      <c r="BA543" s="37"/>
      <c r="BB543" s="37"/>
      <c r="BC543" s="37"/>
      <c r="BD543" s="37"/>
    </row>
    <row r="544" spans="1:56" ht="9.75" customHeight="1" x14ac:dyDescent="0.3">
      <c r="A544" s="34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6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6"/>
      <c r="AI544" s="16"/>
      <c r="AJ544" s="37"/>
      <c r="AK544" s="37"/>
      <c r="AL544" s="37"/>
      <c r="AM544" s="37"/>
      <c r="AN544" s="37"/>
      <c r="AO544" s="37"/>
      <c r="AP544" s="37"/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</row>
    <row r="545" spans="1:56" ht="9.75" customHeight="1" x14ac:dyDescent="0.3">
      <c r="A545" s="34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6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6"/>
      <c r="AI545" s="16"/>
      <c r="AJ545" s="37"/>
      <c r="AK545" s="37"/>
      <c r="AL545" s="37"/>
      <c r="AM545" s="37"/>
      <c r="AN545" s="37"/>
      <c r="AO545" s="37"/>
      <c r="AP545" s="37"/>
      <c r="AQ545" s="37"/>
      <c r="AR545" s="37"/>
      <c r="AS545" s="37"/>
      <c r="AT545" s="37"/>
      <c r="AU545" s="37"/>
      <c r="AV545" s="37"/>
      <c r="AW545" s="37"/>
      <c r="AX545" s="37"/>
      <c r="AY545" s="37"/>
      <c r="AZ545" s="37"/>
      <c r="BA545" s="37"/>
      <c r="BB545" s="37"/>
      <c r="BC545" s="37"/>
      <c r="BD545" s="37"/>
    </row>
    <row r="546" spans="1:56" ht="9.75" customHeight="1" x14ac:dyDescent="0.3">
      <c r="A546" s="34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6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6"/>
      <c r="AI546" s="16"/>
      <c r="AJ546" s="37"/>
      <c r="AK546" s="37"/>
      <c r="AL546" s="37"/>
      <c r="AM546" s="37"/>
      <c r="AN546" s="37"/>
      <c r="AO546" s="37"/>
      <c r="AP546" s="37"/>
      <c r="AQ546" s="37"/>
      <c r="AR546" s="37"/>
      <c r="AS546" s="37"/>
      <c r="AT546" s="37"/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</row>
    <row r="547" spans="1:56" ht="9.75" customHeight="1" x14ac:dyDescent="0.3">
      <c r="A547" s="34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6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6"/>
      <c r="AI547" s="16"/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</row>
    <row r="548" spans="1:56" ht="9.75" customHeight="1" x14ac:dyDescent="0.3">
      <c r="A548" s="34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6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6"/>
      <c r="AI548" s="16"/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</row>
    <row r="549" spans="1:56" ht="9.75" customHeight="1" x14ac:dyDescent="0.3">
      <c r="A549" s="34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6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6"/>
      <c r="AI549" s="16"/>
      <c r="AJ549" s="37"/>
      <c r="AK549" s="37"/>
      <c r="AL549" s="37"/>
      <c r="AM549" s="37"/>
      <c r="AN549" s="37"/>
      <c r="AO549" s="37"/>
      <c r="AP549" s="37"/>
      <c r="AQ549" s="37"/>
      <c r="AR549" s="37"/>
      <c r="AS549" s="37"/>
      <c r="AT549" s="37"/>
      <c r="AU549" s="37"/>
      <c r="AV549" s="37"/>
      <c r="AW549" s="37"/>
      <c r="AX549" s="37"/>
      <c r="AY549" s="37"/>
      <c r="AZ549" s="37"/>
      <c r="BA549" s="37"/>
      <c r="BB549" s="37"/>
      <c r="BC549" s="37"/>
      <c r="BD549" s="37"/>
    </row>
    <row r="550" spans="1:56" ht="9.75" customHeight="1" x14ac:dyDescent="0.3">
      <c r="A550" s="34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6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6"/>
      <c r="AI550" s="16"/>
      <c r="AJ550" s="37"/>
      <c r="AK550" s="37"/>
      <c r="AL550" s="37"/>
      <c r="AM550" s="37"/>
      <c r="AN550" s="37"/>
      <c r="AO550" s="37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</row>
    <row r="551" spans="1:56" ht="9.75" customHeight="1" x14ac:dyDescent="0.3">
      <c r="A551" s="34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6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6"/>
      <c r="AI551" s="16"/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</row>
    <row r="552" spans="1:56" ht="9.75" customHeight="1" x14ac:dyDescent="0.3">
      <c r="A552" s="34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6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6"/>
      <c r="AI552" s="16"/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</row>
    <row r="553" spans="1:56" ht="9.75" customHeight="1" x14ac:dyDescent="0.3">
      <c r="A553" s="34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6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6"/>
      <c r="AI553" s="16"/>
      <c r="AJ553" s="37"/>
      <c r="AK553" s="37"/>
      <c r="AL553" s="37"/>
      <c r="AM553" s="37"/>
      <c r="AN553" s="37"/>
      <c r="AO553" s="37"/>
      <c r="AP553" s="37"/>
      <c r="AQ553" s="37"/>
      <c r="AR553" s="37"/>
      <c r="AS553" s="37"/>
      <c r="AT553" s="37"/>
      <c r="AU553" s="37"/>
      <c r="AV553" s="37"/>
      <c r="AW553" s="37"/>
      <c r="AX553" s="37"/>
      <c r="AY553" s="37"/>
      <c r="AZ553" s="37"/>
      <c r="BA553" s="37"/>
      <c r="BB553" s="37"/>
      <c r="BC553" s="37"/>
      <c r="BD553" s="37"/>
    </row>
    <row r="554" spans="1:56" ht="9.75" customHeight="1" x14ac:dyDescent="0.3">
      <c r="A554" s="34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6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6"/>
      <c r="AI554" s="16"/>
      <c r="AJ554" s="37"/>
      <c r="AK554" s="37"/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</row>
    <row r="555" spans="1:56" ht="9.75" customHeight="1" x14ac:dyDescent="0.3">
      <c r="A555" s="34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6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6"/>
      <c r="AI555" s="16"/>
      <c r="AJ555" s="37"/>
      <c r="AK555" s="37"/>
      <c r="AL555" s="37"/>
      <c r="AM555" s="37"/>
      <c r="AN555" s="37"/>
      <c r="AO555" s="37"/>
      <c r="AP555" s="37"/>
      <c r="AQ555" s="37"/>
      <c r="AR555" s="37"/>
      <c r="AS555" s="37"/>
      <c r="AT555" s="37"/>
      <c r="AU555" s="37"/>
      <c r="AV555" s="37"/>
      <c r="AW555" s="37"/>
      <c r="AX555" s="37"/>
      <c r="AY555" s="37"/>
      <c r="AZ555" s="37"/>
      <c r="BA555" s="37"/>
      <c r="BB555" s="37"/>
      <c r="BC555" s="37"/>
      <c r="BD555" s="37"/>
    </row>
    <row r="556" spans="1:56" ht="9.75" customHeight="1" x14ac:dyDescent="0.3">
      <c r="A556" s="34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6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6"/>
      <c r="AI556" s="16"/>
      <c r="AJ556" s="37"/>
      <c r="AK556" s="37"/>
      <c r="AL556" s="37"/>
      <c r="AM556" s="37"/>
      <c r="AN556" s="37"/>
      <c r="AO556" s="37"/>
      <c r="AP556" s="37"/>
      <c r="AQ556" s="37"/>
      <c r="AR556" s="37"/>
      <c r="AS556" s="37"/>
      <c r="AT556" s="37"/>
      <c r="AU556" s="37"/>
      <c r="AV556" s="37"/>
      <c r="AW556" s="37"/>
      <c r="AX556" s="37"/>
      <c r="AY556" s="37"/>
      <c r="AZ556" s="37"/>
      <c r="BA556" s="37"/>
      <c r="BB556" s="37"/>
      <c r="BC556" s="37"/>
      <c r="BD556" s="37"/>
    </row>
    <row r="557" spans="1:56" ht="9.75" customHeight="1" x14ac:dyDescent="0.3">
      <c r="A557" s="34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6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6"/>
      <c r="AI557" s="16"/>
      <c r="AJ557" s="37"/>
      <c r="AK557" s="37"/>
      <c r="AL557" s="37"/>
      <c r="AM557" s="37"/>
      <c r="AN557" s="37"/>
      <c r="AO557" s="37"/>
      <c r="AP557" s="37"/>
      <c r="AQ557" s="37"/>
      <c r="AR557" s="37"/>
      <c r="AS557" s="37"/>
      <c r="AT557" s="37"/>
      <c r="AU557" s="37"/>
      <c r="AV557" s="37"/>
      <c r="AW557" s="37"/>
      <c r="AX557" s="37"/>
      <c r="AY557" s="37"/>
      <c r="AZ557" s="37"/>
      <c r="BA557" s="37"/>
      <c r="BB557" s="37"/>
      <c r="BC557" s="37"/>
      <c r="BD557" s="37"/>
    </row>
    <row r="558" spans="1:56" ht="9.75" customHeight="1" x14ac:dyDescent="0.3">
      <c r="A558" s="34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6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6"/>
      <c r="AI558" s="16"/>
      <c r="AJ558" s="37"/>
      <c r="AK558" s="37"/>
      <c r="AL558" s="37"/>
      <c r="AM558" s="37"/>
      <c r="AN558" s="37"/>
      <c r="AO558" s="37"/>
      <c r="AP558" s="37"/>
      <c r="AQ558" s="37"/>
      <c r="AR558" s="37"/>
      <c r="AS558" s="37"/>
      <c r="AT558" s="37"/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</row>
    <row r="559" spans="1:56" ht="9.75" customHeight="1" x14ac:dyDescent="0.3">
      <c r="A559" s="34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6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6"/>
      <c r="AI559" s="16"/>
      <c r="AJ559" s="37"/>
      <c r="AK559" s="37"/>
      <c r="AL559" s="37"/>
      <c r="AM559" s="37"/>
      <c r="AN559" s="37"/>
      <c r="AO559" s="37"/>
      <c r="AP559" s="37"/>
      <c r="AQ559" s="37"/>
      <c r="AR559" s="37"/>
      <c r="AS559" s="37"/>
      <c r="AT559" s="37"/>
      <c r="AU559" s="37"/>
      <c r="AV559" s="37"/>
      <c r="AW559" s="37"/>
      <c r="AX559" s="37"/>
      <c r="AY559" s="37"/>
      <c r="AZ559" s="37"/>
      <c r="BA559" s="37"/>
      <c r="BB559" s="37"/>
      <c r="BC559" s="37"/>
      <c r="BD559" s="37"/>
    </row>
    <row r="560" spans="1:56" ht="9.75" customHeight="1" x14ac:dyDescent="0.3">
      <c r="A560" s="34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6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6"/>
      <c r="AI560" s="16"/>
      <c r="AJ560" s="37"/>
      <c r="AK560" s="37"/>
      <c r="AL560" s="37"/>
      <c r="AM560" s="37"/>
      <c r="AN560" s="37"/>
      <c r="AO560" s="37"/>
      <c r="AP560" s="37"/>
      <c r="AQ560" s="37"/>
      <c r="AR560" s="37"/>
      <c r="AS560" s="37"/>
      <c r="AT560" s="37"/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</row>
    <row r="561" spans="1:56" ht="9.75" customHeight="1" x14ac:dyDescent="0.3">
      <c r="A561" s="34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6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6"/>
      <c r="AI561" s="16"/>
      <c r="AJ561" s="37"/>
      <c r="AK561" s="37"/>
      <c r="AL561" s="37"/>
      <c r="AM561" s="37"/>
      <c r="AN561" s="37"/>
      <c r="AO561" s="37"/>
      <c r="AP561" s="37"/>
      <c r="AQ561" s="37"/>
      <c r="AR561" s="37"/>
      <c r="AS561" s="37"/>
      <c r="AT561" s="37"/>
      <c r="AU561" s="37"/>
      <c r="AV561" s="37"/>
      <c r="AW561" s="37"/>
      <c r="AX561" s="37"/>
      <c r="AY561" s="37"/>
      <c r="AZ561" s="37"/>
      <c r="BA561" s="37"/>
      <c r="BB561" s="37"/>
      <c r="BC561" s="37"/>
      <c r="BD561" s="37"/>
    </row>
    <row r="562" spans="1:56" ht="9.75" customHeight="1" x14ac:dyDescent="0.3">
      <c r="A562" s="34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6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6"/>
      <c r="AI562" s="16"/>
      <c r="AJ562" s="37"/>
      <c r="AK562" s="37"/>
      <c r="AL562" s="37"/>
      <c r="AM562" s="37"/>
      <c r="AN562" s="37"/>
      <c r="AO562" s="37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</row>
    <row r="563" spans="1:56" ht="9.75" customHeight="1" x14ac:dyDescent="0.3">
      <c r="A563" s="34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6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6"/>
      <c r="AI563" s="16"/>
      <c r="AJ563" s="37"/>
      <c r="AK563" s="37"/>
      <c r="AL563" s="37"/>
      <c r="AM563" s="37"/>
      <c r="AN563" s="37"/>
      <c r="AO563" s="37"/>
      <c r="AP563" s="37"/>
      <c r="AQ563" s="37"/>
      <c r="AR563" s="37"/>
      <c r="AS563" s="37"/>
      <c r="AT563" s="37"/>
      <c r="AU563" s="37"/>
      <c r="AV563" s="37"/>
      <c r="AW563" s="37"/>
      <c r="AX563" s="37"/>
      <c r="AY563" s="37"/>
      <c r="AZ563" s="37"/>
      <c r="BA563" s="37"/>
      <c r="BB563" s="37"/>
      <c r="BC563" s="37"/>
      <c r="BD563" s="37"/>
    </row>
    <row r="564" spans="1:56" ht="9.75" customHeight="1" x14ac:dyDescent="0.3">
      <c r="A564" s="34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6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6"/>
      <c r="AI564" s="16"/>
      <c r="AJ564" s="37"/>
      <c r="AK564" s="37"/>
      <c r="AL564" s="37"/>
      <c r="AM564" s="37"/>
      <c r="AN564" s="37"/>
      <c r="AO564" s="37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</row>
    <row r="565" spans="1:56" ht="9.75" customHeight="1" x14ac:dyDescent="0.3">
      <c r="A565" s="34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6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6"/>
      <c r="AI565" s="16"/>
      <c r="AJ565" s="37"/>
      <c r="AK565" s="37"/>
      <c r="AL565" s="37"/>
      <c r="AM565" s="37"/>
      <c r="AN565" s="37"/>
      <c r="AO565" s="37"/>
      <c r="AP565" s="37"/>
      <c r="AQ565" s="37"/>
      <c r="AR565" s="37"/>
      <c r="AS565" s="37"/>
      <c r="AT565" s="37"/>
      <c r="AU565" s="37"/>
      <c r="AV565" s="37"/>
      <c r="AW565" s="37"/>
      <c r="AX565" s="37"/>
      <c r="AY565" s="37"/>
      <c r="AZ565" s="37"/>
      <c r="BA565" s="37"/>
      <c r="BB565" s="37"/>
      <c r="BC565" s="37"/>
      <c r="BD565" s="37"/>
    </row>
    <row r="566" spans="1:56" ht="9.75" customHeight="1" x14ac:dyDescent="0.3">
      <c r="A566" s="34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6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6"/>
      <c r="AI566" s="16"/>
      <c r="AJ566" s="37"/>
      <c r="AK566" s="37"/>
      <c r="AL566" s="37"/>
      <c r="AM566" s="37"/>
      <c r="AN566" s="37"/>
      <c r="AO566" s="37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/>
      <c r="BD566" s="37"/>
    </row>
    <row r="567" spans="1:56" ht="9.75" customHeight="1" x14ac:dyDescent="0.3">
      <c r="A567" s="34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6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6"/>
      <c r="AI567" s="16"/>
      <c r="AJ567" s="37"/>
      <c r="AK567" s="37"/>
      <c r="AL567" s="37"/>
      <c r="AM567" s="37"/>
      <c r="AN567" s="37"/>
      <c r="AO567" s="37"/>
      <c r="AP567" s="37"/>
      <c r="AQ567" s="37"/>
      <c r="AR567" s="37"/>
      <c r="AS567" s="37"/>
      <c r="AT567" s="37"/>
      <c r="AU567" s="37"/>
      <c r="AV567" s="37"/>
      <c r="AW567" s="37"/>
      <c r="AX567" s="37"/>
      <c r="AY567" s="37"/>
      <c r="AZ567" s="37"/>
      <c r="BA567" s="37"/>
      <c r="BB567" s="37"/>
      <c r="BC567" s="37"/>
      <c r="BD567" s="37"/>
    </row>
    <row r="568" spans="1:56" ht="9.75" customHeight="1" x14ac:dyDescent="0.3">
      <c r="A568" s="34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6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6"/>
      <c r="AI568" s="16"/>
      <c r="AJ568" s="37"/>
      <c r="AK568" s="37"/>
      <c r="AL568" s="37"/>
      <c r="AM568" s="37"/>
      <c r="AN568" s="37"/>
      <c r="AO568" s="37"/>
      <c r="AP568" s="37"/>
      <c r="AQ568" s="37"/>
      <c r="AR568" s="37"/>
      <c r="AS568" s="37"/>
      <c r="AT568" s="37"/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</row>
    <row r="569" spans="1:56" ht="9.75" customHeight="1" x14ac:dyDescent="0.3">
      <c r="A569" s="34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6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6"/>
      <c r="AI569" s="16"/>
      <c r="AJ569" s="37"/>
      <c r="AK569" s="37"/>
      <c r="AL569" s="37"/>
      <c r="AM569" s="37"/>
      <c r="AN569" s="37"/>
      <c r="AO569" s="37"/>
      <c r="AP569" s="37"/>
      <c r="AQ569" s="37"/>
      <c r="AR569" s="37"/>
      <c r="AS569" s="37"/>
      <c r="AT569" s="37"/>
      <c r="AU569" s="37"/>
      <c r="AV569" s="37"/>
      <c r="AW569" s="37"/>
      <c r="AX569" s="37"/>
      <c r="AY569" s="37"/>
      <c r="AZ569" s="37"/>
      <c r="BA569" s="37"/>
      <c r="BB569" s="37"/>
      <c r="BC569" s="37"/>
      <c r="BD569" s="37"/>
    </row>
    <row r="570" spans="1:56" ht="9.75" customHeight="1" x14ac:dyDescent="0.3">
      <c r="A570" s="34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6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6"/>
      <c r="AI570" s="16"/>
      <c r="AJ570" s="37"/>
      <c r="AK570" s="37"/>
      <c r="AL570" s="37"/>
      <c r="AM570" s="37"/>
      <c r="AN570" s="37"/>
      <c r="AO570" s="37"/>
      <c r="AP570" s="37"/>
      <c r="AQ570" s="37"/>
      <c r="AR570" s="37"/>
      <c r="AS570" s="37"/>
      <c r="AT570" s="37"/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</row>
    <row r="571" spans="1:56" ht="9.75" customHeight="1" x14ac:dyDescent="0.3">
      <c r="A571" s="34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6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6"/>
      <c r="AI571" s="16"/>
      <c r="AJ571" s="37"/>
      <c r="AK571" s="37"/>
      <c r="AL571" s="37"/>
      <c r="AM571" s="37"/>
      <c r="AN571" s="37"/>
      <c r="AO571" s="37"/>
      <c r="AP571" s="37"/>
      <c r="AQ571" s="37"/>
      <c r="AR571" s="37"/>
      <c r="AS571" s="37"/>
      <c r="AT571" s="37"/>
      <c r="AU571" s="37"/>
      <c r="AV571" s="37"/>
      <c r="AW571" s="37"/>
      <c r="AX571" s="37"/>
      <c r="AY571" s="37"/>
      <c r="AZ571" s="37"/>
      <c r="BA571" s="37"/>
      <c r="BB571" s="37"/>
      <c r="BC571" s="37"/>
      <c r="BD571" s="37"/>
    </row>
    <row r="572" spans="1:56" ht="9.75" customHeight="1" x14ac:dyDescent="0.3">
      <c r="A572" s="34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6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6"/>
      <c r="AI572" s="16"/>
      <c r="AJ572" s="37"/>
      <c r="AK572" s="37"/>
      <c r="AL572" s="37"/>
      <c r="AM572" s="37"/>
      <c r="AN572" s="37"/>
      <c r="AO572" s="37"/>
      <c r="AP572" s="37"/>
      <c r="AQ572" s="37"/>
      <c r="AR572" s="37"/>
      <c r="AS572" s="37"/>
      <c r="AT572" s="37"/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</row>
    <row r="573" spans="1:56" ht="9.75" customHeight="1" x14ac:dyDescent="0.3">
      <c r="A573" s="34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6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6"/>
      <c r="AI573" s="16"/>
      <c r="AJ573" s="37"/>
      <c r="AK573" s="37"/>
      <c r="AL573" s="37"/>
      <c r="AM573" s="37"/>
      <c r="AN573" s="37"/>
      <c r="AO573" s="37"/>
      <c r="AP573" s="37"/>
      <c r="AQ573" s="37"/>
      <c r="AR573" s="37"/>
      <c r="AS573" s="37"/>
      <c r="AT573" s="37"/>
      <c r="AU573" s="37"/>
      <c r="AV573" s="37"/>
      <c r="AW573" s="37"/>
      <c r="AX573" s="37"/>
      <c r="AY573" s="37"/>
      <c r="AZ573" s="37"/>
      <c r="BA573" s="37"/>
      <c r="BB573" s="37"/>
      <c r="BC573" s="37"/>
      <c r="BD573" s="37"/>
    </row>
    <row r="574" spans="1:56" ht="9.75" customHeight="1" x14ac:dyDescent="0.3">
      <c r="A574" s="34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6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6"/>
      <c r="AI574" s="16"/>
      <c r="AJ574" s="37"/>
      <c r="AK574" s="37"/>
      <c r="AL574" s="37"/>
      <c r="AM574" s="37"/>
      <c r="AN574" s="37"/>
      <c r="AO574" s="37"/>
      <c r="AP574" s="37"/>
      <c r="AQ574" s="37"/>
      <c r="AR574" s="37"/>
      <c r="AS574" s="37"/>
      <c r="AT574" s="37"/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</row>
    <row r="575" spans="1:56" ht="9.75" customHeight="1" x14ac:dyDescent="0.3">
      <c r="A575" s="34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6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6"/>
      <c r="AI575" s="16"/>
      <c r="AJ575" s="37"/>
      <c r="AK575" s="37"/>
      <c r="AL575" s="37"/>
      <c r="AM575" s="37"/>
      <c r="AN575" s="37"/>
      <c r="AO575" s="37"/>
      <c r="AP575" s="37"/>
      <c r="AQ575" s="37"/>
      <c r="AR575" s="37"/>
      <c r="AS575" s="37"/>
      <c r="AT575" s="37"/>
      <c r="AU575" s="37"/>
      <c r="AV575" s="37"/>
      <c r="AW575" s="37"/>
      <c r="AX575" s="37"/>
      <c r="AY575" s="37"/>
      <c r="AZ575" s="37"/>
      <c r="BA575" s="37"/>
      <c r="BB575" s="37"/>
      <c r="BC575" s="37"/>
      <c r="BD575" s="37"/>
    </row>
    <row r="576" spans="1:56" ht="9.75" customHeight="1" x14ac:dyDescent="0.3">
      <c r="A576" s="34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6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6"/>
      <c r="AI576" s="16"/>
      <c r="AJ576" s="37"/>
      <c r="AK576" s="37"/>
      <c r="AL576" s="37"/>
      <c r="AM576" s="37"/>
      <c r="AN576" s="37"/>
      <c r="AO576" s="37"/>
      <c r="AP576" s="37"/>
      <c r="AQ576" s="37"/>
      <c r="AR576" s="37"/>
      <c r="AS576" s="37"/>
      <c r="AT576" s="37"/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</row>
    <row r="577" spans="1:56" ht="9.75" customHeight="1" x14ac:dyDescent="0.3">
      <c r="A577" s="34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6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6"/>
      <c r="AI577" s="16"/>
      <c r="AJ577" s="37"/>
      <c r="AK577" s="37"/>
      <c r="AL577" s="37"/>
      <c r="AM577" s="37"/>
      <c r="AN577" s="37"/>
      <c r="AO577" s="37"/>
      <c r="AP577" s="37"/>
      <c r="AQ577" s="37"/>
      <c r="AR577" s="37"/>
      <c r="AS577" s="37"/>
      <c r="AT577" s="37"/>
      <c r="AU577" s="37"/>
      <c r="AV577" s="37"/>
      <c r="AW577" s="37"/>
      <c r="AX577" s="37"/>
      <c r="AY577" s="37"/>
      <c r="AZ577" s="37"/>
      <c r="BA577" s="37"/>
      <c r="BB577" s="37"/>
      <c r="BC577" s="37"/>
      <c r="BD577" s="37"/>
    </row>
    <row r="578" spans="1:56" ht="9.75" customHeight="1" x14ac:dyDescent="0.3">
      <c r="A578" s="34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6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6"/>
      <c r="AI578" s="16"/>
      <c r="AJ578" s="37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</row>
    <row r="579" spans="1:56" ht="9.75" customHeight="1" x14ac:dyDescent="0.3">
      <c r="A579" s="34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6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6"/>
      <c r="AI579" s="16"/>
      <c r="AJ579" s="37"/>
      <c r="AK579" s="37"/>
      <c r="AL579" s="37"/>
      <c r="AM579" s="37"/>
      <c r="AN579" s="37"/>
      <c r="AO579" s="37"/>
      <c r="AP579" s="37"/>
      <c r="AQ579" s="37"/>
      <c r="AR579" s="37"/>
      <c r="AS579" s="37"/>
      <c r="AT579" s="37"/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</row>
    <row r="580" spans="1:56" ht="9.75" customHeight="1" x14ac:dyDescent="0.3">
      <c r="A580" s="34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6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6"/>
      <c r="AI580" s="16"/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</row>
    <row r="581" spans="1:56" ht="9.75" customHeight="1" x14ac:dyDescent="0.3">
      <c r="A581" s="34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6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6"/>
      <c r="AI581" s="16"/>
      <c r="AJ581" s="37"/>
      <c r="AK581" s="37"/>
      <c r="AL581" s="37"/>
      <c r="AM581" s="37"/>
      <c r="AN581" s="37"/>
      <c r="AO581" s="37"/>
      <c r="AP581" s="37"/>
      <c r="AQ581" s="37"/>
      <c r="AR581" s="37"/>
      <c r="AS581" s="37"/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</row>
    <row r="582" spans="1:56" ht="9.75" customHeight="1" x14ac:dyDescent="0.3">
      <c r="A582" s="34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6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6"/>
      <c r="AI582" s="16"/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</row>
    <row r="583" spans="1:56" ht="9.75" customHeight="1" x14ac:dyDescent="0.3">
      <c r="A583" s="34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6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6"/>
      <c r="AI583" s="16"/>
      <c r="AJ583" s="37"/>
      <c r="AK583" s="37"/>
      <c r="AL583" s="37"/>
      <c r="AM583" s="37"/>
      <c r="AN583" s="37"/>
      <c r="AO583" s="37"/>
      <c r="AP583" s="37"/>
      <c r="AQ583" s="37"/>
      <c r="AR583" s="37"/>
      <c r="AS583" s="37"/>
      <c r="AT583" s="37"/>
      <c r="AU583" s="37"/>
      <c r="AV583" s="37"/>
      <c r="AW583" s="37"/>
      <c r="AX583" s="37"/>
      <c r="AY583" s="37"/>
      <c r="AZ583" s="37"/>
      <c r="BA583" s="37"/>
      <c r="BB583" s="37"/>
      <c r="BC583" s="37"/>
      <c r="BD583" s="37"/>
    </row>
    <row r="584" spans="1:56" ht="9.75" customHeight="1" x14ac:dyDescent="0.3">
      <c r="A584" s="34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6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6"/>
      <c r="AI584" s="16"/>
      <c r="AJ584" s="37"/>
      <c r="AK584" s="37"/>
      <c r="AL584" s="37"/>
      <c r="AM584" s="37"/>
      <c r="AN584" s="37"/>
      <c r="AO584" s="37"/>
      <c r="AP584" s="37"/>
      <c r="AQ584" s="37"/>
      <c r="AR584" s="37"/>
      <c r="AS584" s="37"/>
      <c r="AT584" s="37"/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</row>
    <row r="585" spans="1:56" ht="9.75" customHeight="1" x14ac:dyDescent="0.3">
      <c r="A585" s="34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6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6"/>
      <c r="AI585" s="16"/>
      <c r="AJ585" s="37"/>
      <c r="AK585" s="37"/>
      <c r="AL585" s="37"/>
      <c r="AM585" s="37"/>
      <c r="AN585" s="37"/>
      <c r="AO585" s="37"/>
      <c r="AP585" s="37"/>
      <c r="AQ585" s="37"/>
      <c r="AR585" s="37"/>
      <c r="AS585" s="37"/>
      <c r="AT585" s="37"/>
      <c r="AU585" s="37"/>
      <c r="AV585" s="37"/>
      <c r="AW585" s="37"/>
      <c r="AX585" s="37"/>
      <c r="AY585" s="37"/>
      <c r="AZ585" s="37"/>
      <c r="BA585" s="37"/>
      <c r="BB585" s="37"/>
      <c r="BC585" s="37"/>
      <c r="BD585" s="37"/>
    </row>
    <row r="586" spans="1:56" ht="9.75" customHeight="1" x14ac:dyDescent="0.3">
      <c r="A586" s="34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6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6"/>
      <c r="AI586" s="16"/>
      <c r="AJ586" s="37"/>
      <c r="AK586" s="37"/>
      <c r="AL586" s="37"/>
      <c r="AM586" s="37"/>
      <c r="AN586" s="37"/>
      <c r="AO586" s="37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</row>
    <row r="587" spans="1:56" ht="9.75" customHeight="1" x14ac:dyDescent="0.3">
      <c r="A587" s="34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6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6"/>
      <c r="AI587" s="16"/>
      <c r="AJ587" s="37"/>
      <c r="AK587" s="37"/>
      <c r="AL587" s="37"/>
      <c r="AM587" s="37"/>
      <c r="AN587" s="37"/>
      <c r="AO587" s="37"/>
      <c r="AP587" s="37"/>
      <c r="AQ587" s="37"/>
      <c r="AR587" s="37"/>
      <c r="AS587" s="37"/>
      <c r="AT587" s="37"/>
      <c r="AU587" s="37"/>
      <c r="AV587" s="37"/>
      <c r="AW587" s="37"/>
      <c r="AX587" s="37"/>
      <c r="AY587" s="37"/>
      <c r="AZ587" s="37"/>
      <c r="BA587" s="37"/>
      <c r="BB587" s="37"/>
      <c r="BC587" s="37"/>
      <c r="BD587" s="37"/>
    </row>
    <row r="588" spans="1:56" ht="9.75" customHeight="1" x14ac:dyDescent="0.3">
      <c r="A588" s="34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6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6"/>
      <c r="AI588" s="16"/>
      <c r="AJ588" s="37"/>
      <c r="AK588" s="37"/>
      <c r="AL588" s="37"/>
      <c r="AM588" s="37"/>
      <c r="AN588" s="37"/>
      <c r="AO588" s="37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</row>
    <row r="589" spans="1:56" ht="9.75" customHeight="1" x14ac:dyDescent="0.3">
      <c r="A589" s="34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6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6"/>
      <c r="AI589" s="16"/>
      <c r="AJ589" s="37"/>
      <c r="AK589" s="37"/>
      <c r="AL589" s="37"/>
      <c r="AM589" s="37"/>
      <c r="AN589" s="37"/>
      <c r="AO589" s="37"/>
      <c r="AP589" s="37"/>
      <c r="AQ589" s="37"/>
      <c r="AR589" s="37"/>
      <c r="AS589" s="37"/>
      <c r="AT589" s="37"/>
      <c r="AU589" s="37"/>
      <c r="AV589" s="37"/>
      <c r="AW589" s="37"/>
      <c r="AX589" s="37"/>
      <c r="AY589" s="37"/>
      <c r="AZ589" s="37"/>
      <c r="BA589" s="37"/>
      <c r="BB589" s="37"/>
      <c r="BC589" s="37"/>
      <c r="BD589" s="37"/>
    </row>
    <row r="590" spans="1:56" ht="9.75" customHeight="1" x14ac:dyDescent="0.3">
      <c r="A590" s="34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6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6"/>
      <c r="AI590" s="16"/>
      <c r="AJ590" s="37"/>
      <c r="AK590" s="37"/>
      <c r="AL590" s="37"/>
      <c r="AM590" s="37"/>
      <c r="AN590" s="37"/>
      <c r="AO590" s="37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</row>
    <row r="591" spans="1:56" ht="9.75" customHeight="1" x14ac:dyDescent="0.3">
      <c r="A591" s="34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6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6"/>
      <c r="AI591" s="16"/>
      <c r="AJ591" s="37"/>
      <c r="AK591" s="37"/>
      <c r="AL591" s="37"/>
      <c r="AM591" s="37"/>
      <c r="AN591" s="37"/>
      <c r="AO591" s="37"/>
      <c r="AP591" s="37"/>
      <c r="AQ591" s="37"/>
      <c r="AR591" s="37"/>
      <c r="AS591" s="37"/>
      <c r="AT591" s="37"/>
      <c r="AU591" s="37"/>
      <c r="AV591" s="37"/>
      <c r="AW591" s="37"/>
      <c r="AX591" s="37"/>
      <c r="AY591" s="37"/>
      <c r="AZ591" s="37"/>
      <c r="BA591" s="37"/>
      <c r="BB591" s="37"/>
      <c r="BC591" s="37"/>
      <c r="BD591" s="37"/>
    </row>
    <row r="592" spans="1:56" ht="9.75" customHeight="1" x14ac:dyDescent="0.3">
      <c r="A592" s="34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6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6"/>
      <c r="AI592" s="16"/>
      <c r="AJ592" s="37"/>
      <c r="AK592" s="37"/>
      <c r="AL592" s="37"/>
      <c r="AM592" s="37"/>
      <c r="AN592" s="37"/>
      <c r="AO592" s="37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</row>
    <row r="593" spans="1:56" ht="9.75" customHeight="1" x14ac:dyDescent="0.3">
      <c r="A593" s="34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6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6"/>
      <c r="AI593" s="16"/>
      <c r="AJ593" s="37"/>
      <c r="AK593" s="37"/>
      <c r="AL593" s="37"/>
      <c r="AM593" s="37"/>
      <c r="AN593" s="37"/>
      <c r="AO593" s="37"/>
      <c r="AP593" s="37"/>
      <c r="AQ593" s="37"/>
      <c r="AR593" s="37"/>
      <c r="AS593" s="37"/>
      <c r="AT593" s="37"/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</row>
    <row r="594" spans="1:56" ht="9.75" customHeight="1" x14ac:dyDescent="0.3">
      <c r="A594" s="34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6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6"/>
      <c r="AI594" s="16"/>
      <c r="AJ594" s="37"/>
      <c r="AK594" s="37"/>
      <c r="AL594" s="37"/>
      <c r="AM594" s="37"/>
      <c r="AN594" s="37"/>
      <c r="AO594" s="37"/>
      <c r="AP594" s="37"/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</row>
    <row r="595" spans="1:56" ht="9.75" customHeight="1" x14ac:dyDescent="0.3">
      <c r="A595" s="34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6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6"/>
      <c r="AI595" s="16"/>
      <c r="AJ595" s="37"/>
      <c r="AK595" s="37"/>
      <c r="AL595" s="37"/>
      <c r="AM595" s="37"/>
      <c r="AN595" s="37"/>
      <c r="AO595" s="37"/>
      <c r="AP595" s="37"/>
      <c r="AQ595" s="37"/>
      <c r="AR595" s="37"/>
      <c r="AS595" s="37"/>
      <c r="AT595" s="37"/>
      <c r="AU595" s="37"/>
      <c r="AV595" s="37"/>
      <c r="AW595" s="37"/>
      <c r="AX595" s="37"/>
      <c r="AY595" s="37"/>
      <c r="AZ595" s="37"/>
      <c r="BA595" s="37"/>
      <c r="BB595" s="37"/>
      <c r="BC595" s="37"/>
      <c r="BD595" s="37"/>
    </row>
    <row r="596" spans="1:56" ht="9.75" customHeight="1" x14ac:dyDescent="0.3">
      <c r="A596" s="34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6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6"/>
      <c r="AI596" s="16"/>
      <c r="AJ596" s="37"/>
      <c r="AK596" s="37"/>
      <c r="AL596" s="37"/>
      <c r="AM596" s="37"/>
      <c r="AN596" s="37"/>
      <c r="AO596" s="37"/>
      <c r="AP596" s="37"/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</row>
    <row r="597" spans="1:56" ht="9.75" customHeight="1" x14ac:dyDescent="0.3">
      <c r="A597" s="34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6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6"/>
      <c r="AI597" s="16"/>
      <c r="AJ597" s="37"/>
      <c r="AK597" s="37"/>
      <c r="AL597" s="37"/>
      <c r="AM597" s="37"/>
      <c r="AN597" s="37"/>
      <c r="AO597" s="37"/>
      <c r="AP597" s="37"/>
      <c r="AQ597" s="37"/>
      <c r="AR597" s="37"/>
      <c r="AS597" s="37"/>
      <c r="AT597" s="37"/>
      <c r="AU597" s="37"/>
      <c r="AV597" s="37"/>
      <c r="AW597" s="37"/>
      <c r="AX597" s="37"/>
      <c r="AY597" s="37"/>
      <c r="AZ597" s="37"/>
      <c r="BA597" s="37"/>
      <c r="BB597" s="37"/>
      <c r="BC597" s="37"/>
      <c r="BD597" s="37"/>
    </row>
    <row r="598" spans="1:56" ht="9.75" customHeight="1" x14ac:dyDescent="0.3">
      <c r="A598" s="34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6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6"/>
      <c r="AI598" s="16"/>
      <c r="AJ598" s="37"/>
      <c r="AK598" s="37"/>
      <c r="AL598" s="37"/>
      <c r="AM598" s="37"/>
      <c r="AN598" s="37"/>
      <c r="AO598" s="37"/>
      <c r="AP598" s="37"/>
      <c r="AQ598" s="37"/>
      <c r="AR598" s="37"/>
      <c r="AS598" s="37"/>
      <c r="AT598" s="37"/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</row>
    <row r="599" spans="1:56" ht="9.75" customHeight="1" x14ac:dyDescent="0.3">
      <c r="A599" s="34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6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6"/>
      <c r="AI599" s="16"/>
      <c r="AJ599" s="37"/>
      <c r="AK599" s="37"/>
      <c r="AL599" s="37"/>
      <c r="AM599" s="37"/>
      <c r="AN599" s="37"/>
      <c r="AO599" s="37"/>
      <c r="AP599" s="37"/>
      <c r="AQ599" s="37"/>
      <c r="AR599" s="37"/>
      <c r="AS599" s="37"/>
      <c r="AT599" s="37"/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</row>
    <row r="600" spans="1:56" ht="9.75" customHeight="1" x14ac:dyDescent="0.3">
      <c r="A600" s="34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6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6"/>
      <c r="AI600" s="16"/>
      <c r="AJ600" s="37"/>
      <c r="AK600" s="37"/>
      <c r="AL600" s="37"/>
      <c r="AM600" s="37"/>
      <c r="AN600" s="37"/>
      <c r="AO600" s="37"/>
      <c r="AP600" s="37"/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</row>
    <row r="601" spans="1:56" ht="9.75" customHeight="1" x14ac:dyDescent="0.3">
      <c r="A601" s="34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6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6"/>
      <c r="AI601" s="16"/>
      <c r="AJ601" s="37"/>
      <c r="AK601" s="37"/>
      <c r="AL601" s="37"/>
      <c r="AM601" s="37"/>
      <c r="AN601" s="37"/>
      <c r="AO601" s="37"/>
      <c r="AP601" s="37"/>
      <c r="AQ601" s="37"/>
      <c r="AR601" s="37"/>
      <c r="AS601" s="37"/>
      <c r="AT601" s="37"/>
      <c r="AU601" s="37"/>
      <c r="AV601" s="37"/>
      <c r="AW601" s="37"/>
      <c r="AX601" s="37"/>
      <c r="AY601" s="37"/>
      <c r="AZ601" s="37"/>
      <c r="BA601" s="37"/>
      <c r="BB601" s="37"/>
      <c r="BC601" s="37"/>
      <c r="BD601" s="37"/>
    </row>
    <row r="602" spans="1:56" ht="9.75" customHeight="1" x14ac:dyDescent="0.3">
      <c r="A602" s="34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6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6"/>
      <c r="AI602" s="16"/>
      <c r="AJ602" s="37"/>
      <c r="AK602" s="37"/>
      <c r="AL602" s="37"/>
      <c r="AM602" s="37"/>
      <c r="AN602" s="37"/>
      <c r="AO602" s="37"/>
      <c r="AP602" s="37"/>
      <c r="AQ602" s="37"/>
      <c r="AR602" s="37"/>
      <c r="AS602" s="37"/>
      <c r="AT602" s="37"/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</row>
    <row r="603" spans="1:56" ht="9.75" customHeight="1" x14ac:dyDescent="0.3">
      <c r="A603" s="34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6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6"/>
      <c r="AI603" s="16"/>
      <c r="AJ603" s="37"/>
      <c r="AK603" s="37"/>
      <c r="AL603" s="37"/>
      <c r="AM603" s="37"/>
      <c r="AN603" s="37"/>
      <c r="AO603" s="37"/>
      <c r="AP603" s="37"/>
      <c r="AQ603" s="37"/>
      <c r="AR603" s="37"/>
      <c r="AS603" s="37"/>
      <c r="AT603" s="37"/>
      <c r="AU603" s="37"/>
      <c r="AV603" s="37"/>
      <c r="AW603" s="37"/>
      <c r="AX603" s="37"/>
      <c r="AY603" s="37"/>
      <c r="AZ603" s="37"/>
      <c r="BA603" s="37"/>
      <c r="BB603" s="37"/>
      <c r="BC603" s="37"/>
      <c r="BD603" s="37"/>
    </row>
    <row r="604" spans="1:56" ht="9.75" customHeight="1" x14ac:dyDescent="0.3">
      <c r="A604" s="34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6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6"/>
      <c r="AI604" s="16"/>
      <c r="AJ604" s="37"/>
      <c r="AK604" s="37"/>
      <c r="AL604" s="37"/>
      <c r="AM604" s="37"/>
      <c r="AN604" s="37"/>
      <c r="AO604" s="37"/>
      <c r="AP604" s="37"/>
      <c r="AQ604" s="37"/>
      <c r="AR604" s="37"/>
      <c r="AS604" s="37"/>
      <c r="AT604" s="37"/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</row>
    <row r="605" spans="1:56" ht="9.75" customHeight="1" x14ac:dyDescent="0.3">
      <c r="A605" s="34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6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6"/>
      <c r="AI605" s="16"/>
      <c r="AJ605" s="37"/>
      <c r="AK605" s="37"/>
      <c r="AL605" s="37"/>
      <c r="AM605" s="37"/>
      <c r="AN605" s="37"/>
      <c r="AO605" s="37"/>
      <c r="AP605" s="37"/>
      <c r="AQ605" s="37"/>
      <c r="AR605" s="37"/>
      <c r="AS605" s="37"/>
      <c r="AT605" s="37"/>
      <c r="AU605" s="37"/>
      <c r="AV605" s="37"/>
      <c r="AW605" s="37"/>
      <c r="AX605" s="37"/>
      <c r="AY605" s="37"/>
      <c r="AZ605" s="37"/>
      <c r="BA605" s="37"/>
      <c r="BB605" s="37"/>
      <c r="BC605" s="37"/>
      <c r="BD605" s="37"/>
    </row>
    <row r="606" spans="1:56" ht="9.75" customHeight="1" x14ac:dyDescent="0.3">
      <c r="A606" s="34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6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6"/>
      <c r="AI606" s="16"/>
      <c r="AJ606" s="37"/>
      <c r="AK606" s="37"/>
      <c r="AL606" s="37"/>
      <c r="AM606" s="37"/>
      <c r="AN606" s="37"/>
      <c r="AO606" s="37"/>
      <c r="AP606" s="37"/>
      <c r="AQ606" s="37"/>
      <c r="AR606" s="37"/>
      <c r="AS606" s="37"/>
      <c r="AT606" s="37"/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</row>
    <row r="607" spans="1:56" ht="9.75" customHeight="1" x14ac:dyDescent="0.3">
      <c r="A607" s="34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6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6"/>
      <c r="AI607" s="16"/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</row>
    <row r="608" spans="1:56" ht="9.75" customHeight="1" x14ac:dyDescent="0.3">
      <c r="A608" s="34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6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6"/>
      <c r="AI608" s="16"/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</row>
    <row r="609" spans="1:56" ht="9.75" customHeight="1" x14ac:dyDescent="0.3">
      <c r="A609" s="34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6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6"/>
      <c r="AI609" s="16"/>
      <c r="AJ609" s="37"/>
      <c r="AK609" s="37"/>
      <c r="AL609" s="37"/>
      <c r="AM609" s="37"/>
      <c r="AN609" s="37"/>
      <c r="AO609" s="37"/>
      <c r="AP609" s="37"/>
      <c r="AQ609" s="37"/>
      <c r="AR609" s="37"/>
      <c r="AS609" s="37"/>
      <c r="AT609" s="37"/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</row>
    <row r="610" spans="1:56" ht="9.75" customHeight="1" x14ac:dyDescent="0.3">
      <c r="A610" s="34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6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6"/>
      <c r="AI610" s="16"/>
      <c r="AJ610" s="37"/>
      <c r="AK610" s="37"/>
      <c r="AL610" s="37"/>
      <c r="AM610" s="37"/>
      <c r="AN610" s="37"/>
      <c r="AO610" s="37"/>
      <c r="AP610" s="37"/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</row>
    <row r="611" spans="1:56" ht="9.75" customHeight="1" x14ac:dyDescent="0.3">
      <c r="A611" s="34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6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6"/>
      <c r="AI611" s="16"/>
      <c r="AJ611" s="37"/>
      <c r="AK611" s="37"/>
      <c r="AL611" s="37"/>
      <c r="AM611" s="37"/>
      <c r="AN611" s="37"/>
      <c r="AO611" s="37"/>
      <c r="AP611" s="37"/>
      <c r="AQ611" s="37"/>
      <c r="AR611" s="37"/>
      <c r="AS611" s="37"/>
      <c r="AT611" s="37"/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</row>
    <row r="612" spans="1:56" ht="9.75" customHeight="1" x14ac:dyDescent="0.3">
      <c r="A612" s="34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6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6"/>
      <c r="AI612" s="16"/>
      <c r="AJ612" s="37"/>
      <c r="AK612" s="37"/>
      <c r="AL612" s="37"/>
      <c r="AM612" s="37"/>
      <c r="AN612" s="37"/>
      <c r="AO612" s="37"/>
      <c r="AP612" s="37"/>
      <c r="AQ612" s="37"/>
      <c r="AR612" s="37"/>
      <c r="AS612" s="37"/>
      <c r="AT612" s="37"/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</row>
    <row r="613" spans="1:56" ht="9.75" customHeight="1" x14ac:dyDescent="0.3">
      <c r="A613" s="34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6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6"/>
      <c r="AI613" s="16"/>
      <c r="AJ613" s="37"/>
      <c r="AK613" s="37"/>
      <c r="AL613" s="37"/>
      <c r="AM613" s="37"/>
      <c r="AN613" s="37"/>
      <c r="AO613" s="37"/>
      <c r="AP613" s="37"/>
      <c r="AQ613" s="37"/>
      <c r="AR613" s="37"/>
      <c r="AS613" s="37"/>
      <c r="AT613" s="37"/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</row>
    <row r="614" spans="1:56" ht="9.75" customHeight="1" x14ac:dyDescent="0.3">
      <c r="A614" s="34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6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6"/>
      <c r="AI614" s="16"/>
      <c r="AJ614" s="37"/>
      <c r="AK614" s="37"/>
      <c r="AL614" s="37"/>
      <c r="AM614" s="37"/>
      <c r="AN614" s="37"/>
      <c r="AO614" s="37"/>
      <c r="AP614" s="37"/>
      <c r="AQ614" s="37"/>
      <c r="AR614" s="37"/>
      <c r="AS614" s="37"/>
      <c r="AT614" s="37"/>
      <c r="AU614" s="37"/>
      <c r="AV614" s="37"/>
      <c r="AW614" s="37"/>
      <c r="AX614" s="37"/>
      <c r="AY614" s="37"/>
      <c r="AZ614" s="37"/>
      <c r="BA614" s="37"/>
      <c r="BB614" s="37"/>
      <c r="BC614" s="37"/>
      <c r="BD614" s="37"/>
    </row>
    <row r="615" spans="1:56" ht="9.75" customHeight="1" x14ac:dyDescent="0.3">
      <c r="A615" s="34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6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6"/>
      <c r="AI615" s="16"/>
      <c r="AJ615" s="37"/>
      <c r="AK615" s="37"/>
      <c r="AL615" s="37"/>
      <c r="AM615" s="37"/>
      <c r="AN615" s="37"/>
      <c r="AO615" s="37"/>
      <c r="AP615" s="37"/>
      <c r="AQ615" s="37"/>
      <c r="AR615" s="37"/>
      <c r="AS615" s="37"/>
      <c r="AT615" s="37"/>
      <c r="AU615" s="37"/>
      <c r="AV615" s="37"/>
      <c r="AW615" s="37"/>
      <c r="AX615" s="37"/>
      <c r="AY615" s="37"/>
      <c r="AZ615" s="37"/>
      <c r="BA615" s="37"/>
      <c r="BB615" s="37"/>
      <c r="BC615" s="37"/>
      <c r="BD615" s="37"/>
    </row>
    <row r="616" spans="1:56" ht="9.75" customHeight="1" x14ac:dyDescent="0.3">
      <c r="A616" s="34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6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6"/>
      <c r="AI616" s="16"/>
      <c r="AJ616" s="37"/>
      <c r="AK616" s="37"/>
      <c r="AL616" s="37"/>
      <c r="AM616" s="37"/>
      <c r="AN616" s="37"/>
      <c r="AO616" s="37"/>
      <c r="AP616" s="37"/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</row>
    <row r="617" spans="1:56" ht="9.75" customHeight="1" x14ac:dyDescent="0.3">
      <c r="A617" s="34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6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6"/>
      <c r="AI617" s="16"/>
      <c r="AJ617" s="37"/>
      <c r="AK617" s="37"/>
      <c r="AL617" s="37"/>
      <c r="AM617" s="37"/>
      <c r="AN617" s="37"/>
      <c r="AO617" s="37"/>
      <c r="AP617" s="37"/>
      <c r="AQ617" s="37"/>
      <c r="AR617" s="37"/>
      <c r="AS617" s="37"/>
      <c r="AT617" s="37"/>
      <c r="AU617" s="37"/>
      <c r="AV617" s="37"/>
      <c r="AW617" s="37"/>
      <c r="AX617" s="37"/>
      <c r="AY617" s="37"/>
      <c r="AZ617" s="37"/>
      <c r="BA617" s="37"/>
      <c r="BB617" s="37"/>
      <c r="BC617" s="37"/>
      <c r="BD617" s="37"/>
    </row>
    <row r="618" spans="1:56" ht="9.75" customHeight="1" x14ac:dyDescent="0.3">
      <c r="A618" s="34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6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6"/>
      <c r="AI618" s="16"/>
      <c r="AJ618" s="37"/>
      <c r="AK618" s="37"/>
      <c r="AL618" s="37"/>
      <c r="AM618" s="37"/>
      <c r="AN618" s="37"/>
      <c r="AO618" s="37"/>
      <c r="AP618" s="37"/>
      <c r="AQ618" s="37"/>
      <c r="AR618" s="37"/>
      <c r="AS618" s="37"/>
      <c r="AT618" s="37"/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</row>
    <row r="619" spans="1:56" ht="9.75" customHeight="1" x14ac:dyDescent="0.3">
      <c r="A619" s="34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6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6"/>
      <c r="AI619" s="16"/>
      <c r="AJ619" s="37"/>
      <c r="AK619" s="37"/>
      <c r="AL619" s="37"/>
      <c r="AM619" s="37"/>
      <c r="AN619" s="37"/>
      <c r="AO619" s="37"/>
      <c r="AP619" s="37"/>
      <c r="AQ619" s="37"/>
      <c r="AR619" s="37"/>
      <c r="AS619" s="37"/>
      <c r="AT619" s="37"/>
      <c r="AU619" s="37"/>
      <c r="AV619" s="37"/>
      <c r="AW619" s="37"/>
      <c r="AX619" s="37"/>
      <c r="AY619" s="37"/>
      <c r="AZ619" s="37"/>
      <c r="BA619" s="37"/>
      <c r="BB619" s="37"/>
      <c r="BC619" s="37"/>
      <c r="BD619" s="37"/>
    </row>
    <row r="620" spans="1:56" ht="9.75" customHeight="1" x14ac:dyDescent="0.3">
      <c r="A620" s="34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6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6"/>
      <c r="AI620" s="16"/>
      <c r="AJ620" s="37"/>
      <c r="AK620" s="37"/>
      <c r="AL620" s="37"/>
      <c r="AM620" s="37"/>
      <c r="AN620" s="37"/>
      <c r="AO620" s="37"/>
      <c r="AP620" s="37"/>
      <c r="AQ620" s="37"/>
      <c r="AR620" s="37"/>
      <c r="AS620" s="37"/>
      <c r="AT620" s="37"/>
      <c r="AU620" s="37"/>
      <c r="AV620" s="37"/>
      <c r="AW620" s="37"/>
      <c r="AX620" s="37"/>
      <c r="AY620" s="37"/>
      <c r="AZ620" s="37"/>
      <c r="BA620" s="37"/>
      <c r="BB620" s="37"/>
      <c r="BC620" s="37"/>
      <c r="BD620" s="37"/>
    </row>
    <row r="621" spans="1:56" ht="9.75" customHeight="1" x14ac:dyDescent="0.3">
      <c r="A621" s="34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6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6"/>
      <c r="AI621" s="16"/>
      <c r="AJ621" s="37"/>
      <c r="AK621" s="37"/>
      <c r="AL621" s="37"/>
      <c r="AM621" s="37"/>
      <c r="AN621" s="37"/>
      <c r="AO621" s="37"/>
      <c r="AP621" s="37"/>
      <c r="AQ621" s="37"/>
      <c r="AR621" s="37"/>
      <c r="AS621" s="37"/>
      <c r="AT621" s="37"/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</row>
    <row r="622" spans="1:56" ht="9.75" customHeight="1" x14ac:dyDescent="0.3">
      <c r="A622" s="34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6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6"/>
      <c r="AI622" s="16"/>
      <c r="AJ622" s="37"/>
      <c r="AK622" s="37"/>
      <c r="AL622" s="37"/>
      <c r="AM622" s="37"/>
      <c r="AN622" s="37"/>
      <c r="AO622" s="37"/>
      <c r="AP622" s="37"/>
      <c r="AQ622" s="37"/>
      <c r="AR622" s="37"/>
      <c r="AS622" s="37"/>
      <c r="AT622" s="37"/>
      <c r="AU622" s="37"/>
      <c r="AV622" s="37"/>
      <c r="AW622" s="37"/>
      <c r="AX622" s="37"/>
      <c r="AY622" s="37"/>
      <c r="AZ622" s="37"/>
      <c r="BA622" s="37"/>
      <c r="BB622" s="37"/>
      <c r="BC622" s="37"/>
      <c r="BD622" s="37"/>
    </row>
    <row r="623" spans="1:56" ht="9.75" customHeight="1" x14ac:dyDescent="0.3">
      <c r="A623" s="34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6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6"/>
      <c r="AI623" s="16"/>
      <c r="AJ623" s="37"/>
      <c r="AK623" s="37"/>
      <c r="AL623" s="37"/>
      <c r="AM623" s="37"/>
      <c r="AN623" s="37"/>
      <c r="AO623" s="37"/>
      <c r="AP623" s="37"/>
      <c r="AQ623" s="37"/>
      <c r="AR623" s="37"/>
      <c r="AS623" s="37"/>
      <c r="AT623" s="37"/>
      <c r="AU623" s="37"/>
      <c r="AV623" s="37"/>
      <c r="AW623" s="37"/>
      <c r="AX623" s="37"/>
      <c r="AY623" s="37"/>
      <c r="AZ623" s="37"/>
      <c r="BA623" s="37"/>
      <c r="BB623" s="37"/>
      <c r="BC623" s="37"/>
      <c r="BD623" s="37"/>
    </row>
    <row r="624" spans="1:56" ht="9.75" customHeight="1" x14ac:dyDescent="0.3">
      <c r="A624" s="34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6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6"/>
      <c r="AI624" s="16"/>
      <c r="AJ624" s="37"/>
      <c r="AK624" s="37"/>
      <c r="AL624" s="37"/>
      <c r="AM624" s="37"/>
      <c r="AN624" s="37"/>
      <c r="AO624" s="37"/>
      <c r="AP624" s="37"/>
      <c r="AQ624" s="37"/>
      <c r="AR624" s="37"/>
      <c r="AS624" s="37"/>
      <c r="AT624" s="37"/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</row>
    <row r="625" spans="1:56" ht="9.75" customHeight="1" x14ac:dyDescent="0.3">
      <c r="A625" s="34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6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6"/>
      <c r="AI625" s="16"/>
      <c r="AJ625" s="37"/>
      <c r="AK625" s="37"/>
      <c r="AL625" s="37"/>
      <c r="AM625" s="37"/>
      <c r="AN625" s="37"/>
      <c r="AO625" s="37"/>
      <c r="AP625" s="37"/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</row>
    <row r="626" spans="1:56" ht="9.75" customHeight="1" x14ac:dyDescent="0.3">
      <c r="A626" s="34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6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6"/>
      <c r="AI626" s="16"/>
      <c r="AJ626" s="37"/>
      <c r="AK626" s="37"/>
      <c r="AL626" s="37"/>
      <c r="AM626" s="37"/>
      <c r="AN626" s="37"/>
      <c r="AO626" s="37"/>
      <c r="AP626" s="37"/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</row>
    <row r="627" spans="1:56" ht="9.75" customHeight="1" x14ac:dyDescent="0.3">
      <c r="A627" s="34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6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6"/>
      <c r="AI627" s="16"/>
      <c r="AJ627" s="37"/>
      <c r="AK627" s="37"/>
      <c r="AL627" s="37"/>
      <c r="AM627" s="37"/>
      <c r="AN627" s="37"/>
      <c r="AO627" s="37"/>
      <c r="AP627" s="37"/>
      <c r="AQ627" s="37"/>
      <c r="AR627" s="37"/>
      <c r="AS627" s="37"/>
      <c r="AT627" s="37"/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</row>
    <row r="628" spans="1:56" ht="9.75" customHeight="1" x14ac:dyDescent="0.3">
      <c r="A628" s="34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6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6"/>
      <c r="AI628" s="16"/>
      <c r="AJ628" s="37"/>
      <c r="AK628" s="37"/>
      <c r="AL628" s="37"/>
      <c r="AM628" s="37"/>
      <c r="AN628" s="37"/>
      <c r="AO628" s="37"/>
      <c r="AP628" s="37"/>
      <c r="AQ628" s="37"/>
      <c r="AR628" s="37"/>
      <c r="AS628" s="37"/>
      <c r="AT628" s="37"/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</row>
    <row r="629" spans="1:56" ht="9.75" customHeight="1" x14ac:dyDescent="0.3">
      <c r="A629" s="34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6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6"/>
      <c r="AI629" s="16"/>
      <c r="AJ629" s="37"/>
      <c r="AK629" s="37"/>
      <c r="AL629" s="37"/>
      <c r="AM629" s="37"/>
      <c r="AN629" s="37"/>
      <c r="AO629" s="37"/>
      <c r="AP629" s="37"/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</row>
    <row r="630" spans="1:56" ht="9.75" customHeight="1" x14ac:dyDescent="0.3">
      <c r="A630" s="34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6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6"/>
      <c r="AI630" s="16"/>
      <c r="AJ630" s="37"/>
      <c r="AK630" s="37"/>
      <c r="AL630" s="37"/>
      <c r="AM630" s="37"/>
      <c r="AN630" s="37"/>
      <c r="AO630" s="37"/>
      <c r="AP630" s="37"/>
      <c r="AQ630" s="37"/>
      <c r="AR630" s="37"/>
      <c r="AS630" s="37"/>
      <c r="AT630" s="37"/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</row>
    <row r="631" spans="1:56" ht="9.75" customHeight="1" x14ac:dyDescent="0.3">
      <c r="A631" s="34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6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6"/>
      <c r="AI631" s="16"/>
      <c r="AJ631" s="37"/>
      <c r="AK631" s="37"/>
      <c r="AL631" s="37"/>
      <c r="AM631" s="37"/>
      <c r="AN631" s="37"/>
      <c r="AO631" s="37"/>
      <c r="AP631" s="37"/>
      <c r="AQ631" s="37"/>
      <c r="AR631" s="37"/>
      <c r="AS631" s="37"/>
      <c r="AT631" s="37"/>
      <c r="AU631" s="37"/>
      <c r="AV631" s="37"/>
      <c r="AW631" s="37"/>
      <c r="AX631" s="37"/>
      <c r="AY631" s="37"/>
      <c r="AZ631" s="37"/>
      <c r="BA631" s="37"/>
      <c r="BB631" s="37"/>
      <c r="BC631" s="37"/>
      <c r="BD631" s="37"/>
    </row>
    <row r="632" spans="1:56" ht="9.75" customHeight="1" x14ac:dyDescent="0.3">
      <c r="A632" s="34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6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6"/>
      <c r="AI632" s="16"/>
      <c r="AJ632" s="37"/>
      <c r="AK632" s="37"/>
      <c r="AL632" s="37"/>
      <c r="AM632" s="37"/>
      <c r="AN632" s="37"/>
      <c r="AO632" s="37"/>
      <c r="AP632" s="37"/>
      <c r="AQ632" s="37"/>
      <c r="AR632" s="37"/>
      <c r="AS632" s="37"/>
      <c r="AT632" s="37"/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</row>
    <row r="633" spans="1:56" ht="9.75" customHeight="1" x14ac:dyDescent="0.3">
      <c r="A633" s="34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6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6"/>
      <c r="AI633" s="16"/>
      <c r="AJ633" s="37"/>
      <c r="AK633" s="37"/>
      <c r="AL633" s="37"/>
      <c r="AM633" s="37"/>
      <c r="AN633" s="37"/>
      <c r="AO633" s="37"/>
      <c r="AP633" s="37"/>
      <c r="AQ633" s="37"/>
      <c r="AR633" s="37"/>
      <c r="AS633" s="37"/>
      <c r="AT633" s="37"/>
      <c r="AU633" s="37"/>
      <c r="AV633" s="37"/>
      <c r="AW633" s="37"/>
      <c r="AX633" s="37"/>
      <c r="AY633" s="37"/>
      <c r="AZ633" s="37"/>
      <c r="BA633" s="37"/>
      <c r="BB633" s="37"/>
      <c r="BC633" s="37"/>
      <c r="BD633" s="37"/>
    </row>
    <row r="634" spans="1:56" ht="9.75" customHeight="1" x14ac:dyDescent="0.3">
      <c r="A634" s="34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6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6"/>
      <c r="AI634" s="16"/>
      <c r="AJ634" s="37"/>
      <c r="AK634" s="37"/>
      <c r="AL634" s="37"/>
      <c r="AM634" s="37"/>
      <c r="AN634" s="37"/>
      <c r="AO634" s="37"/>
      <c r="AP634" s="37"/>
      <c r="AQ634" s="37"/>
      <c r="AR634" s="37"/>
      <c r="AS634" s="37"/>
      <c r="AT634" s="37"/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</row>
    <row r="635" spans="1:56" ht="9.75" customHeight="1" x14ac:dyDescent="0.3">
      <c r="A635" s="34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6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6"/>
      <c r="AI635" s="16"/>
      <c r="AJ635" s="37"/>
      <c r="AK635" s="37"/>
      <c r="AL635" s="37"/>
      <c r="AM635" s="37"/>
      <c r="AN635" s="37"/>
      <c r="AO635" s="37"/>
      <c r="AP635" s="37"/>
      <c r="AQ635" s="37"/>
      <c r="AR635" s="37"/>
      <c r="AS635" s="37"/>
      <c r="AT635" s="37"/>
      <c r="AU635" s="37"/>
      <c r="AV635" s="37"/>
      <c r="AW635" s="37"/>
      <c r="AX635" s="37"/>
      <c r="AY635" s="37"/>
      <c r="AZ635" s="37"/>
      <c r="BA635" s="37"/>
      <c r="BB635" s="37"/>
      <c r="BC635" s="37"/>
      <c r="BD635" s="37"/>
    </row>
    <row r="636" spans="1:56" ht="9.75" customHeight="1" x14ac:dyDescent="0.3">
      <c r="A636" s="34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6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6"/>
      <c r="AI636" s="16"/>
      <c r="AJ636" s="37"/>
      <c r="AK636" s="37"/>
      <c r="AL636" s="37"/>
      <c r="AM636" s="37"/>
      <c r="AN636" s="37"/>
      <c r="AO636" s="37"/>
      <c r="AP636" s="37"/>
      <c r="AQ636" s="37"/>
      <c r="AR636" s="37"/>
      <c r="AS636" s="37"/>
      <c r="AT636" s="37"/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</row>
    <row r="637" spans="1:56" ht="9.75" customHeight="1" x14ac:dyDescent="0.3">
      <c r="A637" s="34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6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6"/>
      <c r="AI637" s="16"/>
      <c r="AJ637" s="37"/>
      <c r="AK637" s="37"/>
      <c r="AL637" s="37"/>
      <c r="AM637" s="37"/>
      <c r="AN637" s="37"/>
      <c r="AO637" s="37"/>
      <c r="AP637" s="37"/>
      <c r="AQ637" s="37"/>
      <c r="AR637" s="37"/>
      <c r="AS637" s="37"/>
      <c r="AT637" s="37"/>
      <c r="AU637" s="37"/>
      <c r="AV637" s="37"/>
      <c r="AW637" s="37"/>
      <c r="AX637" s="37"/>
      <c r="AY637" s="37"/>
      <c r="AZ637" s="37"/>
      <c r="BA637" s="37"/>
      <c r="BB637" s="37"/>
      <c r="BC637" s="37"/>
      <c r="BD637" s="37"/>
    </row>
    <row r="638" spans="1:56" ht="9.75" customHeight="1" x14ac:dyDescent="0.3">
      <c r="A638" s="34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6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6"/>
      <c r="AI638" s="16"/>
      <c r="AJ638" s="37"/>
      <c r="AK638" s="37"/>
      <c r="AL638" s="37"/>
      <c r="AM638" s="37"/>
      <c r="AN638" s="37"/>
      <c r="AO638" s="37"/>
      <c r="AP638" s="37"/>
      <c r="AQ638" s="37"/>
      <c r="AR638" s="37"/>
      <c r="AS638" s="37"/>
      <c r="AT638" s="37"/>
      <c r="AU638" s="37"/>
      <c r="AV638" s="37"/>
      <c r="AW638" s="37"/>
      <c r="AX638" s="37"/>
      <c r="AY638" s="37"/>
      <c r="AZ638" s="37"/>
      <c r="BA638" s="37"/>
      <c r="BB638" s="37"/>
      <c r="BC638" s="37"/>
      <c r="BD638" s="37"/>
    </row>
    <row r="639" spans="1:56" ht="9.75" customHeight="1" x14ac:dyDescent="0.3">
      <c r="A639" s="34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6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6"/>
      <c r="AI639" s="16"/>
      <c r="AJ639" s="37"/>
      <c r="AK639" s="37"/>
      <c r="AL639" s="37"/>
      <c r="AM639" s="37"/>
      <c r="AN639" s="37"/>
      <c r="AO639" s="37"/>
      <c r="AP639" s="37"/>
      <c r="AQ639" s="37"/>
      <c r="AR639" s="37"/>
      <c r="AS639" s="37"/>
      <c r="AT639" s="37"/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</row>
    <row r="640" spans="1:56" ht="9.75" customHeight="1" x14ac:dyDescent="0.3">
      <c r="A640" s="34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6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6"/>
      <c r="AI640" s="16"/>
      <c r="AJ640" s="37"/>
      <c r="AK640" s="37"/>
      <c r="AL640" s="37"/>
      <c r="AM640" s="37"/>
      <c r="AN640" s="37"/>
      <c r="AO640" s="37"/>
      <c r="AP640" s="37"/>
      <c r="AQ640" s="37"/>
      <c r="AR640" s="37"/>
      <c r="AS640" s="37"/>
      <c r="AT640" s="37"/>
      <c r="AU640" s="37"/>
      <c r="AV640" s="37"/>
      <c r="AW640" s="37"/>
      <c r="AX640" s="37"/>
      <c r="AY640" s="37"/>
      <c r="AZ640" s="37"/>
      <c r="BA640" s="37"/>
      <c r="BB640" s="37"/>
      <c r="BC640" s="37"/>
      <c r="BD640" s="37"/>
    </row>
    <row r="641" spans="1:56" ht="9.75" customHeight="1" x14ac:dyDescent="0.3">
      <c r="A641" s="34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6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6"/>
      <c r="AI641" s="16"/>
      <c r="AJ641" s="37"/>
      <c r="AK641" s="37"/>
      <c r="AL641" s="37"/>
      <c r="AM641" s="37"/>
      <c r="AN641" s="37"/>
      <c r="AO641" s="37"/>
      <c r="AP641" s="37"/>
      <c r="AQ641" s="37"/>
      <c r="AR641" s="37"/>
      <c r="AS641" s="37"/>
      <c r="AT641" s="37"/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</row>
    <row r="642" spans="1:56" ht="9.75" customHeight="1" x14ac:dyDescent="0.3">
      <c r="A642" s="34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6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6"/>
      <c r="AI642" s="16"/>
      <c r="AJ642" s="37"/>
      <c r="AK642" s="37"/>
      <c r="AL642" s="37"/>
      <c r="AM642" s="37"/>
      <c r="AN642" s="37"/>
      <c r="AO642" s="37"/>
      <c r="AP642" s="37"/>
      <c r="AQ642" s="37"/>
      <c r="AR642" s="37"/>
      <c r="AS642" s="37"/>
      <c r="AT642" s="37"/>
      <c r="AU642" s="37"/>
      <c r="AV642" s="37"/>
      <c r="AW642" s="37"/>
      <c r="AX642" s="37"/>
      <c r="AY642" s="37"/>
      <c r="AZ642" s="37"/>
      <c r="BA642" s="37"/>
      <c r="BB642" s="37"/>
      <c r="BC642" s="37"/>
      <c r="BD642" s="37"/>
    </row>
    <row r="643" spans="1:56" ht="9.75" customHeight="1" x14ac:dyDescent="0.3">
      <c r="A643" s="34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6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6"/>
      <c r="AI643" s="16"/>
      <c r="AJ643" s="37"/>
      <c r="AK643" s="37"/>
      <c r="AL643" s="37"/>
      <c r="AM643" s="37"/>
      <c r="AN643" s="37"/>
      <c r="AO643" s="37"/>
      <c r="AP643" s="37"/>
      <c r="AQ643" s="37"/>
      <c r="AR643" s="37"/>
      <c r="AS643" s="37"/>
      <c r="AT643" s="37"/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</row>
    <row r="644" spans="1:56" ht="9.75" customHeight="1" x14ac:dyDescent="0.3">
      <c r="A644" s="34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6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6"/>
      <c r="AI644" s="16"/>
      <c r="AJ644" s="37"/>
      <c r="AK644" s="37"/>
      <c r="AL644" s="37"/>
      <c r="AM644" s="37"/>
      <c r="AN644" s="37"/>
      <c r="AO644" s="37"/>
      <c r="AP644" s="37"/>
      <c r="AQ644" s="37"/>
      <c r="AR644" s="37"/>
      <c r="AS644" s="37"/>
      <c r="AT644" s="37"/>
      <c r="AU644" s="37"/>
      <c r="AV644" s="37"/>
      <c r="AW644" s="37"/>
      <c r="AX644" s="37"/>
      <c r="AY644" s="37"/>
      <c r="AZ644" s="37"/>
      <c r="BA644" s="37"/>
      <c r="BB644" s="37"/>
      <c r="BC644" s="37"/>
      <c r="BD644" s="37"/>
    </row>
    <row r="645" spans="1:56" ht="9.75" customHeight="1" x14ac:dyDescent="0.3">
      <c r="A645" s="34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6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6"/>
      <c r="AI645" s="16"/>
      <c r="AJ645" s="37"/>
      <c r="AK645" s="37"/>
      <c r="AL645" s="37"/>
      <c r="AM645" s="37"/>
      <c r="AN645" s="37"/>
      <c r="AO645" s="37"/>
      <c r="AP645" s="37"/>
      <c r="AQ645" s="37"/>
      <c r="AR645" s="37"/>
      <c r="AS645" s="37"/>
      <c r="AT645" s="37"/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</row>
    <row r="646" spans="1:56" ht="9.75" customHeight="1" x14ac:dyDescent="0.3">
      <c r="A646" s="34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6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6"/>
      <c r="AI646" s="16"/>
      <c r="AJ646" s="37"/>
      <c r="AK646" s="37"/>
      <c r="AL646" s="37"/>
      <c r="AM646" s="37"/>
      <c r="AN646" s="37"/>
      <c r="AO646" s="37"/>
      <c r="AP646" s="37"/>
      <c r="AQ646" s="37"/>
      <c r="AR646" s="37"/>
      <c r="AS646" s="37"/>
      <c r="AT646" s="37"/>
      <c r="AU646" s="37"/>
      <c r="AV646" s="37"/>
      <c r="AW646" s="37"/>
      <c r="AX646" s="37"/>
      <c r="AY646" s="37"/>
      <c r="AZ646" s="37"/>
      <c r="BA646" s="37"/>
      <c r="BB646" s="37"/>
      <c r="BC646" s="37"/>
      <c r="BD646" s="37"/>
    </row>
    <row r="647" spans="1:56" ht="9.75" customHeight="1" x14ac:dyDescent="0.3">
      <c r="A647" s="34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6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6"/>
      <c r="AI647" s="16"/>
      <c r="AJ647" s="37"/>
      <c r="AK647" s="37"/>
      <c r="AL647" s="37"/>
      <c r="AM647" s="37"/>
      <c r="AN647" s="37"/>
      <c r="AO647" s="37"/>
      <c r="AP647" s="37"/>
      <c r="AQ647" s="37"/>
      <c r="AR647" s="37"/>
      <c r="AS647" s="37"/>
      <c r="AT647" s="37"/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</row>
    <row r="648" spans="1:56" ht="9.75" customHeight="1" x14ac:dyDescent="0.3">
      <c r="A648" s="34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6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6"/>
      <c r="AI648" s="16"/>
      <c r="AJ648" s="37"/>
      <c r="AK648" s="37"/>
      <c r="AL648" s="37"/>
      <c r="AM648" s="37"/>
      <c r="AN648" s="37"/>
      <c r="AO648" s="37"/>
      <c r="AP648" s="37"/>
      <c r="AQ648" s="37"/>
      <c r="AR648" s="37"/>
      <c r="AS648" s="37"/>
      <c r="AT648" s="37"/>
      <c r="AU648" s="37"/>
      <c r="AV648" s="37"/>
      <c r="AW648" s="37"/>
      <c r="AX648" s="37"/>
      <c r="AY648" s="37"/>
      <c r="AZ648" s="37"/>
      <c r="BA648" s="37"/>
      <c r="BB648" s="37"/>
      <c r="BC648" s="37"/>
      <c r="BD648" s="37"/>
    </row>
    <row r="649" spans="1:56" ht="9.75" customHeight="1" x14ac:dyDescent="0.3">
      <c r="A649" s="34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6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6"/>
      <c r="AI649" s="16"/>
      <c r="AJ649" s="37"/>
      <c r="AK649" s="37"/>
      <c r="AL649" s="37"/>
      <c r="AM649" s="37"/>
      <c r="AN649" s="37"/>
      <c r="AO649" s="37"/>
      <c r="AP649" s="37"/>
      <c r="AQ649" s="37"/>
      <c r="AR649" s="37"/>
      <c r="AS649" s="37"/>
      <c r="AT649" s="37"/>
      <c r="AU649" s="37"/>
      <c r="AV649" s="37"/>
      <c r="AW649" s="37"/>
      <c r="AX649" s="37"/>
      <c r="AY649" s="37"/>
      <c r="AZ649" s="37"/>
      <c r="BA649" s="37"/>
      <c r="BB649" s="37"/>
      <c r="BC649" s="37"/>
      <c r="BD649" s="37"/>
    </row>
    <row r="650" spans="1:56" ht="9.75" customHeight="1" x14ac:dyDescent="0.3">
      <c r="A650" s="34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6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6"/>
      <c r="AI650" s="16"/>
      <c r="AJ650" s="37"/>
      <c r="AK650" s="37"/>
      <c r="AL650" s="37"/>
      <c r="AM650" s="37"/>
      <c r="AN650" s="37"/>
      <c r="AO650" s="37"/>
      <c r="AP650" s="37"/>
      <c r="AQ650" s="37"/>
      <c r="AR650" s="37"/>
      <c r="AS650" s="37"/>
      <c r="AT650" s="37"/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</row>
    <row r="651" spans="1:56" ht="9.75" customHeight="1" x14ac:dyDescent="0.3">
      <c r="A651" s="34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6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6"/>
      <c r="AI651" s="16"/>
      <c r="AJ651" s="37"/>
      <c r="AK651" s="37"/>
      <c r="AL651" s="37"/>
      <c r="AM651" s="37"/>
      <c r="AN651" s="37"/>
      <c r="AO651" s="37"/>
      <c r="AP651" s="37"/>
      <c r="AQ651" s="37"/>
      <c r="AR651" s="37"/>
      <c r="AS651" s="37"/>
      <c r="AT651" s="37"/>
      <c r="AU651" s="37"/>
      <c r="AV651" s="37"/>
      <c r="AW651" s="37"/>
      <c r="AX651" s="37"/>
      <c r="AY651" s="37"/>
      <c r="AZ651" s="37"/>
      <c r="BA651" s="37"/>
      <c r="BB651" s="37"/>
      <c r="BC651" s="37"/>
      <c r="BD651" s="37"/>
    </row>
    <row r="652" spans="1:56" ht="9.75" customHeight="1" x14ac:dyDescent="0.3">
      <c r="A652" s="34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6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6"/>
      <c r="AI652" s="16"/>
      <c r="AJ652" s="37"/>
      <c r="AK652" s="37"/>
      <c r="AL652" s="37"/>
      <c r="AM652" s="37"/>
      <c r="AN652" s="37"/>
      <c r="AO652" s="37"/>
      <c r="AP652" s="37"/>
      <c r="AQ652" s="37"/>
      <c r="AR652" s="37"/>
      <c r="AS652" s="37"/>
      <c r="AT652" s="37"/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</row>
    <row r="653" spans="1:56" ht="9.75" customHeight="1" x14ac:dyDescent="0.3">
      <c r="A653" s="34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6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6"/>
      <c r="AI653" s="16"/>
      <c r="AJ653" s="37"/>
      <c r="AK653" s="37"/>
      <c r="AL653" s="37"/>
      <c r="AM653" s="37"/>
      <c r="AN653" s="37"/>
      <c r="AO653" s="37"/>
      <c r="AP653" s="37"/>
      <c r="AQ653" s="37"/>
      <c r="AR653" s="37"/>
      <c r="AS653" s="37"/>
      <c r="AT653" s="37"/>
      <c r="AU653" s="37"/>
      <c r="AV653" s="37"/>
      <c r="AW653" s="37"/>
      <c r="AX653" s="37"/>
      <c r="AY653" s="37"/>
      <c r="AZ653" s="37"/>
      <c r="BA653" s="37"/>
      <c r="BB653" s="37"/>
      <c r="BC653" s="37"/>
      <c r="BD653" s="37"/>
    </row>
    <row r="654" spans="1:56" ht="9.75" customHeight="1" x14ac:dyDescent="0.3">
      <c r="A654" s="34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6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6"/>
      <c r="AI654" s="16"/>
      <c r="AJ654" s="37"/>
      <c r="AK654" s="37"/>
      <c r="AL654" s="37"/>
      <c r="AM654" s="37"/>
      <c r="AN654" s="37"/>
      <c r="AO654" s="37"/>
      <c r="AP654" s="37"/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</row>
    <row r="655" spans="1:56" ht="9.75" customHeight="1" x14ac:dyDescent="0.3">
      <c r="A655" s="34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6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6"/>
      <c r="AI655" s="16"/>
      <c r="AJ655" s="37"/>
      <c r="AK655" s="37"/>
      <c r="AL655" s="37"/>
      <c r="AM655" s="37"/>
      <c r="AN655" s="37"/>
      <c r="AO655" s="37"/>
      <c r="AP655" s="37"/>
      <c r="AQ655" s="37"/>
      <c r="AR655" s="37"/>
      <c r="AS655" s="37"/>
      <c r="AT655" s="37"/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</row>
    <row r="656" spans="1:56" ht="9.75" customHeight="1" x14ac:dyDescent="0.3">
      <c r="A656" s="34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6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6"/>
      <c r="AI656" s="16"/>
      <c r="AJ656" s="37"/>
      <c r="AK656" s="37"/>
      <c r="AL656" s="37"/>
      <c r="AM656" s="37"/>
      <c r="AN656" s="37"/>
      <c r="AO656" s="37"/>
      <c r="AP656" s="37"/>
      <c r="AQ656" s="37"/>
      <c r="AR656" s="37"/>
      <c r="AS656" s="37"/>
      <c r="AT656" s="37"/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</row>
    <row r="657" spans="1:56" ht="9.75" customHeight="1" x14ac:dyDescent="0.3">
      <c r="A657" s="34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6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6"/>
      <c r="AI657" s="16"/>
      <c r="AJ657" s="37"/>
      <c r="AK657" s="37"/>
      <c r="AL657" s="37"/>
      <c r="AM657" s="37"/>
      <c r="AN657" s="37"/>
      <c r="AO657" s="37"/>
      <c r="AP657" s="37"/>
      <c r="AQ657" s="37"/>
      <c r="AR657" s="37"/>
      <c r="AS657" s="37"/>
      <c r="AT657" s="37"/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</row>
    <row r="658" spans="1:56" ht="9.75" customHeight="1" x14ac:dyDescent="0.3">
      <c r="A658" s="34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6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6"/>
      <c r="AI658" s="16"/>
      <c r="AJ658" s="37"/>
      <c r="AK658" s="37"/>
      <c r="AL658" s="37"/>
      <c r="AM658" s="37"/>
      <c r="AN658" s="37"/>
      <c r="AO658" s="37"/>
      <c r="AP658" s="37"/>
      <c r="AQ658" s="37"/>
      <c r="AR658" s="37"/>
      <c r="AS658" s="37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</row>
    <row r="659" spans="1:56" ht="9.75" customHeight="1" x14ac:dyDescent="0.3">
      <c r="A659" s="34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6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6"/>
      <c r="AI659" s="16"/>
      <c r="AJ659" s="37"/>
      <c r="AK659" s="37"/>
      <c r="AL659" s="37"/>
      <c r="AM659" s="37"/>
      <c r="AN659" s="37"/>
      <c r="AO659" s="37"/>
      <c r="AP659" s="37"/>
      <c r="AQ659" s="37"/>
      <c r="AR659" s="37"/>
      <c r="AS659" s="37"/>
      <c r="AT659" s="37"/>
      <c r="AU659" s="37"/>
      <c r="AV659" s="37"/>
      <c r="AW659" s="37"/>
      <c r="AX659" s="37"/>
      <c r="AY659" s="37"/>
      <c r="AZ659" s="37"/>
      <c r="BA659" s="37"/>
      <c r="BB659" s="37"/>
      <c r="BC659" s="37"/>
      <c r="BD659" s="37"/>
    </row>
    <row r="660" spans="1:56" ht="9.75" customHeight="1" x14ac:dyDescent="0.3">
      <c r="A660" s="34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6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6"/>
      <c r="AI660" s="16"/>
      <c r="AJ660" s="37"/>
      <c r="AK660" s="37"/>
      <c r="AL660" s="37"/>
      <c r="AM660" s="37"/>
      <c r="AN660" s="37"/>
      <c r="AO660" s="37"/>
      <c r="AP660" s="37"/>
      <c r="AQ660" s="37"/>
      <c r="AR660" s="37"/>
      <c r="AS660" s="37"/>
      <c r="AT660" s="37"/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</row>
    <row r="661" spans="1:56" ht="9.75" customHeight="1" x14ac:dyDescent="0.3">
      <c r="A661" s="34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6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6"/>
      <c r="AI661" s="16"/>
      <c r="AJ661" s="37"/>
      <c r="AK661" s="37"/>
      <c r="AL661" s="37"/>
      <c r="AM661" s="37"/>
      <c r="AN661" s="37"/>
      <c r="AO661" s="37"/>
      <c r="AP661" s="37"/>
      <c r="AQ661" s="37"/>
      <c r="AR661" s="37"/>
      <c r="AS661" s="37"/>
      <c r="AT661" s="37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</row>
    <row r="662" spans="1:56" ht="9.75" customHeight="1" x14ac:dyDescent="0.3">
      <c r="A662" s="34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6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6"/>
      <c r="AI662" s="16"/>
      <c r="AJ662" s="37"/>
      <c r="AK662" s="37"/>
      <c r="AL662" s="37"/>
      <c r="AM662" s="37"/>
      <c r="AN662" s="37"/>
      <c r="AO662" s="37"/>
      <c r="AP662" s="37"/>
      <c r="AQ662" s="37"/>
      <c r="AR662" s="37"/>
      <c r="AS662" s="37"/>
      <c r="AT662" s="37"/>
      <c r="AU662" s="37"/>
      <c r="AV662" s="37"/>
      <c r="AW662" s="37"/>
      <c r="AX662" s="37"/>
      <c r="AY662" s="37"/>
      <c r="AZ662" s="37"/>
      <c r="BA662" s="37"/>
      <c r="BB662" s="37"/>
      <c r="BC662" s="37"/>
      <c r="BD662" s="37"/>
    </row>
    <row r="663" spans="1:56" ht="9.75" customHeight="1" x14ac:dyDescent="0.3">
      <c r="A663" s="34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6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6"/>
      <c r="AI663" s="16"/>
      <c r="AJ663" s="37"/>
      <c r="AK663" s="37"/>
      <c r="AL663" s="37"/>
      <c r="AM663" s="37"/>
      <c r="AN663" s="37"/>
      <c r="AO663" s="37"/>
      <c r="AP663" s="37"/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</row>
    <row r="664" spans="1:56" ht="9.75" customHeight="1" x14ac:dyDescent="0.3">
      <c r="A664" s="34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6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6"/>
      <c r="AI664" s="16"/>
      <c r="AJ664" s="37"/>
      <c r="AK664" s="37"/>
      <c r="AL664" s="37"/>
      <c r="AM664" s="37"/>
      <c r="AN664" s="37"/>
      <c r="AO664" s="37"/>
      <c r="AP664" s="37"/>
      <c r="AQ664" s="37"/>
      <c r="AR664" s="37"/>
      <c r="AS664" s="37"/>
      <c r="AT664" s="37"/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</row>
    <row r="665" spans="1:56" ht="9.75" customHeight="1" x14ac:dyDescent="0.3">
      <c r="A665" s="34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6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6"/>
      <c r="AI665" s="16"/>
      <c r="AJ665" s="37"/>
      <c r="AK665" s="37"/>
      <c r="AL665" s="37"/>
      <c r="AM665" s="37"/>
      <c r="AN665" s="37"/>
      <c r="AO665" s="37"/>
      <c r="AP665" s="37"/>
      <c r="AQ665" s="37"/>
      <c r="AR665" s="37"/>
      <c r="AS665" s="37"/>
      <c r="AT665" s="37"/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</row>
    <row r="666" spans="1:56" ht="9.75" customHeight="1" x14ac:dyDescent="0.3">
      <c r="A666" s="34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6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6"/>
      <c r="AI666" s="16"/>
      <c r="AJ666" s="37"/>
      <c r="AK666" s="37"/>
      <c r="AL666" s="37"/>
      <c r="AM666" s="37"/>
      <c r="AN666" s="37"/>
      <c r="AO666" s="37"/>
      <c r="AP666" s="37"/>
      <c r="AQ666" s="37"/>
      <c r="AR666" s="37"/>
      <c r="AS666" s="37"/>
      <c r="AT666" s="37"/>
      <c r="AU666" s="37"/>
      <c r="AV666" s="37"/>
      <c r="AW666" s="37"/>
      <c r="AX666" s="37"/>
      <c r="AY666" s="37"/>
      <c r="AZ666" s="37"/>
      <c r="BA666" s="37"/>
      <c r="BB666" s="37"/>
      <c r="BC666" s="37"/>
      <c r="BD666" s="37"/>
    </row>
    <row r="667" spans="1:56" ht="9.75" customHeight="1" x14ac:dyDescent="0.3">
      <c r="A667" s="34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6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6"/>
      <c r="AI667" s="16"/>
      <c r="AJ667" s="37"/>
      <c r="AK667" s="37"/>
      <c r="AL667" s="37"/>
      <c r="AM667" s="37"/>
      <c r="AN667" s="37"/>
      <c r="AO667" s="37"/>
      <c r="AP667" s="37"/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</row>
    <row r="668" spans="1:56" ht="9.75" customHeight="1" x14ac:dyDescent="0.3">
      <c r="A668" s="34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6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6"/>
      <c r="AI668" s="16"/>
      <c r="AJ668" s="37"/>
      <c r="AK668" s="37"/>
      <c r="AL668" s="37"/>
      <c r="AM668" s="37"/>
      <c r="AN668" s="37"/>
      <c r="AO668" s="37"/>
      <c r="AP668" s="37"/>
      <c r="AQ668" s="37"/>
      <c r="AR668" s="37"/>
      <c r="AS668" s="37"/>
      <c r="AT668" s="37"/>
      <c r="AU668" s="37"/>
      <c r="AV668" s="37"/>
      <c r="AW668" s="37"/>
      <c r="AX668" s="37"/>
      <c r="AY668" s="37"/>
      <c r="AZ668" s="37"/>
      <c r="BA668" s="37"/>
      <c r="BB668" s="37"/>
      <c r="BC668" s="37"/>
      <c r="BD668" s="37"/>
    </row>
    <row r="669" spans="1:56" ht="9.75" customHeight="1" x14ac:dyDescent="0.3">
      <c r="A669" s="34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6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6"/>
      <c r="AI669" s="16"/>
      <c r="AJ669" s="37"/>
      <c r="AK669" s="37"/>
      <c r="AL669" s="37"/>
      <c r="AM669" s="37"/>
      <c r="AN669" s="37"/>
      <c r="AO669" s="37"/>
      <c r="AP669" s="37"/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</row>
    <row r="670" spans="1:56" ht="9.75" customHeight="1" x14ac:dyDescent="0.3">
      <c r="A670" s="34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6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6"/>
      <c r="AI670" s="16"/>
      <c r="AJ670" s="37"/>
      <c r="AK670" s="37"/>
      <c r="AL670" s="37"/>
      <c r="AM670" s="37"/>
      <c r="AN670" s="37"/>
      <c r="AO670" s="37"/>
      <c r="AP670" s="37"/>
      <c r="AQ670" s="37"/>
      <c r="AR670" s="37"/>
      <c r="AS670" s="37"/>
      <c r="AT670" s="37"/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</row>
    <row r="671" spans="1:56" ht="9.75" customHeight="1" x14ac:dyDescent="0.3">
      <c r="A671" s="34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6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6"/>
      <c r="AI671" s="16"/>
      <c r="AJ671" s="37"/>
      <c r="AK671" s="37"/>
      <c r="AL671" s="37"/>
      <c r="AM671" s="37"/>
      <c r="AN671" s="37"/>
      <c r="AO671" s="37"/>
      <c r="AP671" s="37"/>
      <c r="AQ671" s="37"/>
      <c r="AR671" s="37"/>
      <c r="AS671" s="37"/>
      <c r="AT671" s="37"/>
      <c r="AU671" s="37"/>
      <c r="AV671" s="37"/>
      <c r="AW671" s="37"/>
      <c r="AX671" s="37"/>
      <c r="AY671" s="37"/>
      <c r="AZ671" s="37"/>
      <c r="BA671" s="37"/>
      <c r="BB671" s="37"/>
      <c r="BC671" s="37"/>
      <c r="BD671" s="37"/>
    </row>
    <row r="672" spans="1:56" ht="9.75" customHeight="1" x14ac:dyDescent="0.3">
      <c r="A672" s="34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6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6"/>
      <c r="AI672" s="16"/>
      <c r="AJ672" s="37"/>
      <c r="AK672" s="37"/>
      <c r="AL672" s="37"/>
      <c r="AM672" s="37"/>
      <c r="AN672" s="37"/>
      <c r="AO672" s="37"/>
      <c r="AP672" s="37"/>
      <c r="AQ672" s="37"/>
      <c r="AR672" s="37"/>
      <c r="AS672" s="37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</row>
    <row r="673" spans="1:56" ht="9.75" customHeight="1" x14ac:dyDescent="0.3">
      <c r="A673" s="34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6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6"/>
      <c r="AI673" s="16"/>
      <c r="AJ673" s="37"/>
      <c r="AK673" s="37"/>
      <c r="AL673" s="37"/>
      <c r="AM673" s="37"/>
      <c r="AN673" s="37"/>
      <c r="AO673" s="37"/>
      <c r="AP673" s="37"/>
      <c r="AQ673" s="37"/>
      <c r="AR673" s="37"/>
      <c r="AS673" s="37"/>
      <c r="AT673" s="37"/>
      <c r="AU673" s="37"/>
      <c r="AV673" s="37"/>
      <c r="AW673" s="37"/>
      <c r="AX673" s="37"/>
      <c r="AY673" s="37"/>
      <c r="AZ673" s="37"/>
      <c r="BA673" s="37"/>
      <c r="BB673" s="37"/>
      <c r="BC673" s="37"/>
      <c r="BD673" s="37"/>
    </row>
    <row r="674" spans="1:56" ht="9.75" customHeight="1" x14ac:dyDescent="0.3">
      <c r="A674" s="34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6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6"/>
      <c r="AI674" s="16"/>
      <c r="AJ674" s="37"/>
      <c r="AK674" s="37"/>
      <c r="AL674" s="37"/>
      <c r="AM674" s="37"/>
      <c r="AN674" s="37"/>
      <c r="AO674" s="37"/>
      <c r="AP674" s="37"/>
      <c r="AQ674" s="37"/>
      <c r="AR674" s="37"/>
      <c r="AS674" s="37"/>
      <c r="AT674" s="37"/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</row>
    <row r="675" spans="1:56" ht="9.75" customHeight="1" x14ac:dyDescent="0.3">
      <c r="A675" s="34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6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6"/>
      <c r="AI675" s="16"/>
      <c r="AJ675" s="37"/>
      <c r="AK675" s="37"/>
      <c r="AL675" s="37"/>
      <c r="AM675" s="37"/>
      <c r="AN675" s="37"/>
      <c r="AO675" s="37"/>
      <c r="AP675" s="37"/>
      <c r="AQ675" s="37"/>
      <c r="AR675" s="37"/>
      <c r="AS675" s="37"/>
      <c r="AT675" s="37"/>
      <c r="AU675" s="37"/>
      <c r="AV675" s="37"/>
      <c r="AW675" s="37"/>
      <c r="AX675" s="37"/>
      <c r="AY675" s="37"/>
      <c r="AZ675" s="37"/>
      <c r="BA675" s="37"/>
      <c r="BB675" s="37"/>
      <c r="BC675" s="37"/>
      <c r="BD675" s="37"/>
    </row>
    <row r="676" spans="1:56" ht="9.75" customHeight="1" x14ac:dyDescent="0.3">
      <c r="A676" s="34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6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6"/>
      <c r="AI676" s="16"/>
      <c r="AJ676" s="37"/>
      <c r="AK676" s="37"/>
      <c r="AL676" s="37"/>
      <c r="AM676" s="37"/>
      <c r="AN676" s="37"/>
      <c r="AO676" s="37"/>
      <c r="AP676" s="37"/>
      <c r="AQ676" s="37"/>
      <c r="AR676" s="37"/>
      <c r="AS676" s="37"/>
      <c r="AT676" s="37"/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</row>
    <row r="677" spans="1:56" ht="9.75" customHeight="1" x14ac:dyDescent="0.3">
      <c r="A677" s="34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6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6"/>
      <c r="AI677" s="16"/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</row>
    <row r="678" spans="1:56" ht="9.75" customHeight="1" x14ac:dyDescent="0.3">
      <c r="A678" s="34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6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6"/>
      <c r="AI678" s="16"/>
      <c r="AJ678" s="37"/>
      <c r="AK678" s="37"/>
      <c r="AL678" s="37"/>
      <c r="AM678" s="37"/>
      <c r="AN678" s="37"/>
      <c r="AO678" s="37"/>
      <c r="AP678" s="37"/>
      <c r="AQ678" s="37"/>
      <c r="AR678" s="37"/>
      <c r="AS678" s="37"/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</row>
    <row r="679" spans="1:56" ht="9.75" customHeight="1" x14ac:dyDescent="0.3">
      <c r="A679" s="34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6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6"/>
      <c r="AI679" s="16"/>
      <c r="AJ679" s="37"/>
      <c r="AK679" s="37"/>
      <c r="AL679" s="37"/>
      <c r="AM679" s="37"/>
      <c r="AN679" s="37"/>
      <c r="AO679" s="37"/>
      <c r="AP679" s="37"/>
      <c r="AQ679" s="37"/>
      <c r="AR679" s="37"/>
      <c r="AS679" s="37"/>
      <c r="AT679" s="37"/>
      <c r="AU679" s="37"/>
      <c r="AV679" s="37"/>
      <c r="AW679" s="37"/>
      <c r="AX679" s="37"/>
      <c r="AY679" s="37"/>
      <c r="AZ679" s="37"/>
      <c r="BA679" s="37"/>
      <c r="BB679" s="37"/>
      <c r="BC679" s="37"/>
      <c r="BD679" s="37"/>
    </row>
    <row r="680" spans="1:56" ht="9.75" customHeight="1" x14ac:dyDescent="0.3">
      <c r="A680" s="34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6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6"/>
      <c r="AI680" s="16"/>
      <c r="AJ680" s="37"/>
      <c r="AK680" s="37"/>
      <c r="AL680" s="37"/>
      <c r="AM680" s="37"/>
      <c r="AN680" s="37"/>
      <c r="AO680" s="37"/>
      <c r="AP680" s="37"/>
      <c r="AQ680" s="37"/>
      <c r="AR680" s="37"/>
      <c r="AS680" s="37"/>
      <c r="AT680" s="37"/>
      <c r="AU680" s="37"/>
      <c r="AV680" s="37"/>
      <c r="AW680" s="37"/>
      <c r="AX680" s="37"/>
      <c r="AY680" s="37"/>
      <c r="AZ680" s="37"/>
      <c r="BA680" s="37"/>
      <c r="BB680" s="37"/>
      <c r="BC680" s="37"/>
      <c r="BD680" s="37"/>
    </row>
    <row r="681" spans="1:56" ht="9.75" customHeight="1" x14ac:dyDescent="0.3">
      <c r="A681" s="34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6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6"/>
      <c r="AI681" s="16"/>
      <c r="AJ681" s="37"/>
      <c r="AK681" s="37"/>
      <c r="AL681" s="37"/>
      <c r="AM681" s="37"/>
      <c r="AN681" s="37"/>
      <c r="AO681" s="37"/>
      <c r="AP681" s="37"/>
      <c r="AQ681" s="37"/>
      <c r="AR681" s="37"/>
      <c r="AS681" s="37"/>
      <c r="AT681" s="37"/>
      <c r="AU681" s="37"/>
      <c r="AV681" s="37"/>
      <c r="AW681" s="37"/>
      <c r="AX681" s="37"/>
      <c r="AY681" s="37"/>
      <c r="AZ681" s="37"/>
      <c r="BA681" s="37"/>
      <c r="BB681" s="37"/>
      <c r="BC681" s="37"/>
      <c r="BD681" s="37"/>
    </row>
    <row r="682" spans="1:56" ht="9.75" customHeight="1" x14ac:dyDescent="0.3">
      <c r="A682" s="34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6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6"/>
      <c r="AI682" s="16"/>
      <c r="AJ682" s="37"/>
      <c r="AK682" s="37"/>
      <c r="AL682" s="37"/>
      <c r="AM682" s="37"/>
      <c r="AN682" s="37"/>
      <c r="AO682" s="37"/>
      <c r="AP682" s="37"/>
      <c r="AQ682" s="37"/>
      <c r="AR682" s="37"/>
      <c r="AS682" s="37"/>
      <c r="AT682" s="37"/>
      <c r="AU682" s="37"/>
      <c r="AV682" s="37"/>
      <c r="AW682" s="37"/>
      <c r="AX682" s="37"/>
      <c r="AY682" s="37"/>
      <c r="AZ682" s="37"/>
      <c r="BA682" s="37"/>
      <c r="BB682" s="37"/>
      <c r="BC682" s="37"/>
      <c r="BD682" s="37"/>
    </row>
    <row r="683" spans="1:56" ht="9.75" customHeight="1" x14ac:dyDescent="0.3">
      <c r="A683" s="34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6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6"/>
      <c r="AI683" s="16"/>
      <c r="AJ683" s="37"/>
      <c r="AK683" s="37"/>
      <c r="AL683" s="37"/>
      <c r="AM683" s="37"/>
      <c r="AN683" s="37"/>
      <c r="AO683" s="37"/>
      <c r="AP683" s="37"/>
      <c r="AQ683" s="37"/>
      <c r="AR683" s="37"/>
      <c r="AS683" s="37"/>
      <c r="AT683" s="37"/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</row>
    <row r="684" spans="1:56" ht="9.75" customHeight="1" x14ac:dyDescent="0.3">
      <c r="A684" s="34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6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6"/>
      <c r="AI684" s="16"/>
      <c r="AJ684" s="37"/>
      <c r="AK684" s="37"/>
      <c r="AL684" s="37"/>
      <c r="AM684" s="37"/>
      <c r="AN684" s="37"/>
      <c r="AO684" s="37"/>
      <c r="AP684" s="37"/>
      <c r="AQ684" s="37"/>
      <c r="AR684" s="37"/>
      <c r="AS684" s="37"/>
      <c r="AT684" s="37"/>
      <c r="AU684" s="37"/>
      <c r="AV684" s="37"/>
      <c r="AW684" s="37"/>
      <c r="AX684" s="37"/>
      <c r="AY684" s="37"/>
      <c r="AZ684" s="37"/>
      <c r="BA684" s="37"/>
      <c r="BB684" s="37"/>
      <c r="BC684" s="37"/>
      <c r="BD684" s="37"/>
    </row>
    <row r="685" spans="1:56" ht="9.75" customHeight="1" x14ac:dyDescent="0.3">
      <c r="A685" s="34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6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6"/>
      <c r="AI685" s="16"/>
      <c r="AJ685" s="37"/>
      <c r="AK685" s="37"/>
      <c r="AL685" s="37"/>
      <c r="AM685" s="37"/>
      <c r="AN685" s="37"/>
      <c r="AO685" s="37"/>
      <c r="AP685" s="37"/>
      <c r="AQ685" s="37"/>
      <c r="AR685" s="37"/>
      <c r="AS685" s="37"/>
      <c r="AT685" s="37"/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</row>
    <row r="686" spans="1:56" ht="9.75" customHeight="1" x14ac:dyDescent="0.3">
      <c r="A686" s="34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6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6"/>
      <c r="AI686" s="16"/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</row>
    <row r="687" spans="1:56" ht="9.75" customHeight="1" x14ac:dyDescent="0.3">
      <c r="A687" s="34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6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6"/>
      <c r="AI687" s="16"/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</row>
    <row r="688" spans="1:56" ht="9.75" customHeight="1" x14ac:dyDescent="0.3">
      <c r="A688" s="34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6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6"/>
      <c r="AI688" s="16"/>
      <c r="AJ688" s="37"/>
      <c r="AK688" s="37"/>
      <c r="AL688" s="37"/>
      <c r="AM688" s="37"/>
      <c r="AN688" s="37"/>
      <c r="AO688" s="37"/>
      <c r="AP688" s="37"/>
      <c r="AQ688" s="37"/>
      <c r="AR688" s="37"/>
      <c r="AS688" s="37"/>
      <c r="AT688" s="37"/>
      <c r="AU688" s="37"/>
      <c r="AV688" s="37"/>
      <c r="AW688" s="37"/>
      <c r="AX688" s="37"/>
      <c r="AY688" s="37"/>
      <c r="AZ688" s="37"/>
      <c r="BA688" s="37"/>
      <c r="BB688" s="37"/>
      <c r="BC688" s="37"/>
      <c r="BD688" s="37"/>
    </row>
    <row r="689" spans="1:56" ht="9.75" customHeight="1" x14ac:dyDescent="0.3">
      <c r="A689" s="34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6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6"/>
      <c r="AI689" s="16"/>
      <c r="AJ689" s="37"/>
      <c r="AK689" s="37"/>
      <c r="AL689" s="37"/>
      <c r="AM689" s="37"/>
      <c r="AN689" s="37"/>
      <c r="AO689" s="37"/>
      <c r="AP689" s="37"/>
      <c r="AQ689" s="37"/>
      <c r="AR689" s="37"/>
      <c r="AS689" s="37"/>
      <c r="AT689" s="37"/>
      <c r="AU689" s="37"/>
      <c r="AV689" s="37"/>
      <c r="AW689" s="37"/>
      <c r="AX689" s="37"/>
      <c r="AY689" s="37"/>
      <c r="AZ689" s="37"/>
      <c r="BA689" s="37"/>
      <c r="BB689" s="37"/>
      <c r="BC689" s="37"/>
      <c r="BD689" s="37"/>
    </row>
    <row r="690" spans="1:56" ht="9.75" customHeight="1" x14ac:dyDescent="0.3">
      <c r="A690" s="34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6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6"/>
      <c r="AI690" s="16"/>
      <c r="AJ690" s="37"/>
      <c r="AK690" s="37"/>
      <c r="AL690" s="37"/>
      <c r="AM690" s="37"/>
      <c r="AN690" s="37"/>
      <c r="AO690" s="37"/>
      <c r="AP690" s="37"/>
      <c r="AQ690" s="37"/>
      <c r="AR690" s="37"/>
      <c r="AS690" s="37"/>
      <c r="AT690" s="37"/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</row>
    <row r="691" spans="1:56" ht="9.75" customHeight="1" x14ac:dyDescent="0.3">
      <c r="A691" s="34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6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6"/>
      <c r="AI691" s="16"/>
      <c r="AJ691" s="37"/>
      <c r="AK691" s="37"/>
      <c r="AL691" s="37"/>
      <c r="AM691" s="37"/>
      <c r="AN691" s="37"/>
      <c r="AO691" s="37"/>
      <c r="AP691" s="37"/>
      <c r="AQ691" s="37"/>
      <c r="AR691" s="37"/>
      <c r="AS691" s="37"/>
      <c r="AT691" s="37"/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</row>
    <row r="692" spans="1:56" ht="9.75" customHeight="1" x14ac:dyDescent="0.3">
      <c r="A692" s="34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6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6"/>
      <c r="AI692" s="16"/>
      <c r="AJ692" s="37"/>
      <c r="AK692" s="37"/>
      <c r="AL692" s="37"/>
      <c r="AM692" s="37"/>
      <c r="AN692" s="37"/>
      <c r="AO692" s="37"/>
      <c r="AP692" s="37"/>
      <c r="AQ692" s="37"/>
      <c r="AR692" s="37"/>
      <c r="AS692" s="37"/>
      <c r="AT692" s="37"/>
      <c r="AU692" s="37"/>
      <c r="AV692" s="37"/>
      <c r="AW692" s="37"/>
      <c r="AX692" s="37"/>
      <c r="AY692" s="37"/>
      <c r="AZ692" s="37"/>
      <c r="BA692" s="37"/>
      <c r="BB692" s="37"/>
      <c r="BC692" s="37"/>
      <c r="BD692" s="37"/>
    </row>
    <row r="693" spans="1:56" ht="9.75" customHeight="1" x14ac:dyDescent="0.3">
      <c r="A693" s="34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6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6"/>
      <c r="AI693" s="16"/>
      <c r="AJ693" s="37"/>
      <c r="AK693" s="37"/>
      <c r="AL693" s="37"/>
      <c r="AM693" s="37"/>
      <c r="AN693" s="37"/>
      <c r="AO693" s="37"/>
      <c r="AP693" s="37"/>
      <c r="AQ693" s="37"/>
      <c r="AR693" s="37"/>
      <c r="AS693" s="37"/>
      <c r="AT693" s="37"/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</row>
    <row r="694" spans="1:56" ht="9.75" customHeight="1" x14ac:dyDescent="0.3">
      <c r="A694" s="34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6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6"/>
      <c r="AI694" s="16"/>
      <c r="AJ694" s="37"/>
      <c r="AK694" s="37"/>
      <c r="AL694" s="37"/>
      <c r="AM694" s="37"/>
      <c r="AN694" s="37"/>
      <c r="AO694" s="37"/>
      <c r="AP694" s="37"/>
      <c r="AQ694" s="37"/>
      <c r="AR694" s="37"/>
      <c r="AS694" s="37"/>
      <c r="AT694" s="37"/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</row>
    <row r="695" spans="1:56" ht="9.75" customHeight="1" x14ac:dyDescent="0.3">
      <c r="A695" s="34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6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6"/>
      <c r="AI695" s="16"/>
      <c r="AJ695" s="37"/>
      <c r="AK695" s="37"/>
      <c r="AL695" s="37"/>
      <c r="AM695" s="37"/>
      <c r="AN695" s="37"/>
      <c r="AO695" s="37"/>
      <c r="AP695" s="37"/>
      <c r="AQ695" s="37"/>
      <c r="AR695" s="37"/>
      <c r="AS695" s="37"/>
      <c r="AT695" s="37"/>
      <c r="AU695" s="37"/>
      <c r="AV695" s="37"/>
      <c r="AW695" s="37"/>
      <c r="AX695" s="37"/>
      <c r="AY695" s="37"/>
      <c r="AZ695" s="37"/>
      <c r="BA695" s="37"/>
      <c r="BB695" s="37"/>
      <c r="BC695" s="37"/>
      <c r="BD695" s="37"/>
    </row>
    <row r="696" spans="1:56" ht="9.75" customHeight="1" x14ac:dyDescent="0.3">
      <c r="A696" s="34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6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6"/>
      <c r="AI696" s="16"/>
      <c r="AJ696" s="37"/>
      <c r="AK696" s="37"/>
      <c r="AL696" s="37"/>
      <c r="AM696" s="37"/>
      <c r="AN696" s="37"/>
      <c r="AO696" s="37"/>
      <c r="AP696" s="37"/>
      <c r="AQ696" s="37"/>
      <c r="AR696" s="37"/>
      <c r="AS696" s="37"/>
      <c r="AT696" s="37"/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</row>
    <row r="697" spans="1:56" ht="9.75" customHeight="1" x14ac:dyDescent="0.3">
      <c r="A697" s="34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6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6"/>
      <c r="AI697" s="16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</row>
    <row r="698" spans="1:56" ht="9.75" customHeight="1" x14ac:dyDescent="0.3">
      <c r="A698" s="34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6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6"/>
      <c r="AI698" s="16"/>
      <c r="AJ698" s="37"/>
      <c r="AK698" s="37"/>
      <c r="AL698" s="37"/>
      <c r="AM698" s="37"/>
      <c r="AN698" s="37"/>
      <c r="AO698" s="37"/>
      <c r="AP698" s="37"/>
      <c r="AQ698" s="37"/>
      <c r="AR698" s="37"/>
      <c r="AS698" s="37"/>
      <c r="AT698" s="37"/>
      <c r="AU698" s="37"/>
      <c r="AV698" s="37"/>
      <c r="AW698" s="37"/>
      <c r="AX698" s="37"/>
      <c r="AY698" s="37"/>
      <c r="AZ698" s="37"/>
      <c r="BA698" s="37"/>
      <c r="BB698" s="37"/>
      <c r="BC698" s="37"/>
      <c r="BD698" s="37"/>
    </row>
    <row r="699" spans="1:56" ht="9.75" customHeight="1" x14ac:dyDescent="0.3">
      <c r="A699" s="34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6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6"/>
      <c r="AI699" s="16"/>
      <c r="AJ699" s="37"/>
      <c r="AK699" s="37"/>
      <c r="AL699" s="37"/>
      <c r="AM699" s="37"/>
      <c r="AN699" s="37"/>
      <c r="AO699" s="37"/>
      <c r="AP699" s="37"/>
      <c r="AQ699" s="37"/>
      <c r="AR699" s="37"/>
      <c r="AS699" s="37"/>
      <c r="AT699" s="37"/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</row>
    <row r="700" spans="1:56" ht="9.75" customHeight="1" x14ac:dyDescent="0.3">
      <c r="A700" s="34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6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6"/>
      <c r="AI700" s="16"/>
      <c r="AJ700" s="37"/>
      <c r="AK700" s="37"/>
      <c r="AL700" s="37"/>
      <c r="AM700" s="37"/>
      <c r="AN700" s="37"/>
      <c r="AO700" s="37"/>
      <c r="AP700" s="37"/>
      <c r="AQ700" s="37"/>
      <c r="AR700" s="37"/>
      <c r="AS700" s="37"/>
      <c r="AT700" s="37"/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</row>
    <row r="701" spans="1:56" ht="9.75" customHeight="1" x14ac:dyDescent="0.3">
      <c r="A701" s="34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6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6"/>
      <c r="AI701" s="16"/>
      <c r="AJ701" s="37"/>
      <c r="AK701" s="37"/>
      <c r="AL701" s="37"/>
      <c r="AM701" s="37"/>
      <c r="AN701" s="37"/>
      <c r="AO701" s="37"/>
      <c r="AP701" s="37"/>
      <c r="AQ701" s="37"/>
      <c r="AR701" s="37"/>
      <c r="AS701" s="37"/>
      <c r="AT701" s="37"/>
      <c r="AU701" s="37"/>
      <c r="AV701" s="37"/>
      <c r="AW701" s="37"/>
      <c r="AX701" s="37"/>
      <c r="AY701" s="37"/>
      <c r="AZ701" s="37"/>
      <c r="BA701" s="37"/>
      <c r="BB701" s="37"/>
      <c r="BC701" s="37"/>
      <c r="BD701" s="37"/>
    </row>
    <row r="702" spans="1:56" ht="9.75" customHeight="1" x14ac:dyDescent="0.3">
      <c r="A702" s="34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6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6"/>
      <c r="AI702" s="16"/>
      <c r="AJ702" s="37"/>
      <c r="AK702" s="37"/>
      <c r="AL702" s="37"/>
      <c r="AM702" s="37"/>
      <c r="AN702" s="37"/>
      <c r="AO702" s="37"/>
      <c r="AP702" s="37"/>
      <c r="AQ702" s="37"/>
      <c r="AR702" s="37"/>
      <c r="AS702" s="37"/>
      <c r="AT702" s="37"/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</row>
    <row r="703" spans="1:56" ht="9.75" customHeight="1" x14ac:dyDescent="0.3">
      <c r="A703" s="34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6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6"/>
      <c r="AI703" s="16"/>
      <c r="AJ703" s="37"/>
      <c r="AK703" s="37"/>
      <c r="AL703" s="37"/>
      <c r="AM703" s="37"/>
      <c r="AN703" s="37"/>
      <c r="AO703" s="37"/>
      <c r="AP703" s="37"/>
      <c r="AQ703" s="37"/>
      <c r="AR703" s="37"/>
      <c r="AS703" s="37"/>
      <c r="AT703" s="37"/>
      <c r="AU703" s="37"/>
      <c r="AV703" s="37"/>
      <c r="AW703" s="37"/>
      <c r="AX703" s="37"/>
      <c r="AY703" s="37"/>
      <c r="AZ703" s="37"/>
      <c r="BA703" s="37"/>
      <c r="BB703" s="37"/>
      <c r="BC703" s="37"/>
      <c r="BD703" s="37"/>
    </row>
    <row r="704" spans="1:56" ht="9.75" customHeight="1" x14ac:dyDescent="0.3">
      <c r="A704" s="34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6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6"/>
      <c r="AI704" s="16"/>
      <c r="AJ704" s="37"/>
      <c r="AK704" s="37"/>
      <c r="AL704" s="37"/>
      <c r="AM704" s="37"/>
      <c r="AN704" s="37"/>
      <c r="AO704" s="37"/>
      <c r="AP704" s="37"/>
      <c r="AQ704" s="37"/>
      <c r="AR704" s="37"/>
      <c r="AS704" s="37"/>
      <c r="AT704" s="37"/>
      <c r="AU704" s="37"/>
      <c r="AV704" s="37"/>
      <c r="AW704" s="37"/>
      <c r="AX704" s="37"/>
      <c r="AY704" s="37"/>
      <c r="AZ704" s="37"/>
      <c r="BA704" s="37"/>
      <c r="BB704" s="37"/>
      <c r="BC704" s="37"/>
      <c r="BD704" s="37"/>
    </row>
    <row r="705" spans="1:56" ht="9.75" customHeight="1" x14ac:dyDescent="0.3">
      <c r="A705" s="34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6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6"/>
      <c r="AI705" s="16"/>
      <c r="AJ705" s="37"/>
      <c r="AK705" s="37"/>
      <c r="AL705" s="37"/>
      <c r="AM705" s="37"/>
      <c r="AN705" s="37"/>
      <c r="AO705" s="37"/>
      <c r="AP705" s="37"/>
      <c r="AQ705" s="37"/>
      <c r="AR705" s="37"/>
      <c r="AS705" s="37"/>
      <c r="AT705" s="37"/>
      <c r="AU705" s="37"/>
      <c r="AV705" s="37"/>
      <c r="AW705" s="37"/>
      <c r="AX705" s="37"/>
      <c r="AY705" s="37"/>
      <c r="AZ705" s="37"/>
      <c r="BA705" s="37"/>
      <c r="BB705" s="37"/>
      <c r="BC705" s="37"/>
      <c r="BD705" s="37"/>
    </row>
    <row r="706" spans="1:56" ht="9.75" customHeight="1" x14ac:dyDescent="0.3">
      <c r="A706" s="34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6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6"/>
      <c r="AI706" s="16"/>
      <c r="AJ706" s="37"/>
      <c r="AK706" s="37"/>
      <c r="AL706" s="37"/>
      <c r="AM706" s="37"/>
      <c r="AN706" s="37"/>
      <c r="AO706" s="37"/>
      <c r="AP706" s="37"/>
      <c r="AQ706" s="37"/>
      <c r="AR706" s="37"/>
      <c r="AS706" s="37"/>
      <c r="AT706" s="37"/>
      <c r="AU706" s="37"/>
      <c r="AV706" s="37"/>
      <c r="AW706" s="37"/>
      <c r="AX706" s="37"/>
      <c r="AY706" s="37"/>
      <c r="AZ706" s="37"/>
      <c r="BA706" s="37"/>
      <c r="BB706" s="37"/>
      <c r="BC706" s="37"/>
      <c r="BD706" s="37"/>
    </row>
    <row r="707" spans="1:56" ht="9.75" customHeight="1" x14ac:dyDescent="0.3">
      <c r="A707" s="34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6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6"/>
      <c r="AI707" s="16"/>
      <c r="AJ707" s="37"/>
      <c r="AK707" s="37"/>
      <c r="AL707" s="37"/>
      <c r="AM707" s="37"/>
      <c r="AN707" s="37"/>
      <c r="AO707" s="37"/>
      <c r="AP707" s="37"/>
      <c r="AQ707" s="37"/>
      <c r="AR707" s="37"/>
      <c r="AS707" s="37"/>
      <c r="AT707" s="37"/>
      <c r="AU707" s="37"/>
      <c r="AV707" s="37"/>
      <c r="AW707" s="37"/>
      <c r="AX707" s="37"/>
      <c r="AY707" s="37"/>
      <c r="AZ707" s="37"/>
      <c r="BA707" s="37"/>
      <c r="BB707" s="37"/>
      <c r="BC707" s="37"/>
      <c r="BD707" s="37"/>
    </row>
    <row r="708" spans="1:56" ht="9.75" customHeight="1" x14ac:dyDescent="0.3">
      <c r="A708" s="34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6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6"/>
      <c r="AI708" s="16"/>
      <c r="AJ708" s="37"/>
      <c r="AK708" s="37"/>
      <c r="AL708" s="37"/>
      <c r="AM708" s="37"/>
      <c r="AN708" s="37"/>
      <c r="AO708" s="37"/>
      <c r="AP708" s="37"/>
      <c r="AQ708" s="37"/>
      <c r="AR708" s="37"/>
      <c r="AS708" s="37"/>
      <c r="AT708" s="37"/>
      <c r="AU708" s="37"/>
      <c r="AV708" s="37"/>
      <c r="AW708" s="37"/>
      <c r="AX708" s="37"/>
      <c r="AY708" s="37"/>
      <c r="AZ708" s="37"/>
      <c r="BA708" s="37"/>
      <c r="BB708" s="37"/>
      <c r="BC708" s="37"/>
      <c r="BD708" s="37"/>
    </row>
    <row r="709" spans="1:56" ht="9.75" customHeight="1" x14ac:dyDescent="0.3">
      <c r="A709" s="34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6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6"/>
      <c r="AI709" s="16"/>
      <c r="AJ709" s="37"/>
      <c r="AK709" s="37"/>
      <c r="AL709" s="37"/>
      <c r="AM709" s="37"/>
      <c r="AN709" s="37"/>
      <c r="AO709" s="37"/>
      <c r="AP709" s="37"/>
      <c r="AQ709" s="37"/>
      <c r="AR709" s="37"/>
      <c r="AS709" s="37"/>
      <c r="AT709" s="37"/>
      <c r="AU709" s="37"/>
      <c r="AV709" s="37"/>
      <c r="AW709" s="37"/>
      <c r="AX709" s="37"/>
      <c r="AY709" s="37"/>
      <c r="AZ709" s="37"/>
      <c r="BA709" s="37"/>
      <c r="BB709" s="37"/>
      <c r="BC709" s="37"/>
      <c r="BD709" s="37"/>
    </row>
    <row r="710" spans="1:56" ht="9.75" customHeight="1" x14ac:dyDescent="0.3">
      <c r="A710" s="34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6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6"/>
      <c r="AI710" s="16"/>
      <c r="AJ710" s="37"/>
      <c r="AK710" s="37"/>
      <c r="AL710" s="37"/>
      <c r="AM710" s="37"/>
      <c r="AN710" s="37"/>
      <c r="AO710" s="37"/>
      <c r="AP710" s="37"/>
      <c r="AQ710" s="37"/>
      <c r="AR710" s="37"/>
      <c r="AS710" s="37"/>
      <c r="AT710" s="37"/>
      <c r="AU710" s="37"/>
      <c r="AV710" s="37"/>
      <c r="AW710" s="37"/>
      <c r="AX710" s="37"/>
      <c r="AY710" s="37"/>
      <c r="AZ710" s="37"/>
      <c r="BA710" s="37"/>
      <c r="BB710" s="37"/>
      <c r="BC710" s="37"/>
      <c r="BD710" s="37"/>
    </row>
    <row r="711" spans="1:56" ht="9.75" customHeight="1" x14ac:dyDescent="0.3">
      <c r="A711" s="34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6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6"/>
      <c r="AI711" s="16"/>
      <c r="AJ711" s="37"/>
      <c r="AK711" s="37"/>
      <c r="AL711" s="37"/>
      <c r="AM711" s="37"/>
      <c r="AN711" s="37"/>
      <c r="AO711" s="37"/>
      <c r="AP711" s="37"/>
      <c r="AQ711" s="37"/>
      <c r="AR711" s="37"/>
      <c r="AS711" s="37"/>
      <c r="AT711" s="37"/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</row>
    <row r="712" spans="1:56" ht="9.75" customHeight="1" x14ac:dyDescent="0.3">
      <c r="A712" s="34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6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6"/>
      <c r="AI712" s="16"/>
      <c r="AJ712" s="37"/>
      <c r="AK712" s="37"/>
      <c r="AL712" s="37"/>
      <c r="AM712" s="37"/>
      <c r="AN712" s="37"/>
      <c r="AO712" s="37"/>
      <c r="AP712" s="37"/>
      <c r="AQ712" s="37"/>
      <c r="AR712" s="37"/>
      <c r="AS712" s="37"/>
      <c r="AT712" s="37"/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</row>
    <row r="713" spans="1:56" ht="9.75" customHeight="1" x14ac:dyDescent="0.3">
      <c r="A713" s="34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6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6"/>
      <c r="AI713" s="16"/>
      <c r="AJ713" s="37"/>
      <c r="AK713" s="37"/>
      <c r="AL713" s="37"/>
      <c r="AM713" s="37"/>
      <c r="AN713" s="37"/>
      <c r="AO713" s="37"/>
      <c r="AP713" s="37"/>
      <c r="AQ713" s="37"/>
      <c r="AR713" s="37"/>
      <c r="AS713" s="37"/>
      <c r="AT713" s="37"/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</row>
    <row r="714" spans="1:56" ht="9.75" customHeight="1" x14ac:dyDescent="0.3">
      <c r="A714" s="34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6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6"/>
      <c r="AI714" s="16"/>
      <c r="AJ714" s="37"/>
      <c r="AK714" s="37"/>
      <c r="AL714" s="37"/>
      <c r="AM714" s="37"/>
      <c r="AN714" s="37"/>
      <c r="AO714" s="37"/>
      <c r="AP714" s="37"/>
      <c r="AQ714" s="37"/>
      <c r="AR714" s="37"/>
      <c r="AS714" s="37"/>
      <c r="AT714" s="37"/>
      <c r="AU714" s="37"/>
      <c r="AV714" s="37"/>
      <c r="AW714" s="37"/>
      <c r="AX714" s="37"/>
      <c r="AY714" s="37"/>
      <c r="AZ714" s="37"/>
      <c r="BA714" s="37"/>
      <c r="BB714" s="37"/>
      <c r="BC714" s="37"/>
      <c r="BD714" s="37"/>
    </row>
    <row r="715" spans="1:56" ht="9.75" customHeight="1" x14ac:dyDescent="0.3">
      <c r="A715" s="34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6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6"/>
      <c r="AI715" s="16"/>
      <c r="AJ715" s="37"/>
      <c r="AK715" s="37"/>
      <c r="AL715" s="37"/>
      <c r="AM715" s="37"/>
      <c r="AN715" s="37"/>
      <c r="AO715" s="37"/>
      <c r="AP715" s="37"/>
      <c r="AQ715" s="37"/>
      <c r="AR715" s="37"/>
      <c r="AS715" s="37"/>
      <c r="AT715" s="37"/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</row>
    <row r="716" spans="1:56" ht="9.75" customHeight="1" x14ac:dyDescent="0.3">
      <c r="A716" s="34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6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6"/>
      <c r="AI716" s="16"/>
      <c r="AJ716" s="37"/>
      <c r="AK716" s="37"/>
      <c r="AL716" s="37"/>
      <c r="AM716" s="37"/>
      <c r="AN716" s="37"/>
      <c r="AO716" s="37"/>
      <c r="AP716" s="37"/>
      <c r="AQ716" s="37"/>
      <c r="AR716" s="37"/>
      <c r="AS716" s="37"/>
      <c r="AT716" s="37"/>
      <c r="AU716" s="37"/>
      <c r="AV716" s="37"/>
      <c r="AW716" s="37"/>
      <c r="AX716" s="37"/>
      <c r="AY716" s="37"/>
      <c r="AZ716" s="37"/>
      <c r="BA716" s="37"/>
      <c r="BB716" s="37"/>
      <c r="BC716" s="37"/>
      <c r="BD716" s="37"/>
    </row>
    <row r="717" spans="1:56" ht="9.75" customHeight="1" x14ac:dyDescent="0.3">
      <c r="A717" s="34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6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6"/>
      <c r="AI717" s="16"/>
      <c r="AJ717" s="37"/>
      <c r="AK717" s="37"/>
      <c r="AL717" s="37"/>
      <c r="AM717" s="37"/>
      <c r="AN717" s="37"/>
      <c r="AO717" s="37"/>
      <c r="AP717" s="37"/>
      <c r="AQ717" s="37"/>
      <c r="AR717" s="37"/>
      <c r="AS717" s="37"/>
      <c r="AT717" s="37"/>
      <c r="AU717" s="37"/>
      <c r="AV717" s="37"/>
      <c r="AW717" s="37"/>
      <c r="AX717" s="37"/>
      <c r="AY717" s="37"/>
      <c r="AZ717" s="37"/>
      <c r="BA717" s="37"/>
      <c r="BB717" s="37"/>
      <c r="BC717" s="37"/>
      <c r="BD717" s="37"/>
    </row>
    <row r="718" spans="1:56" ht="9.75" customHeight="1" x14ac:dyDescent="0.3">
      <c r="A718" s="34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6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6"/>
      <c r="AI718" s="16"/>
      <c r="AJ718" s="37"/>
      <c r="AK718" s="37"/>
      <c r="AL718" s="37"/>
      <c r="AM718" s="37"/>
      <c r="AN718" s="37"/>
      <c r="AO718" s="37"/>
      <c r="AP718" s="37"/>
      <c r="AQ718" s="37"/>
      <c r="AR718" s="37"/>
      <c r="AS718" s="37"/>
      <c r="AT718" s="37"/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</row>
    <row r="719" spans="1:56" ht="9.75" customHeight="1" x14ac:dyDescent="0.3">
      <c r="A719" s="34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6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6"/>
      <c r="AI719" s="16"/>
      <c r="AJ719" s="37"/>
      <c r="AK719" s="37"/>
      <c r="AL719" s="37"/>
      <c r="AM719" s="37"/>
      <c r="AN719" s="37"/>
      <c r="AO719" s="37"/>
      <c r="AP719" s="37"/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</row>
    <row r="720" spans="1:56" ht="9.75" customHeight="1" x14ac:dyDescent="0.3">
      <c r="A720" s="34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6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6"/>
      <c r="AI720" s="16"/>
      <c r="AJ720" s="37"/>
      <c r="AK720" s="37"/>
      <c r="AL720" s="37"/>
      <c r="AM720" s="37"/>
      <c r="AN720" s="37"/>
      <c r="AO720" s="37"/>
      <c r="AP720" s="37"/>
      <c r="AQ720" s="37"/>
      <c r="AR720" s="37"/>
      <c r="AS720" s="37"/>
      <c r="AT720" s="37"/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</row>
    <row r="721" spans="1:56" ht="9.75" customHeight="1" x14ac:dyDescent="0.3">
      <c r="A721" s="34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6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6"/>
      <c r="AI721" s="16"/>
      <c r="AJ721" s="37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</row>
    <row r="722" spans="1:56" ht="9.75" customHeight="1" x14ac:dyDescent="0.3">
      <c r="A722" s="34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6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6"/>
      <c r="AI722" s="16"/>
      <c r="AJ722" s="37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</row>
    <row r="723" spans="1:56" ht="9.75" customHeight="1" x14ac:dyDescent="0.3">
      <c r="A723" s="34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6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6"/>
      <c r="AI723" s="16"/>
      <c r="AJ723" s="37"/>
      <c r="AK723" s="37"/>
      <c r="AL723" s="37"/>
      <c r="AM723" s="37"/>
      <c r="AN723" s="37"/>
      <c r="AO723" s="37"/>
      <c r="AP723" s="37"/>
      <c r="AQ723" s="37"/>
      <c r="AR723" s="37"/>
      <c r="AS723" s="37"/>
      <c r="AT723" s="37"/>
      <c r="AU723" s="37"/>
      <c r="AV723" s="37"/>
      <c r="AW723" s="37"/>
      <c r="AX723" s="37"/>
      <c r="AY723" s="37"/>
      <c r="AZ723" s="37"/>
      <c r="BA723" s="37"/>
      <c r="BB723" s="37"/>
      <c r="BC723" s="37"/>
      <c r="BD723" s="37"/>
    </row>
    <row r="724" spans="1:56" ht="9.75" customHeight="1" x14ac:dyDescent="0.3">
      <c r="A724" s="34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6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6"/>
      <c r="AI724" s="16"/>
      <c r="AJ724" s="37"/>
      <c r="AK724" s="37"/>
      <c r="AL724" s="37"/>
      <c r="AM724" s="37"/>
      <c r="AN724" s="37"/>
      <c r="AO724" s="37"/>
      <c r="AP724" s="37"/>
      <c r="AQ724" s="37"/>
      <c r="AR724" s="37"/>
      <c r="AS724" s="37"/>
      <c r="AT724" s="37"/>
      <c r="AU724" s="37"/>
      <c r="AV724" s="37"/>
      <c r="AW724" s="37"/>
      <c r="AX724" s="37"/>
      <c r="AY724" s="37"/>
      <c r="AZ724" s="37"/>
      <c r="BA724" s="37"/>
      <c r="BB724" s="37"/>
      <c r="BC724" s="37"/>
      <c r="BD724" s="37"/>
    </row>
    <row r="725" spans="1:56" ht="9.75" customHeight="1" x14ac:dyDescent="0.3">
      <c r="A725" s="34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6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6"/>
      <c r="AI725" s="16"/>
      <c r="AJ725" s="37"/>
      <c r="AK725" s="37"/>
      <c r="AL725" s="37"/>
      <c r="AM725" s="37"/>
      <c r="AN725" s="37"/>
      <c r="AO725" s="37"/>
      <c r="AP725" s="37"/>
      <c r="AQ725" s="37"/>
      <c r="AR725" s="37"/>
      <c r="AS725" s="37"/>
      <c r="AT725" s="37"/>
      <c r="AU725" s="37"/>
      <c r="AV725" s="37"/>
      <c r="AW725" s="37"/>
      <c r="AX725" s="37"/>
      <c r="AY725" s="37"/>
      <c r="AZ725" s="37"/>
      <c r="BA725" s="37"/>
      <c r="BB725" s="37"/>
      <c r="BC725" s="37"/>
      <c r="BD725" s="37"/>
    </row>
    <row r="726" spans="1:56" ht="9.75" customHeight="1" x14ac:dyDescent="0.3">
      <c r="A726" s="34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6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6"/>
      <c r="AI726" s="16"/>
      <c r="AJ726" s="37"/>
      <c r="AK726" s="37"/>
      <c r="AL726" s="37"/>
      <c r="AM726" s="37"/>
      <c r="AN726" s="37"/>
      <c r="AO726" s="37"/>
      <c r="AP726" s="37"/>
      <c r="AQ726" s="37"/>
      <c r="AR726" s="37"/>
      <c r="AS726" s="37"/>
      <c r="AT726" s="37"/>
      <c r="AU726" s="37"/>
      <c r="AV726" s="37"/>
      <c r="AW726" s="37"/>
      <c r="AX726" s="37"/>
      <c r="AY726" s="37"/>
      <c r="AZ726" s="37"/>
      <c r="BA726" s="37"/>
      <c r="BB726" s="37"/>
      <c r="BC726" s="37"/>
      <c r="BD726" s="37"/>
    </row>
    <row r="727" spans="1:56" ht="9.75" customHeight="1" x14ac:dyDescent="0.3">
      <c r="A727" s="34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6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6"/>
      <c r="AI727" s="16"/>
      <c r="AJ727" s="37"/>
      <c r="AK727" s="37"/>
      <c r="AL727" s="37"/>
      <c r="AM727" s="37"/>
      <c r="AN727" s="37"/>
      <c r="AO727" s="37"/>
      <c r="AP727" s="37"/>
      <c r="AQ727" s="37"/>
      <c r="AR727" s="37"/>
      <c r="AS727" s="37"/>
      <c r="AT727" s="37"/>
      <c r="AU727" s="37"/>
      <c r="AV727" s="37"/>
      <c r="AW727" s="37"/>
      <c r="AX727" s="37"/>
      <c r="AY727" s="37"/>
      <c r="AZ727" s="37"/>
      <c r="BA727" s="37"/>
      <c r="BB727" s="37"/>
      <c r="BC727" s="37"/>
      <c r="BD727" s="37"/>
    </row>
    <row r="728" spans="1:56" ht="9.75" customHeight="1" x14ac:dyDescent="0.3">
      <c r="A728" s="34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6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6"/>
      <c r="AI728" s="16"/>
      <c r="AJ728" s="37"/>
      <c r="AK728" s="37"/>
      <c r="AL728" s="37"/>
      <c r="AM728" s="37"/>
      <c r="AN728" s="37"/>
      <c r="AO728" s="37"/>
      <c r="AP728" s="37"/>
      <c r="AQ728" s="37"/>
      <c r="AR728" s="37"/>
      <c r="AS728" s="37"/>
      <c r="AT728" s="37"/>
      <c r="AU728" s="37"/>
      <c r="AV728" s="37"/>
      <c r="AW728" s="37"/>
      <c r="AX728" s="37"/>
      <c r="AY728" s="37"/>
      <c r="AZ728" s="37"/>
      <c r="BA728" s="37"/>
      <c r="BB728" s="37"/>
      <c r="BC728" s="37"/>
      <c r="BD728" s="37"/>
    </row>
    <row r="729" spans="1:56" ht="9.75" customHeight="1" x14ac:dyDescent="0.3">
      <c r="A729" s="34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6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6"/>
      <c r="AI729" s="16"/>
      <c r="AJ729" s="37"/>
      <c r="AK729" s="37"/>
      <c r="AL729" s="37"/>
      <c r="AM729" s="37"/>
      <c r="AN729" s="37"/>
      <c r="AO729" s="37"/>
      <c r="AP729" s="37"/>
      <c r="AQ729" s="37"/>
      <c r="AR729" s="37"/>
      <c r="AS729" s="37"/>
      <c r="AT729" s="37"/>
      <c r="AU729" s="37"/>
      <c r="AV729" s="37"/>
      <c r="AW729" s="37"/>
      <c r="AX729" s="37"/>
      <c r="AY729" s="37"/>
      <c r="AZ729" s="37"/>
      <c r="BA729" s="37"/>
      <c r="BB729" s="37"/>
      <c r="BC729" s="37"/>
      <c r="BD729" s="37"/>
    </row>
    <row r="730" spans="1:56" ht="9.75" customHeight="1" x14ac:dyDescent="0.3">
      <c r="A730" s="34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6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6"/>
      <c r="AI730" s="16"/>
      <c r="AJ730" s="37"/>
      <c r="AK730" s="37"/>
      <c r="AL730" s="37"/>
      <c r="AM730" s="37"/>
      <c r="AN730" s="37"/>
      <c r="AO730" s="37"/>
      <c r="AP730" s="37"/>
      <c r="AQ730" s="37"/>
      <c r="AR730" s="37"/>
      <c r="AS730" s="37"/>
      <c r="AT730" s="37"/>
      <c r="AU730" s="37"/>
      <c r="AV730" s="37"/>
      <c r="AW730" s="37"/>
      <c r="AX730" s="37"/>
      <c r="AY730" s="37"/>
      <c r="AZ730" s="37"/>
      <c r="BA730" s="37"/>
      <c r="BB730" s="37"/>
      <c r="BC730" s="37"/>
      <c r="BD730" s="37"/>
    </row>
    <row r="731" spans="1:56" ht="9.75" customHeight="1" x14ac:dyDescent="0.3">
      <c r="A731" s="34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6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6"/>
      <c r="AI731" s="16"/>
      <c r="AJ731" s="37"/>
      <c r="AK731" s="37"/>
      <c r="AL731" s="37"/>
      <c r="AM731" s="37"/>
      <c r="AN731" s="37"/>
      <c r="AO731" s="37"/>
      <c r="AP731" s="37"/>
      <c r="AQ731" s="37"/>
      <c r="AR731" s="37"/>
      <c r="AS731" s="37"/>
      <c r="AT731" s="37"/>
      <c r="AU731" s="37"/>
      <c r="AV731" s="37"/>
      <c r="AW731" s="37"/>
      <c r="AX731" s="37"/>
      <c r="AY731" s="37"/>
      <c r="AZ731" s="37"/>
      <c r="BA731" s="37"/>
      <c r="BB731" s="37"/>
      <c r="BC731" s="37"/>
      <c r="BD731" s="37"/>
    </row>
    <row r="732" spans="1:56" ht="9.75" customHeight="1" x14ac:dyDescent="0.3">
      <c r="A732" s="34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6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6"/>
      <c r="AI732" s="16"/>
      <c r="AJ732" s="37"/>
      <c r="AK732" s="37"/>
      <c r="AL732" s="37"/>
      <c r="AM732" s="37"/>
      <c r="AN732" s="37"/>
      <c r="AO732" s="37"/>
      <c r="AP732" s="37"/>
      <c r="AQ732" s="37"/>
      <c r="AR732" s="37"/>
      <c r="AS732" s="37"/>
      <c r="AT732" s="37"/>
      <c r="AU732" s="37"/>
      <c r="AV732" s="37"/>
      <c r="AW732" s="37"/>
      <c r="AX732" s="37"/>
      <c r="AY732" s="37"/>
      <c r="AZ732" s="37"/>
      <c r="BA732" s="37"/>
      <c r="BB732" s="37"/>
      <c r="BC732" s="37"/>
      <c r="BD732" s="37"/>
    </row>
    <row r="733" spans="1:56" ht="9.75" customHeight="1" x14ac:dyDescent="0.3">
      <c r="A733" s="34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6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6"/>
      <c r="AI733" s="16"/>
      <c r="AJ733" s="37"/>
      <c r="AK733" s="37"/>
      <c r="AL733" s="37"/>
      <c r="AM733" s="37"/>
      <c r="AN733" s="37"/>
      <c r="AO733" s="37"/>
      <c r="AP733" s="37"/>
      <c r="AQ733" s="37"/>
      <c r="AR733" s="37"/>
      <c r="AS733" s="37"/>
      <c r="AT733" s="37"/>
      <c r="AU733" s="37"/>
      <c r="AV733" s="37"/>
      <c r="AW733" s="37"/>
      <c r="AX733" s="37"/>
      <c r="AY733" s="37"/>
      <c r="AZ733" s="37"/>
      <c r="BA733" s="37"/>
      <c r="BB733" s="37"/>
      <c r="BC733" s="37"/>
      <c r="BD733" s="37"/>
    </row>
    <row r="734" spans="1:56" ht="9.75" customHeight="1" x14ac:dyDescent="0.3">
      <c r="A734" s="34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6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6"/>
      <c r="AI734" s="16"/>
      <c r="AJ734" s="37"/>
      <c r="AK734" s="37"/>
      <c r="AL734" s="37"/>
      <c r="AM734" s="37"/>
      <c r="AN734" s="37"/>
      <c r="AO734" s="37"/>
      <c r="AP734" s="37"/>
      <c r="AQ734" s="37"/>
      <c r="AR734" s="37"/>
      <c r="AS734" s="37"/>
      <c r="AT734" s="37"/>
      <c r="AU734" s="37"/>
      <c r="AV734" s="37"/>
      <c r="AW734" s="37"/>
      <c r="AX734" s="37"/>
      <c r="AY734" s="37"/>
      <c r="AZ734" s="37"/>
      <c r="BA734" s="37"/>
      <c r="BB734" s="37"/>
      <c r="BC734" s="37"/>
      <c r="BD734" s="37"/>
    </row>
    <row r="735" spans="1:56" ht="9.75" customHeight="1" x14ac:dyDescent="0.3">
      <c r="A735" s="34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6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6"/>
      <c r="AI735" s="16"/>
      <c r="AJ735" s="37"/>
      <c r="AK735" s="37"/>
      <c r="AL735" s="37"/>
      <c r="AM735" s="37"/>
      <c r="AN735" s="37"/>
      <c r="AO735" s="37"/>
      <c r="AP735" s="37"/>
      <c r="AQ735" s="37"/>
      <c r="AR735" s="37"/>
      <c r="AS735" s="37"/>
      <c r="AT735" s="37"/>
      <c r="AU735" s="37"/>
      <c r="AV735" s="37"/>
      <c r="AW735" s="37"/>
      <c r="AX735" s="37"/>
      <c r="AY735" s="37"/>
      <c r="AZ735" s="37"/>
      <c r="BA735" s="37"/>
      <c r="BB735" s="37"/>
      <c r="BC735" s="37"/>
      <c r="BD735" s="37"/>
    </row>
    <row r="736" spans="1:56" ht="9.75" customHeight="1" x14ac:dyDescent="0.3">
      <c r="A736" s="34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6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6"/>
      <c r="AI736" s="16"/>
      <c r="AJ736" s="37"/>
      <c r="AK736" s="37"/>
      <c r="AL736" s="37"/>
      <c r="AM736" s="37"/>
      <c r="AN736" s="37"/>
      <c r="AO736" s="37"/>
      <c r="AP736" s="37"/>
      <c r="AQ736" s="37"/>
      <c r="AR736" s="37"/>
      <c r="AS736" s="37"/>
      <c r="AT736" s="37"/>
      <c r="AU736" s="37"/>
      <c r="AV736" s="37"/>
      <c r="AW736" s="37"/>
      <c r="AX736" s="37"/>
      <c r="AY736" s="37"/>
      <c r="AZ736" s="37"/>
      <c r="BA736" s="37"/>
      <c r="BB736" s="37"/>
      <c r="BC736" s="37"/>
      <c r="BD736" s="37"/>
    </row>
    <row r="737" spans="1:56" ht="9.75" customHeight="1" x14ac:dyDescent="0.3">
      <c r="A737" s="34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6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6"/>
      <c r="AI737" s="16"/>
      <c r="AJ737" s="37"/>
      <c r="AK737" s="37"/>
      <c r="AL737" s="37"/>
      <c r="AM737" s="37"/>
      <c r="AN737" s="37"/>
      <c r="AO737" s="37"/>
      <c r="AP737" s="37"/>
      <c r="AQ737" s="37"/>
      <c r="AR737" s="37"/>
      <c r="AS737" s="37"/>
      <c r="AT737" s="37"/>
      <c r="AU737" s="37"/>
      <c r="AV737" s="37"/>
      <c r="AW737" s="37"/>
      <c r="AX737" s="37"/>
      <c r="AY737" s="37"/>
      <c r="AZ737" s="37"/>
      <c r="BA737" s="37"/>
      <c r="BB737" s="37"/>
      <c r="BC737" s="37"/>
      <c r="BD737" s="37"/>
    </row>
    <row r="738" spans="1:56" ht="9.75" customHeight="1" x14ac:dyDescent="0.3">
      <c r="A738" s="34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6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6"/>
      <c r="AI738" s="16"/>
      <c r="AJ738" s="37"/>
      <c r="AK738" s="37"/>
      <c r="AL738" s="37"/>
      <c r="AM738" s="37"/>
      <c r="AN738" s="37"/>
      <c r="AO738" s="37"/>
      <c r="AP738" s="37"/>
      <c r="AQ738" s="37"/>
      <c r="AR738" s="37"/>
      <c r="AS738" s="37"/>
      <c r="AT738" s="37"/>
      <c r="AU738" s="37"/>
      <c r="AV738" s="37"/>
      <c r="AW738" s="37"/>
      <c r="AX738" s="37"/>
      <c r="AY738" s="37"/>
      <c r="AZ738" s="37"/>
      <c r="BA738" s="37"/>
      <c r="BB738" s="37"/>
      <c r="BC738" s="37"/>
      <c r="BD738" s="37"/>
    </row>
    <row r="739" spans="1:56" ht="9.75" customHeight="1" x14ac:dyDescent="0.3">
      <c r="A739" s="34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6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6"/>
      <c r="AI739" s="16"/>
      <c r="AJ739" s="37"/>
      <c r="AK739" s="37"/>
      <c r="AL739" s="37"/>
      <c r="AM739" s="37"/>
      <c r="AN739" s="37"/>
      <c r="AO739" s="37"/>
      <c r="AP739" s="37"/>
      <c r="AQ739" s="37"/>
      <c r="AR739" s="37"/>
      <c r="AS739" s="37"/>
      <c r="AT739" s="37"/>
      <c r="AU739" s="37"/>
      <c r="AV739" s="37"/>
      <c r="AW739" s="37"/>
      <c r="AX739" s="37"/>
      <c r="AY739" s="37"/>
      <c r="AZ739" s="37"/>
      <c r="BA739" s="37"/>
      <c r="BB739" s="37"/>
      <c r="BC739" s="37"/>
      <c r="BD739" s="37"/>
    </row>
    <row r="740" spans="1:56" ht="9.75" customHeight="1" x14ac:dyDescent="0.3">
      <c r="A740" s="34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6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6"/>
      <c r="AI740" s="16"/>
      <c r="AJ740" s="37"/>
      <c r="AK740" s="37"/>
      <c r="AL740" s="37"/>
      <c r="AM740" s="37"/>
      <c r="AN740" s="37"/>
      <c r="AO740" s="37"/>
      <c r="AP740" s="37"/>
      <c r="AQ740" s="37"/>
      <c r="AR740" s="37"/>
      <c r="AS740" s="37"/>
      <c r="AT740" s="37"/>
      <c r="AU740" s="37"/>
      <c r="AV740" s="37"/>
      <c r="AW740" s="37"/>
      <c r="AX740" s="37"/>
      <c r="AY740" s="37"/>
      <c r="AZ740" s="37"/>
      <c r="BA740" s="37"/>
      <c r="BB740" s="37"/>
      <c r="BC740" s="37"/>
      <c r="BD740" s="37"/>
    </row>
    <row r="741" spans="1:56" ht="9.75" customHeight="1" x14ac:dyDescent="0.3">
      <c r="A741" s="34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6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6"/>
      <c r="AI741" s="16"/>
      <c r="AJ741" s="37"/>
      <c r="AK741" s="37"/>
      <c r="AL741" s="37"/>
      <c r="AM741" s="37"/>
      <c r="AN741" s="37"/>
      <c r="AO741" s="37"/>
      <c r="AP741" s="37"/>
      <c r="AQ741" s="37"/>
      <c r="AR741" s="37"/>
      <c r="AS741" s="37"/>
      <c r="AT741" s="37"/>
      <c r="AU741" s="37"/>
      <c r="AV741" s="37"/>
      <c r="AW741" s="37"/>
      <c r="AX741" s="37"/>
      <c r="AY741" s="37"/>
      <c r="AZ741" s="37"/>
      <c r="BA741" s="37"/>
      <c r="BB741" s="37"/>
      <c r="BC741" s="37"/>
      <c r="BD741" s="37"/>
    </row>
    <row r="742" spans="1:56" ht="9.75" customHeight="1" x14ac:dyDescent="0.3">
      <c r="A742" s="34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6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6"/>
      <c r="AI742" s="16"/>
      <c r="AJ742" s="37"/>
      <c r="AK742" s="37"/>
      <c r="AL742" s="37"/>
      <c r="AM742" s="37"/>
      <c r="AN742" s="37"/>
      <c r="AO742" s="37"/>
      <c r="AP742" s="37"/>
      <c r="AQ742" s="37"/>
      <c r="AR742" s="37"/>
      <c r="AS742" s="37"/>
      <c r="AT742" s="37"/>
      <c r="AU742" s="37"/>
      <c r="AV742" s="37"/>
      <c r="AW742" s="37"/>
      <c r="AX742" s="37"/>
      <c r="AY742" s="37"/>
      <c r="AZ742" s="37"/>
      <c r="BA742" s="37"/>
      <c r="BB742" s="37"/>
      <c r="BC742" s="37"/>
      <c r="BD742" s="37"/>
    </row>
    <row r="743" spans="1:56" ht="9.75" customHeight="1" x14ac:dyDescent="0.3">
      <c r="A743" s="34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6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6"/>
      <c r="AI743" s="16"/>
      <c r="AJ743" s="37"/>
      <c r="AK743" s="37"/>
      <c r="AL743" s="37"/>
      <c r="AM743" s="37"/>
      <c r="AN743" s="37"/>
      <c r="AO743" s="37"/>
      <c r="AP743" s="37"/>
      <c r="AQ743" s="37"/>
      <c r="AR743" s="37"/>
      <c r="AS743" s="37"/>
      <c r="AT743" s="37"/>
      <c r="AU743" s="37"/>
      <c r="AV743" s="37"/>
      <c r="AW743" s="37"/>
      <c r="AX743" s="37"/>
      <c r="AY743" s="37"/>
      <c r="AZ743" s="37"/>
      <c r="BA743" s="37"/>
      <c r="BB743" s="37"/>
      <c r="BC743" s="37"/>
      <c r="BD743" s="37"/>
    </row>
    <row r="744" spans="1:56" ht="9.75" customHeight="1" x14ac:dyDescent="0.3">
      <c r="A744" s="34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6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6"/>
      <c r="AI744" s="16"/>
      <c r="AJ744" s="37"/>
      <c r="AK744" s="37"/>
      <c r="AL744" s="37"/>
      <c r="AM744" s="37"/>
      <c r="AN744" s="37"/>
      <c r="AO744" s="37"/>
      <c r="AP744" s="37"/>
      <c r="AQ744" s="37"/>
      <c r="AR744" s="37"/>
      <c r="AS744" s="37"/>
      <c r="AT744" s="37"/>
      <c r="AU744" s="37"/>
      <c r="AV744" s="37"/>
      <c r="AW744" s="37"/>
      <c r="AX744" s="37"/>
      <c r="AY744" s="37"/>
      <c r="AZ744" s="37"/>
      <c r="BA744" s="37"/>
      <c r="BB744" s="37"/>
      <c r="BC744" s="37"/>
      <c r="BD744" s="37"/>
    </row>
    <row r="745" spans="1:56" ht="9.75" customHeight="1" x14ac:dyDescent="0.3">
      <c r="A745" s="34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6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6"/>
      <c r="AI745" s="16"/>
      <c r="AJ745" s="37"/>
      <c r="AK745" s="37"/>
      <c r="AL745" s="37"/>
      <c r="AM745" s="37"/>
      <c r="AN745" s="37"/>
      <c r="AO745" s="37"/>
      <c r="AP745" s="37"/>
      <c r="AQ745" s="37"/>
      <c r="AR745" s="37"/>
      <c r="AS745" s="37"/>
      <c r="AT745" s="37"/>
      <c r="AU745" s="37"/>
      <c r="AV745" s="37"/>
      <c r="AW745" s="37"/>
      <c r="AX745" s="37"/>
      <c r="AY745" s="37"/>
      <c r="AZ745" s="37"/>
      <c r="BA745" s="37"/>
      <c r="BB745" s="37"/>
      <c r="BC745" s="37"/>
      <c r="BD745" s="37"/>
    </row>
    <row r="746" spans="1:56" ht="9.75" customHeight="1" x14ac:dyDescent="0.3">
      <c r="A746" s="34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6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6"/>
      <c r="AI746" s="16"/>
      <c r="AJ746" s="37"/>
      <c r="AK746" s="37"/>
      <c r="AL746" s="37"/>
      <c r="AM746" s="37"/>
      <c r="AN746" s="37"/>
      <c r="AO746" s="37"/>
      <c r="AP746" s="37"/>
      <c r="AQ746" s="37"/>
      <c r="AR746" s="37"/>
      <c r="AS746" s="37"/>
      <c r="AT746" s="37"/>
      <c r="AU746" s="37"/>
      <c r="AV746" s="37"/>
      <c r="AW746" s="37"/>
      <c r="AX746" s="37"/>
      <c r="AY746" s="37"/>
      <c r="AZ746" s="37"/>
      <c r="BA746" s="37"/>
      <c r="BB746" s="37"/>
      <c r="BC746" s="37"/>
      <c r="BD746" s="37"/>
    </row>
    <row r="747" spans="1:56" ht="9.75" customHeight="1" x14ac:dyDescent="0.3">
      <c r="A747" s="34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6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6"/>
      <c r="AI747" s="16"/>
      <c r="AJ747" s="37"/>
      <c r="AK747" s="37"/>
      <c r="AL747" s="37"/>
      <c r="AM747" s="37"/>
      <c r="AN747" s="37"/>
      <c r="AO747" s="37"/>
      <c r="AP747" s="37"/>
      <c r="AQ747" s="37"/>
      <c r="AR747" s="37"/>
      <c r="AS747" s="37"/>
      <c r="AT747" s="37"/>
      <c r="AU747" s="37"/>
      <c r="AV747" s="37"/>
      <c r="AW747" s="37"/>
      <c r="AX747" s="37"/>
      <c r="AY747" s="37"/>
      <c r="AZ747" s="37"/>
      <c r="BA747" s="37"/>
      <c r="BB747" s="37"/>
      <c r="BC747" s="37"/>
      <c r="BD747" s="37"/>
    </row>
    <row r="748" spans="1:56" ht="9.75" customHeight="1" x14ac:dyDescent="0.3">
      <c r="A748" s="34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6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6"/>
      <c r="AI748" s="16"/>
      <c r="AJ748" s="37"/>
      <c r="AK748" s="37"/>
      <c r="AL748" s="37"/>
      <c r="AM748" s="37"/>
      <c r="AN748" s="37"/>
      <c r="AO748" s="37"/>
      <c r="AP748" s="37"/>
      <c r="AQ748" s="37"/>
      <c r="AR748" s="37"/>
      <c r="AS748" s="37"/>
      <c r="AT748" s="37"/>
      <c r="AU748" s="37"/>
      <c r="AV748" s="37"/>
      <c r="AW748" s="37"/>
      <c r="AX748" s="37"/>
      <c r="AY748" s="37"/>
      <c r="AZ748" s="37"/>
      <c r="BA748" s="37"/>
      <c r="BB748" s="37"/>
      <c r="BC748" s="37"/>
      <c r="BD748" s="37"/>
    </row>
    <row r="749" spans="1:56" ht="9.75" customHeight="1" x14ac:dyDescent="0.3">
      <c r="A749" s="34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6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6"/>
      <c r="AI749" s="16"/>
      <c r="AJ749" s="37"/>
      <c r="AK749" s="37"/>
      <c r="AL749" s="37"/>
      <c r="AM749" s="37"/>
      <c r="AN749" s="37"/>
      <c r="AO749" s="37"/>
      <c r="AP749" s="37"/>
      <c r="AQ749" s="37"/>
      <c r="AR749" s="37"/>
      <c r="AS749" s="37"/>
      <c r="AT749" s="37"/>
      <c r="AU749" s="37"/>
      <c r="AV749" s="37"/>
      <c r="AW749" s="37"/>
      <c r="AX749" s="37"/>
      <c r="AY749" s="37"/>
      <c r="AZ749" s="37"/>
      <c r="BA749" s="37"/>
      <c r="BB749" s="37"/>
      <c r="BC749" s="37"/>
      <c r="BD749" s="37"/>
    </row>
    <row r="750" spans="1:56" ht="9.75" customHeight="1" x14ac:dyDescent="0.3">
      <c r="A750" s="34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6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6"/>
      <c r="AI750" s="16"/>
      <c r="AJ750" s="37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</row>
    <row r="751" spans="1:56" ht="9.75" customHeight="1" x14ac:dyDescent="0.3">
      <c r="A751" s="34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6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6"/>
      <c r="AI751" s="16"/>
      <c r="AJ751" s="37"/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</row>
    <row r="752" spans="1:56" ht="9.75" customHeight="1" x14ac:dyDescent="0.3">
      <c r="A752" s="34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6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6"/>
      <c r="AI752" s="16"/>
      <c r="AJ752" s="37"/>
      <c r="AK752" s="37"/>
      <c r="AL752" s="37"/>
      <c r="AM752" s="37"/>
      <c r="AN752" s="37"/>
      <c r="AO752" s="37"/>
      <c r="AP752" s="37"/>
      <c r="AQ752" s="37"/>
      <c r="AR752" s="37"/>
      <c r="AS752" s="37"/>
      <c r="AT752" s="37"/>
      <c r="AU752" s="37"/>
      <c r="AV752" s="37"/>
      <c r="AW752" s="37"/>
      <c r="AX752" s="37"/>
      <c r="AY752" s="37"/>
      <c r="AZ752" s="37"/>
      <c r="BA752" s="37"/>
      <c r="BB752" s="37"/>
      <c r="BC752" s="37"/>
      <c r="BD752" s="37"/>
    </row>
    <row r="753" spans="1:56" ht="9.75" customHeight="1" x14ac:dyDescent="0.3">
      <c r="A753" s="34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6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6"/>
      <c r="AI753" s="16"/>
      <c r="AJ753" s="37"/>
      <c r="AK753" s="37"/>
      <c r="AL753" s="37"/>
      <c r="AM753" s="37"/>
      <c r="AN753" s="37"/>
      <c r="AO753" s="37"/>
      <c r="AP753" s="37"/>
      <c r="AQ753" s="37"/>
      <c r="AR753" s="37"/>
      <c r="AS753" s="37"/>
      <c r="AT753" s="37"/>
      <c r="AU753" s="37"/>
      <c r="AV753" s="37"/>
      <c r="AW753" s="37"/>
      <c r="AX753" s="37"/>
      <c r="AY753" s="37"/>
      <c r="AZ753" s="37"/>
      <c r="BA753" s="37"/>
      <c r="BB753" s="37"/>
      <c r="BC753" s="37"/>
      <c r="BD753" s="37"/>
    </row>
    <row r="754" spans="1:56" ht="9.75" customHeight="1" x14ac:dyDescent="0.3">
      <c r="A754" s="34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6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6"/>
      <c r="AI754" s="16"/>
      <c r="AJ754" s="37"/>
      <c r="AK754" s="37"/>
      <c r="AL754" s="37"/>
      <c r="AM754" s="37"/>
      <c r="AN754" s="37"/>
      <c r="AO754" s="37"/>
      <c r="AP754" s="37"/>
      <c r="AQ754" s="37"/>
      <c r="AR754" s="37"/>
      <c r="AS754" s="37"/>
      <c r="AT754" s="37"/>
      <c r="AU754" s="37"/>
      <c r="AV754" s="37"/>
      <c r="AW754" s="37"/>
      <c r="AX754" s="37"/>
      <c r="AY754" s="37"/>
      <c r="AZ754" s="37"/>
      <c r="BA754" s="37"/>
      <c r="BB754" s="37"/>
      <c r="BC754" s="37"/>
      <c r="BD754" s="37"/>
    </row>
    <row r="755" spans="1:56" ht="9.75" customHeight="1" x14ac:dyDescent="0.3">
      <c r="A755" s="34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6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6"/>
      <c r="AI755" s="16"/>
      <c r="AJ755" s="37"/>
      <c r="AK755" s="37"/>
      <c r="AL755" s="37"/>
      <c r="AM755" s="37"/>
      <c r="AN755" s="37"/>
      <c r="AO755" s="37"/>
      <c r="AP755" s="37"/>
      <c r="AQ755" s="37"/>
      <c r="AR755" s="37"/>
      <c r="AS755" s="37"/>
      <c r="AT755" s="37"/>
      <c r="AU755" s="37"/>
      <c r="AV755" s="37"/>
      <c r="AW755" s="37"/>
      <c r="AX755" s="37"/>
      <c r="AY755" s="37"/>
      <c r="AZ755" s="37"/>
      <c r="BA755" s="37"/>
      <c r="BB755" s="37"/>
      <c r="BC755" s="37"/>
      <c r="BD755" s="37"/>
    </row>
    <row r="756" spans="1:56" ht="9.75" customHeight="1" x14ac:dyDescent="0.3">
      <c r="A756" s="34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6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6"/>
      <c r="AI756" s="16"/>
      <c r="AJ756" s="37"/>
      <c r="AK756" s="37"/>
      <c r="AL756" s="37"/>
      <c r="AM756" s="37"/>
      <c r="AN756" s="37"/>
      <c r="AO756" s="37"/>
      <c r="AP756" s="37"/>
      <c r="AQ756" s="37"/>
      <c r="AR756" s="37"/>
      <c r="AS756" s="37"/>
      <c r="AT756" s="37"/>
      <c r="AU756" s="37"/>
      <c r="AV756" s="37"/>
      <c r="AW756" s="37"/>
      <c r="AX756" s="37"/>
      <c r="AY756" s="37"/>
      <c r="AZ756" s="37"/>
      <c r="BA756" s="37"/>
      <c r="BB756" s="37"/>
      <c r="BC756" s="37"/>
      <c r="BD756" s="37"/>
    </row>
    <row r="757" spans="1:56" ht="9.75" customHeight="1" x14ac:dyDescent="0.3">
      <c r="A757" s="34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6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6"/>
      <c r="AI757" s="16"/>
      <c r="AJ757" s="37"/>
      <c r="AK757" s="37"/>
      <c r="AL757" s="37"/>
      <c r="AM757" s="37"/>
      <c r="AN757" s="37"/>
      <c r="AO757" s="37"/>
      <c r="AP757" s="37"/>
      <c r="AQ757" s="37"/>
      <c r="AR757" s="37"/>
      <c r="AS757" s="37"/>
      <c r="AT757" s="37"/>
      <c r="AU757" s="37"/>
      <c r="AV757" s="37"/>
      <c r="AW757" s="37"/>
      <c r="AX757" s="37"/>
      <c r="AY757" s="37"/>
      <c r="AZ757" s="37"/>
      <c r="BA757" s="37"/>
      <c r="BB757" s="37"/>
      <c r="BC757" s="37"/>
      <c r="BD757" s="37"/>
    </row>
    <row r="758" spans="1:56" ht="9.75" customHeight="1" x14ac:dyDescent="0.3">
      <c r="A758" s="34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6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6"/>
      <c r="AI758" s="16"/>
      <c r="AJ758" s="37"/>
      <c r="AK758" s="37"/>
      <c r="AL758" s="37"/>
      <c r="AM758" s="37"/>
      <c r="AN758" s="37"/>
      <c r="AO758" s="37"/>
      <c r="AP758" s="37"/>
      <c r="AQ758" s="37"/>
      <c r="AR758" s="37"/>
      <c r="AS758" s="37"/>
      <c r="AT758" s="37"/>
      <c r="AU758" s="37"/>
      <c r="AV758" s="37"/>
      <c r="AW758" s="37"/>
      <c r="AX758" s="37"/>
      <c r="AY758" s="37"/>
      <c r="AZ758" s="37"/>
      <c r="BA758" s="37"/>
      <c r="BB758" s="37"/>
      <c r="BC758" s="37"/>
      <c r="BD758" s="37"/>
    </row>
    <row r="759" spans="1:56" ht="9.75" customHeight="1" x14ac:dyDescent="0.3">
      <c r="A759" s="34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6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6"/>
      <c r="AI759" s="16"/>
      <c r="AJ759" s="37"/>
      <c r="AK759" s="37"/>
      <c r="AL759" s="37"/>
      <c r="AM759" s="37"/>
      <c r="AN759" s="37"/>
      <c r="AO759" s="37"/>
      <c r="AP759" s="37"/>
      <c r="AQ759" s="37"/>
      <c r="AR759" s="37"/>
      <c r="AS759" s="37"/>
      <c r="AT759" s="37"/>
      <c r="AU759" s="37"/>
      <c r="AV759" s="37"/>
      <c r="AW759" s="37"/>
      <c r="AX759" s="37"/>
      <c r="AY759" s="37"/>
      <c r="AZ759" s="37"/>
      <c r="BA759" s="37"/>
      <c r="BB759" s="37"/>
      <c r="BC759" s="37"/>
      <c r="BD759" s="37"/>
    </row>
    <row r="760" spans="1:56" ht="9.75" customHeight="1" x14ac:dyDescent="0.3">
      <c r="A760" s="34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6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6"/>
      <c r="AI760" s="16"/>
      <c r="AJ760" s="37"/>
      <c r="AK760" s="37"/>
      <c r="AL760" s="37"/>
      <c r="AM760" s="37"/>
      <c r="AN760" s="37"/>
      <c r="AO760" s="37"/>
      <c r="AP760" s="37"/>
      <c r="AQ760" s="37"/>
      <c r="AR760" s="37"/>
      <c r="AS760" s="37"/>
      <c r="AT760" s="37"/>
      <c r="AU760" s="37"/>
      <c r="AV760" s="37"/>
      <c r="AW760" s="37"/>
      <c r="AX760" s="37"/>
      <c r="AY760" s="37"/>
      <c r="AZ760" s="37"/>
      <c r="BA760" s="37"/>
      <c r="BB760" s="37"/>
      <c r="BC760" s="37"/>
      <c r="BD760" s="37"/>
    </row>
    <row r="761" spans="1:56" ht="9.75" customHeight="1" x14ac:dyDescent="0.3">
      <c r="A761" s="34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6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6"/>
      <c r="AI761" s="16"/>
      <c r="AJ761" s="37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</row>
    <row r="762" spans="1:56" ht="9.75" customHeight="1" x14ac:dyDescent="0.3">
      <c r="A762" s="34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6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6"/>
      <c r="AI762" s="16"/>
      <c r="AJ762" s="37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/>
      <c r="AX762" s="37"/>
      <c r="AY762" s="37"/>
      <c r="AZ762" s="37"/>
      <c r="BA762" s="37"/>
      <c r="BB762" s="37"/>
      <c r="BC762" s="37"/>
      <c r="BD762" s="37"/>
    </row>
    <row r="763" spans="1:56" ht="9.75" customHeight="1" x14ac:dyDescent="0.3">
      <c r="A763" s="34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6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6"/>
      <c r="AI763" s="16"/>
      <c r="AJ763" s="37"/>
      <c r="AK763" s="37"/>
      <c r="AL763" s="37"/>
      <c r="AM763" s="37"/>
      <c r="AN763" s="37"/>
      <c r="AO763" s="37"/>
      <c r="AP763" s="37"/>
      <c r="AQ763" s="37"/>
      <c r="AR763" s="37"/>
      <c r="AS763" s="37"/>
      <c r="AT763" s="37"/>
      <c r="AU763" s="37"/>
      <c r="AV763" s="37"/>
      <c r="AW763" s="37"/>
      <c r="AX763" s="37"/>
      <c r="AY763" s="37"/>
      <c r="AZ763" s="37"/>
      <c r="BA763" s="37"/>
      <c r="BB763" s="37"/>
      <c r="BC763" s="37"/>
      <c r="BD763" s="37"/>
    </row>
    <row r="764" spans="1:56" ht="9.75" customHeight="1" x14ac:dyDescent="0.3">
      <c r="A764" s="34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6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6"/>
      <c r="AI764" s="16"/>
      <c r="AJ764" s="37"/>
      <c r="AK764" s="37"/>
      <c r="AL764" s="37"/>
      <c r="AM764" s="37"/>
      <c r="AN764" s="37"/>
      <c r="AO764" s="37"/>
      <c r="AP764" s="37"/>
      <c r="AQ764" s="37"/>
      <c r="AR764" s="37"/>
      <c r="AS764" s="37"/>
      <c r="AT764" s="37"/>
      <c r="AU764" s="37"/>
      <c r="AV764" s="37"/>
      <c r="AW764" s="37"/>
      <c r="AX764" s="37"/>
      <c r="AY764" s="37"/>
      <c r="AZ764" s="37"/>
      <c r="BA764" s="37"/>
      <c r="BB764" s="37"/>
      <c r="BC764" s="37"/>
      <c r="BD764" s="37"/>
    </row>
    <row r="765" spans="1:56" ht="9.75" customHeight="1" x14ac:dyDescent="0.3">
      <c r="A765" s="34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6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6"/>
      <c r="AI765" s="16"/>
      <c r="AJ765" s="37"/>
      <c r="AK765" s="37"/>
      <c r="AL765" s="37"/>
      <c r="AM765" s="37"/>
      <c r="AN765" s="37"/>
      <c r="AO765" s="37"/>
      <c r="AP765" s="37"/>
      <c r="AQ765" s="37"/>
      <c r="AR765" s="37"/>
      <c r="AS765" s="37"/>
      <c r="AT765" s="37"/>
      <c r="AU765" s="37"/>
      <c r="AV765" s="37"/>
      <c r="AW765" s="37"/>
      <c r="AX765" s="37"/>
      <c r="AY765" s="37"/>
      <c r="AZ765" s="37"/>
      <c r="BA765" s="37"/>
      <c r="BB765" s="37"/>
      <c r="BC765" s="37"/>
      <c r="BD765" s="37"/>
    </row>
    <row r="766" spans="1:56" ht="9.75" customHeight="1" x14ac:dyDescent="0.3">
      <c r="A766" s="34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6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6"/>
      <c r="AI766" s="16"/>
      <c r="AJ766" s="37"/>
      <c r="AK766" s="37"/>
      <c r="AL766" s="37"/>
      <c r="AM766" s="37"/>
      <c r="AN766" s="37"/>
      <c r="AO766" s="37"/>
      <c r="AP766" s="37"/>
      <c r="AQ766" s="37"/>
      <c r="AR766" s="37"/>
      <c r="AS766" s="37"/>
      <c r="AT766" s="37"/>
      <c r="AU766" s="37"/>
      <c r="AV766" s="37"/>
      <c r="AW766" s="37"/>
      <c r="AX766" s="37"/>
      <c r="AY766" s="37"/>
      <c r="AZ766" s="37"/>
      <c r="BA766" s="37"/>
      <c r="BB766" s="37"/>
      <c r="BC766" s="37"/>
      <c r="BD766" s="37"/>
    </row>
    <row r="767" spans="1:56" ht="9.75" customHeight="1" x14ac:dyDescent="0.3">
      <c r="A767" s="34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6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6"/>
      <c r="AI767" s="16"/>
      <c r="AJ767" s="37"/>
      <c r="AK767" s="37"/>
      <c r="AL767" s="37"/>
      <c r="AM767" s="37"/>
      <c r="AN767" s="37"/>
      <c r="AO767" s="37"/>
      <c r="AP767" s="37"/>
      <c r="AQ767" s="37"/>
      <c r="AR767" s="37"/>
      <c r="AS767" s="37"/>
      <c r="AT767" s="37"/>
      <c r="AU767" s="37"/>
      <c r="AV767" s="37"/>
      <c r="AW767" s="37"/>
      <c r="AX767" s="37"/>
      <c r="AY767" s="37"/>
      <c r="AZ767" s="37"/>
      <c r="BA767" s="37"/>
      <c r="BB767" s="37"/>
      <c r="BC767" s="37"/>
      <c r="BD767" s="37"/>
    </row>
    <row r="768" spans="1:56" ht="9.75" customHeight="1" x14ac:dyDescent="0.3">
      <c r="A768" s="34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6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6"/>
      <c r="AI768" s="16"/>
      <c r="AJ768" s="37"/>
      <c r="AK768" s="37"/>
      <c r="AL768" s="37"/>
      <c r="AM768" s="37"/>
      <c r="AN768" s="37"/>
      <c r="AO768" s="37"/>
      <c r="AP768" s="37"/>
      <c r="AQ768" s="37"/>
      <c r="AR768" s="37"/>
      <c r="AS768" s="37"/>
      <c r="AT768" s="37"/>
      <c r="AU768" s="37"/>
      <c r="AV768" s="37"/>
      <c r="AW768" s="37"/>
      <c r="AX768" s="37"/>
      <c r="AY768" s="37"/>
      <c r="AZ768" s="37"/>
      <c r="BA768" s="37"/>
      <c r="BB768" s="37"/>
      <c r="BC768" s="37"/>
      <c r="BD768" s="37"/>
    </row>
    <row r="769" spans="1:56" ht="9.75" customHeight="1" x14ac:dyDescent="0.3">
      <c r="A769" s="34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6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6"/>
      <c r="AI769" s="16"/>
      <c r="AJ769" s="37"/>
      <c r="AK769" s="37"/>
      <c r="AL769" s="37"/>
      <c r="AM769" s="37"/>
      <c r="AN769" s="37"/>
      <c r="AO769" s="37"/>
      <c r="AP769" s="37"/>
      <c r="AQ769" s="37"/>
      <c r="AR769" s="37"/>
      <c r="AS769" s="37"/>
      <c r="AT769" s="37"/>
      <c r="AU769" s="37"/>
      <c r="AV769" s="37"/>
      <c r="AW769" s="37"/>
      <c r="AX769" s="37"/>
      <c r="AY769" s="37"/>
      <c r="AZ769" s="37"/>
      <c r="BA769" s="37"/>
      <c r="BB769" s="37"/>
      <c r="BC769" s="37"/>
      <c r="BD769" s="37"/>
    </row>
    <row r="770" spans="1:56" ht="9.75" customHeight="1" x14ac:dyDescent="0.3">
      <c r="A770" s="34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6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6"/>
      <c r="AI770" s="16"/>
      <c r="AJ770" s="37"/>
      <c r="AK770" s="37"/>
      <c r="AL770" s="37"/>
      <c r="AM770" s="37"/>
      <c r="AN770" s="37"/>
      <c r="AO770" s="37"/>
      <c r="AP770" s="37"/>
      <c r="AQ770" s="37"/>
      <c r="AR770" s="37"/>
      <c r="AS770" s="37"/>
      <c r="AT770" s="37"/>
      <c r="AU770" s="37"/>
      <c r="AV770" s="37"/>
      <c r="AW770" s="37"/>
      <c r="AX770" s="37"/>
      <c r="AY770" s="37"/>
      <c r="AZ770" s="37"/>
      <c r="BA770" s="37"/>
      <c r="BB770" s="37"/>
      <c r="BC770" s="37"/>
      <c r="BD770" s="37"/>
    </row>
    <row r="771" spans="1:56" ht="9.75" customHeight="1" x14ac:dyDescent="0.3">
      <c r="A771" s="34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6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6"/>
      <c r="AI771" s="16"/>
      <c r="AJ771" s="37"/>
      <c r="AK771" s="37"/>
      <c r="AL771" s="37"/>
      <c r="AM771" s="37"/>
      <c r="AN771" s="37"/>
      <c r="AO771" s="37"/>
      <c r="AP771" s="37"/>
      <c r="AQ771" s="37"/>
      <c r="AR771" s="37"/>
      <c r="AS771" s="37"/>
      <c r="AT771" s="37"/>
      <c r="AU771" s="37"/>
      <c r="AV771" s="37"/>
      <c r="AW771" s="37"/>
      <c r="AX771" s="37"/>
      <c r="AY771" s="37"/>
      <c r="AZ771" s="37"/>
      <c r="BA771" s="37"/>
      <c r="BB771" s="37"/>
      <c r="BC771" s="37"/>
      <c r="BD771" s="37"/>
    </row>
    <row r="772" spans="1:56" ht="9.75" customHeight="1" x14ac:dyDescent="0.3">
      <c r="A772" s="34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6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6"/>
      <c r="AI772" s="16"/>
      <c r="AJ772" s="37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</row>
    <row r="773" spans="1:56" ht="9.75" customHeight="1" x14ac:dyDescent="0.3">
      <c r="A773" s="34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6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6"/>
      <c r="AI773" s="16"/>
      <c r="AJ773" s="37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</row>
    <row r="774" spans="1:56" ht="9.75" customHeight="1" x14ac:dyDescent="0.3">
      <c r="A774" s="34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6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6"/>
      <c r="AI774" s="16"/>
      <c r="AJ774" s="37"/>
      <c r="AK774" s="37"/>
      <c r="AL774" s="37"/>
      <c r="AM774" s="37"/>
      <c r="AN774" s="37"/>
      <c r="AO774" s="37"/>
      <c r="AP774" s="37"/>
      <c r="AQ774" s="37"/>
      <c r="AR774" s="37"/>
      <c r="AS774" s="37"/>
      <c r="AT774" s="37"/>
      <c r="AU774" s="37"/>
      <c r="AV774" s="37"/>
      <c r="AW774" s="37"/>
      <c r="AX774" s="37"/>
      <c r="AY774" s="37"/>
      <c r="AZ774" s="37"/>
      <c r="BA774" s="37"/>
      <c r="BB774" s="37"/>
      <c r="BC774" s="37"/>
      <c r="BD774" s="37"/>
    </row>
    <row r="775" spans="1:56" ht="9.75" customHeight="1" x14ac:dyDescent="0.3">
      <c r="A775" s="34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6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6"/>
      <c r="AI775" s="16"/>
      <c r="AJ775" s="37"/>
      <c r="AK775" s="37"/>
      <c r="AL775" s="37"/>
      <c r="AM775" s="37"/>
      <c r="AN775" s="37"/>
      <c r="AO775" s="37"/>
      <c r="AP775" s="37"/>
      <c r="AQ775" s="37"/>
      <c r="AR775" s="37"/>
      <c r="AS775" s="37"/>
      <c r="AT775" s="37"/>
      <c r="AU775" s="37"/>
      <c r="AV775" s="37"/>
      <c r="AW775" s="37"/>
      <c r="AX775" s="37"/>
      <c r="AY775" s="37"/>
      <c r="AZ775" s="37"/>
      <c r="BA775" s="37"/>
      <c r="BB775" s="37"/>
      <c r="BC775" s="37"/>
      <c r="BD775" s="37"/>
    </row>
    <row r="776" spans="1:56" ht="9.75" customHeight="1" x14ac:dyDescent="0.3">
      <c r="A776" s="34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6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6"/>
      <c r="AI776" s="16"/>
      <c r="AJ776" s="37"/>
      <c r="AK776" s="37"/>
      <c r="AL776" s="37"/>
      <c r="AM776" s="37"/>
      <c r="AN776" s="37"/>
      <c r="AO776" s="37"/>
      <c r="AP776" s="37"/>
      <c r="AQ776" s="37"/>
      <c r="AR776" s="37"/>
      <c r="AS776" s="37"/>
      <c r="AT776" s="37"/>
      <c r="AU776" s="37"/>
      <c r="AV776" s="37"/>
      <c r="AW776" s="37"/>
      <c r="AX776" s="37"/>
      <c r="AY776" s="37"/>
      <c r="AZ776" s="37"/>
      <c r="BA776" s="37"/>
      <c r="BB776" s="37"/>
      <c r="BC776" s="37"/>
      <c r="BD776" s="37"/>
    </row>
    <row r="777" spans="1:56" ht="9.75" customHeight="1" x14ac:dyDescent="0.3">
      <c r="A777" s="34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6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6"/>
      <c r="AI777" s="16"/>
      <c r="AJ777" s="37"/>
      <c r="AK777" s="37"/>
      <c r="AL777" s="37"/>
      <c r="AM777" s="37"/>
      <c r="AN777" s="37"/>
      <c r="AO777" s="37"/>
      <c r="AP777" s="37"/>
      <c r="AQ777" s="37"/>
      <c r="AR777" s="37"/>
      <c r="AS777" s="37"/>
      <c r="AT777" s="37"/>
      <c r="AU777" s="37"/>
      <c r="AV777" s="37"/>
      <c r="AW777" s="37"/>
      <c r="AX777" s="37"/>
      <c r="AY777" s="37"/>
      <c r="AZ777" s="37"/>
      <c r="BA777" s="37"/>
      <c r="BB777" s="37"/>
      <c r="BC777" s="37"/>
      <c r="BD777" s="37"/>
    </row>
    <row r="778" spans="1:56" ht="9.75" customHeight="1" x14ac:dyDescent="0.3">
      <c r="A778" s="34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6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6"/>
      <c r="AI778" s="16"/>
      <c r="AJ778" s="37"/>
      <c r="AK778" s="37"/>
      <c r="AL778" s="37"/>
      <c r="AM778" s="37"/>
      <c r="AN778" s="37"/>
      <c r="AO778" s="37"/>
      <c r="AP778" s="37"/>
      <c r="AQ778" s="37"/>
      <c r="AR778" s="37"/>
      <c r="AS778" s="37"/>
      <c r="AT778" s="37"/>
      <c r="AU778" s="37"/>
      <c r="AV778" s="37"/>
      <c r="AW778" s="37"/>
      <c r="AX778" s="37"/>
      <c r="AY778" s="37"/>
      <c r="AZ778" s="37"/>
      <c r="BA778" s="37"/>
      <c r="BB778" s="37"/>
      <c r="BC778" s="37"/>
      <c r="BD778" s="37"/>
    </row>
    <row r="779" spans="1:56" ht="9.75" customHeight="1" x14ac:dyDescent="0.3">
      <c r="A779" s="34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6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6"/>
      <c r="AI779" s="16"/>
      <c r="AJ779" s="37"/>
      <c r="AK779" s="37"/>
      <c r="AL779" s="37"/>
      <c r="AM779" s="37"/>
      <c r="AN779" s="37"/>
      <c r="AO779" s="37"/>
      <c r="AP779" s="37"/>
      <c r="AQ779" s="37"/>
      <c r="AR779" s="37"/>
      <c r="AS779" s="37"/>
      <c r="AT779" s="37"/>
      <c r="AU779" s="37"/>
      <c r="AV779" s="37"/>
      <c r="AW779" s="37"/>
      <c r="AX779" s="37"/>
      <c r="AY779" s="37"/>
      <c r="AZ779" s="37"/>
      <c r="BA779" s="37"/>
      <c r="BB779" s="37"/>
      <c r="BC779" s="37"/>
      <c r="BD779" s="37"/>
    </row>
    <row r="780" spans="1:56" ht="9.75" customHeight="1" x14ac:dyDescent="0.3">
      <c r="A780" s="34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6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6"/>
      <c r="AI780" s="16"/>
      <c r="AJ780" s="37"/>
      <c r="AK780" s="37"/>
      <c r="AL780" s="37"/>
      <c r="AM780" s="37"/>
      <c r="AN780" s="37"/>
      <c r="AO780" s="37"/>
      <c r="AP780" s="37"/>
      <c r="AQ780" s="37"/>
      <c r="AR780" s="37"/>
      <c r="AS780" s="37"/>
      <c r="AT780" s="37"/>
      <c r="AU780" s="37"/>
      <c r="AV780" s="37"/>
      <c r="AW780" s="37"/>
      <c r="AX780" s="37"/>
      <c r="AY780" s="37"/>
      <c r="AZ780" s="37"/>
      <c r="BA780" s="37"/>
      <c r="BB780" s="37"/>
      <c r="BC780" s="37"/>
      <c r="BD780" s="37"/>
    </row>
    <row r="781" spans="1:56" ht="9.75" customHeight="1" x14ac:dyDescent="0.3">
      <c r="A781" s="34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6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6"/>
      <c r="AI781" s="16"/>
      <c r="AJ781" s="37"/>
      <c r="AK781" s="37"/>
      <c r="AL781" s="37"/>
      <c r="AM781" s="37"/>
      <c r="AN781" s="37"/>
      <c r="AO781" s="37"/>
      <c r="AP781" s="37"/>
      <c r="AQ781" s="37"/>
      <c r="AR781" s="37"/>
      <c r="AS781" s="37"/>
      <c r="AT781" s="37"/>
      <c r="AU781" s="37"/>
      <c r="AV781" s="37"/>
      <c r="AW781" s="37"/>
      <c r="AX781" s="37"/>
      <c r="AY781" s="37"/>
      <c r="AZ781" s="37"/>
      <c r="BA781" s="37"/>
      <c r="BB781" s="37"/>
      <c r="BC781" s="37"/>
      <c r="BD781" s="37"/>
    </row>
    <row r="782" spans="1:56" ht="9.75" customHeight="1" x14ac:dyDescent="0.3">
      <c r="A782" s="34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6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6"/>
      <c r="AI782" s="16"/>
      <c r="AJ782" s="37"/>
      <c r="AK782" s="37"/>
      <c r="AL782" s="37"/>
      <c r="AM782" s="37"/>
      <c r="AN782" s="37"/>
      <c r="AO782" s="37"/>
      <c r="AP782" s="37"/>
      <c r="AQ782" s="37"/>
      <c r="AR782" s="37"/>
      <c r="AS782" s="37"/>
      <c r="AT782" s="37"/>
      <c r="AU782" s="37"/>
      <c r="AV782" s="37"/>
      <c r="AW782" s="37"/>
      <c r="AX782" s="37"/>
      <c r="AY782" s="37"/>
      <c r="AZ782" s="37"/>
      <c r="BA782" s="37"/>
      <c r="BB782" s="37"/>
      <c r="BC782" s="37"/>
      <c r="BD782" s="37"/>
    </row>
    <row r="783" spans="1:56" ht="9.75" customHeight="1" x14ac:dyDescent="0.3">
      <c r="A783" s="34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6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6"/>
      <c r="AI783" s="16"/>
      <c r="AJ783" s="37"/>
      <c r="AK783" s="37"/>
      <c r="AL783" s="37"/>
      <c r="AM783" s="37"/>
      <c r="AN783" s="37"/>
      <c r="AO783" s="37"/>
      <c r="AP783" s="37"/>
      <c r="AQ783" s="37"/>
      <c r="AR783" s="37"/>
      <c r="AS783" s="37"/>
      <c r="AT783" s="37"/>
      <c r="AU783" s="37"/>
      <c r="AV783" s="37"/>
      <c r="AW783" s="37"/>
      <c r="AX783" s="37"/>
      <c r="AY783" s="37"/>
      <c r="AZ783" s="37"/>
      <c r="BA783" s="37"/>
      <c r="BB783" s="37"/>
      <c r="BC783" s="37"/>
      <c r="BD783" s="37"/>
    </row>
    <row r="784" spans="1:56" ht="9.75" customHeight="1" x14ac:dyDescent="0.3">
      <c r="A784" s="34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6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6"/>
      <c r="AI784" s="16"/>
      <c r="AJ784" s="37"/>
      <c r="AK784" s="37"/>
      <c r="AL784" s="37"/>
      <c r="AM784" s="37"/>
      <c r="AN784" s="37"/>
      <c r="AO784" s="37"/>
      <c r="AP784" s="37"/>
      <c r="AQ784" s="37"/>
      <c r="AR784" s="37"/>
      <c r="AS784" s="37"/>
      <c r="AT784" s="37"/>
      <c r="AU784" s="37"/>
      <c r="AV784" s="37"/>
      <c r="AW784" s="37"/>
      <c r="AX784" s="37"/>
      <c r="AY784" s="37"/>
      <c r="AZ784" s="37"/>
      <c r="BA784" s="37"/>
      <c r="BB784" s="37"/>
      <c r="BC784" s="37"/>
      <c r="BD784" s="37"/>
    </row>
    <row r="785" spans="1:56" ht="9.75" customHeight="1" x14ac:dyDescent="0.3">
      <c r="A785" s="34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6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6"/>
      <c r="AI785" s="16"/>
      <c r="AJ785" s="37"/>
      <c r="AK785" s="37"/>
      <c r="AL785" s="37"/>
      <c r="AM785" s="37"/>
      <c r="AN785" s="37"/>
      <c r="AO785" s="37"/>
      <c r="AP785" s="37"/>
      <c r="AQ785" s="37"/>
      <c r="AR785" s="37"/>
      <c r="AS785" s="37"/>
      <c r="AT785" s="37"/>
      <c r="AU785" s="37"/>
      <c r="AV785" s="37"/>
      <c r="AW785" s="37"/>
      <c r="AX785" s="37"/>
      <c r="AY785" s="37"/>
      <c r="AZ785" s="37"/>
      <c r="BA785" s="37"/>
      <c r="BB785" s="37"/>
      <c r="BC785" s="37"/>
      <c r="BD785" s="37"/>
    </row>
    <row r="786" spans="1:56" ht="9.75" customHeight="1" x14ac:dyDescent="0.3">
      <c r="A786" s="34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6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6"/>
      <c r="AI786" s="16"/>
      <c r="AJ786" s="37"/>
      <c r="AK786" s="37"/>
      <c r="AL786" s="37"/>
      <c r="AM786" s="37"/>
      <c r="AN786" s="37"/>
      <c r="AO786" s="37"/>
      <c r="AP786" s="37"/>
      <c r="AQ786" s="37"/>
      <c r="AR786" s="37"/>
      <c r="AS786" s="37"/>
      <c r="AT786" s="37"/>
      <c r="AU786" s="37"/>
      <c r="AV786" s="37"/>
      <c r="AW786" s="37"/>
      <c r="AX786" s="37"/>
      <c r="AY786" s="37"/>
      <c r="AZ786" s="37"/>
      <c r="BA786" s="37"/>
      <c r="BB786" s="37"/>
      <c r="BC786" s="37"/>
      <c r="BD786" s="37"/>
    </row>
    <row r="787" spans="1:56" ht="9.75" customHeight="1" x14ac:dyDescent="0.3">
      <c r="A787" s="34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6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6"/>
      <c r="AI787" s="16"/>
      <c r="AJ787" s="37"/>
      <c r="AK787" s="37"/>
      <c r="AL787" s="37"/>
      <c r="AM787" s="37"/>
      <c r="AN787" s="37"/>
      <c r="AO787" s="37"/>
      <c r="AP787" s="37"/>
      <c r="AQ787" s="37"/>
      <c r="AR787" s="37"/>
      <c r="AS787" s="37"/>
      <c r="AT787" s="37"/>
      <c r="AU787" s="37"/>
      <c r="AV787" s="37"/>
      <c r="AW787" s="37"/>
      <c r="AX787" s="37"/>
      <c r="AY787" s="37"/>
      <c r="AZ787" s="37"/>
      <c r="BA787" s="37"/>
      <c r="BB787" s="37"/>
      <c r="BC787" s="37"/>
      <c r="BD787" s="37"/>
    </row>
    <row r="788" spans="1:56" ht="9.75" customHeight="1" x14ac:dyDescent="0.3">
      <c r="A788" s="34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6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6"/>
      <c r="AI788" s="16"/>
      <c r="AJ788" s="37"/>
      <c r="AK788" s="37"/>
      <c r="AL788" s="37"/>
      <c r="AM788" s="37"/>
      <c r="AN788" s="37"/>
      <c r="AO788" s="37"/>
      <c r="AP788" s="37"/>
      <c r="AQ788" s="37"/>
      <c r="AR788" s="37"/>
      <c r="AS788" s="37"/>
      <c r="AT788" s="37"/>
      <c r="AU788" s="37"/>
      <c r="AV788" s="37"/>
      <c r="AW788" s="37"/>
      <c r="AX788" s="37"/>
      <c r="AY788" s="37"/>
      <c r="AZ788" s="37"/>
      <c r="BA788" s="37"/>
      <c r="BB788" s="37"/>
      <c r="BC788" s="37"/>
      <c r="BD788" s="37"/>
    </row>
    <row r="789" spans="1:56" ht="9.75" customHeight="1" x14ac:dyDescent="0.3">
      <c r="A789" s="34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6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6"/>
      <c r="AI789" s="16"/>
      <c r="AJ789" s="37"/>
      <c r="AK789" s="37"/>
      <c r="AL789" s="37"/>
      <c r="AM789" s="37"/>
      <c r="AN789" s="37"/>
      <c r="AO789" s="37"/>
      <c r="AP789" s="37"/>
      <c r="AQ789" s="37"/>
      <c r="AR789" s="37"/>
      <c r="AS789" s="37"/>
      <c r="AT789" s="37"/>
      <c r="AU789" s="37"/>
      <c r="AV789" s="37"/>
      <c r="AW789" s="37"/>
      <c r="AX789" s="37"/>
      <c r="AY789" s="37"/>
      <c r="AZ789" s="37"/>
      <c r="BA789" s="37"/>
      <c r="BB789" s="37"/>
      <c r="BC789" s="37"/>
      <c r="BD789" s="37"/>
    </row>
    <row r="790" spans="1:56" ht="9.75" customHeight="1" x14ac:dyDescent="0.3">
      <c r="A790" s="34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6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6"/>
      <c r="AI790" s="16"/>
      <c r="AJ790" s="37"/>
      <c r="AK790" s="37"/>
      <c r="AL790" s="37"/>
      <c r="AM790" s="37"/>
      <c r="AN790" s="37"/>
      <c r="AO790" s="37"/>
      <c r="AP790" s="37"/>
      <c r="AQ790" s="37"/>
      <c r="AR790" s="37"/>
      <c r="AS790" s="37"/>
      <c r="AT790" s="37"/>
      <c r="AU790" s="37"/>
      <c r="AV790" s="37"/>
      <c r="AW790" s="37"/>
      <c r="AX790" s="37"/>
      <c r="AY790" s="37"/>
      <c r="AZ790" s="37"/>
      <c r="BA790" s="37"/>
      <c r="BB790" s="37"/>
      <c r="BC790" s="37"/>
      <c r="BD790" s="37"/>
    </row>
    <row r="791" spans="1:56" ht="9.75" customHeight="1" x14ac:dyDescent="0.3">
      <c r="A791" s="34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6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6"/>
      <c r="AI791" s="16"/>
      <c r="AJ791" s="37"/>
      <c r="AK791" s="37"/>
      <c r="AL791" s="37"/>
      <c r="AM791" s="37"/>
      <c r="AN791" s="37"/>
      <c r="AO791" s="37"/>
      <c r="AP791" s="37"/>
      <c r="AQ791" s="37"/>
      <c r="AR791" s="37"/>
      <c r="AS791" s="37"/>
      <c r="AT791" s="37"/>
      <c r="AU791" s="37"/>
      <c r="AV791" s="37"/>
      <c r="AW791" s="37"/>
      <c r="AX791" s="37"/>
      <c r="AY791" s="37"/>
      <c r="AZ791" s="37"/>
      <c r="BA791" s="37"/>
      <c r="BB791" s="37"/>
      <c r="BC791" s="37"/>
      <c r="BD791" s="37"/>
    </row>
    <row r="792" spans="1:56" ht="9.75" customHeight="1" x14ac:dyDescent="0.3">
      <c r="A792" s="34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6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6"/>
      <c r="AI792" s="16"/>
      <c r="AJ792" s="37"/>
      <c r="AK792" s="37"/>
      <c r="AL792" s="37"/>
      <c r="AM792" s="37"/>
      <c r="AN792" s="37"/>
      <c r="AO792" s="37"/>
      <c r="AP792" s="37"/>
      <c r="AQ792" s="37"/>
      <c r="AR792" s="37"/>
      <c r="AS792" s="37"/>
      <c r="AT792" s="37"/>
      <c r="AU792" s="37"/>
      <c r="AV792" s="37"/>
      <c r="AW792" s="37"/>
      <c r="AX792" s="37"/>
      <c r="AY792" s="37"/>
      <c r="AZ792" s="37"/>
      <c r="BA792" s="37"/>
      <c r="BB792" s="37"/>
      <c r="BC792" s="37"/>
      <c r="BD792" s="37"/>
    </row>
    <row r="793" spans="1:56" ht="9.75" customHeight="1" x14ac:dyDescent="0.3">
      <c r="A793" s="34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6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6"/>
      <c r="AI793" s="16"/>
      <c r="AJ793" s="37"/>
      <c r="AK793" s="37"/>
      <c r="AL793" s="37"/>
      <c r="AM793" s="37"/>
      <c r="AN793" s="37"/>
      <c r="AO793" s="37"/>
      <c r="AP793" s="37"/>
      <c r="AQ793" s="37"/>
      <c r="AR793" s="37"/>
      <c r="AS793" s="37"/>
      <c r="AT793" s="37"/>
      <c r="AU793" s="37"/>
      <c r="AV793" s="37"/>
      <c r="AW793" s="37"/>
      <c r="AX793" s="37"/>
      <c r="AY793" s="37"/>
      <c r="AZ793" s="37"/>
      <c r="BA793" s="37"/>
      <c r="BB793" s="37"/>
      <c r="BC793" s="37"/>
      <c r="BD793" s="37"/>
    </row>
    <row r="794" spans="1:56" ht="9.75" customHeight="1" x14ac:dyDescent="0.3">
      <c r="A794" s="34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6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6"/>
      <c r="AI794" s="16"/>
      <c r="AJ794" s="37"/>
      <c r="AK794" s="37"/>
      <c r="AL794" s="37"/>
      <c r="AM794" s="37"/>
      <c r="AN794" s="37"/>
      <c r="AO794" s="37"/>
      <c r="AP794" s="37"/>
      <c r="AQ794" s="37"/>
      <c r="AR794" s="37"/>
      <c r="AS794" s="37"/>
      <c r="AT794" s="37"/>
      <c r="AU794" s="37"/>
      <c r="AV794" s="37"/>
      <c r="AW794" s="37"/>
      <c r="AX794" s="37"/>
      <c r="AY794" s="37"/>
      <c r="AZ794" s="37"/>
      <c r="BA794" s="37"/>
      <c r="BB794" s="37"/>
      <c r="BC794" s="37"/>
      <c r="BD794" s="37"/>
    </row>
    <row r="795" spans="1:56" ht="9.75" customHeight="1" x14ac:dyDescent="0.3">
      <c r="A795" s="34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6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6"/>
      <c r="AI795" s="16"/>
      <c r="AJ795" s="37"/>
      <c r="AK795" s="37"/>
      <c r="AL795" s="37"/>
      <c r="AM795" s="37"/>
      <c r="AN795" s="37"/>
      <c r="AO795" s="37"/>
      <c r="AP795" s="37"/>
      <c r="AQ795" s="37"/>
      <c r="AR795" s="37"/>
      <c r="AS795" s="37"/>
      <c r="AT795" s="37"/>
      <c r="AU795" s="37"/>
      <c r="AV795" s="37"/>
      <c r="AW795" s="37"/>
      <c r="AX795" s="37"/>
      <c r="AY795" s="37"/>
      <c r="AZ795" s="37"/>
      <c r="BA795" s="37"/>
      <c r="BB795" s="37"/>
      <c r="BC795" s="37"/>
      <c r="BD795" s="37"/>
    </row>
    <row r="796" spans="1:56" ht="9.75" customHeight="1" x14ac:dyDescent="0.3">
      <c r="A796" s="34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6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6"/>
      <c r="AI796" s="16"/>
      <c r="AJ796" s="37"/>
      <c r="AK796" s="37"/>
      <c r="AL796" s="37"/>
      <c r="AM796" s="37"/>
      <c r="AN796" s="37"/>
      <c r="AO796" s="37"/>
      <c r="AP796" s="37"/>
      <c r="AQ796" s="37"/>
      <c r="AR796" s="37"/>
      <c r="AS796" s="37"/>
      <c r="AT796" s="37"/>
      <c r="AU796" s="37"/>
      <c r="AV796" s="37"/>
      <c r="AW796" s="37"/>
      <c r="AX796" s="37"/>
      <c r="AY796" s="37"/>
      <c r="AZ796" s="37"/>
      <c r="BA796" s="37"/>
      <c r="BB796" s="37"/>
      <c r="BC796" s="37"/>
      <c r="BD796" s="37"/>
    </row>
    <row r="797" spans="1:56" ht="9.75" customHeight="1" x14ac:dyDescent="0.3">
      <c r="A797" s="34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6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6"/>
      <c r="AI797" s="16"/>
      <c r="AJ797" s="37"/>
      <c r="AK797" s="37"/>
      <c r="AL797" s="37"/>
      <c r="AM797" s="37"/>
      <c r="AN797" s="37"/>
      <c r="AO797" s="37"/>
      <c r="AP797" s="37"/>
      <c r="AQ797" s="37"/>
      <c r="AR797" s="37"/>
      <c r="AS797" s="37"/>
      <c r="AT797" s="37"/>
      <c r="AU797" s="37"/>
      <c r="AV797" s="37"/>
      <c r="AW797" s="37"/>
      <c r="AX797" s="37"/>
      <c r="AY797" s="37"/>
      <c r="AZ797" s="37"/>
      <c r="BA797" s="37"/>
      <c r="BB797" s="37"/>
      <c r="BC797" s="37"/>
      <c r="BD797" s="37"/>
    </row>
    <row r="798" spans="1:56" ht="9.75" customHeight="1" x14ac:dyDescent="0.3">
      <c r="A798" s="34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6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6"/>
      <c r="AI798" s="16"/>
      <c r="AJ798" s="37"/>
      <c r="AK798" s="37"/>
      <c r="AL798" s="37"/>
      <c r="AM798" s="37"/>
      <c r="AN798" s="37"/>
      <c r="AO798" s="37"/>
      <c r="AP798" s="37"/>
      <c r="AQ798" s="37"/>
      <c r="AR798" s="37"/>
      <c r="AS798" s="37"/>
      <c r="AT798" s="37"/>
      <c r="AU798" s="37"/>
      <c r="AV798" s="37"/>
      <c r="AW798" s="37"/>
      <c r="AX798" s="37"/>
      <c r="AY798" s="37"/>
      <c r="AZ798" s="37"/>
      <c r="BA798" s="37"/>
      <c r="BB798" s="37"/>
      <c r="BC798" s="37"/>
      <c r="BD798" s="37"/>
    </row>
    <row r="799" spans="1:56" ht="9.75" customHeight="1" x14ac:dyDescent="0.3">
      <c r="A799" s="34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6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6"/>
      <c r="AI799" s="16"/>
      <c r="AJ799" s="37"/>
      <c r="AK799" s="37"/>
      <c r="AL799" s="37"/>
      <c r="AM799" s="37"/>
      <c r="AN799" s="37"/>
      <c r="AO799" s="37"/>
      <c r="AP799" s="37"/>
      <c r="AQ799" s="37"/>
      <c r="AR799" s="37"/>
      <c r="AS799" s="37"/>
      <c r="AT799" s="37"/>
      <c r="AU799" s="37"/>
      <c r="AV799" s="37"/>
      <c r="AW799" s="37"/>
      <c r="AX799" s="37"/>
      <c r="AY799" s="37"/>
      <c r="AZ799" s="37"/>
      <c r="BA799" s="37"/>
      <c r="BB799" s="37"/>
      <c r="BC799" s="37"/>
      <c r="BD799" s="37"/>
    </row>
    <row r="800" spans="1:56" ht="9.75" customHeight="1" x14ac:dyDescent="0.3">
      <c r="A800" s="34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6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6"/>
      <c r="AI800" s="16"/>
      <c r="AJ800" s="37"/>
      <c r="AK800" s="37"/>
      <c r="AL800" s="37"/>
      <c r="AM800" s="37"/>
      <c r="AN800" s="37"/>
      <c r="AO800" s="37"/>
      <c r="AP800" s="37"/>
      <c r="AQ800" s="37"/>
      <c r="AR800" s="37"/>
      <c r="AS800" s="37"/>
      <c r="AT800" s="37"/>
      <c r="AU800" s="37"/>
      <c r="AV800" s="37"/>
      <c r="AW800" s="37"/>
      <c r="AX800" s="37"/>
      <c r="AY800" s="37"/>
      <c r="AZ800" s="37"/>
      <c r="BA800" s="37"/>
      <c r="BB800" s="37"/>
      <c r="BC800" s="37"/>
      <c r="BD800" s="37"/>
    </row>
    <row r="801" spans="1:56" ht="9.75" customHeight="1" x14ac:dyDescent="0.3">
      <c r="A801" s="34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6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6"/>
      <c r="AI801" s="16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  <c r="AX801" s="37"/>
      <c r="AY801" s="37"/>
      <c r="AZ801" s="37"/>
      <c r="BA801" s="37"/>
      <c r="BB801" s="37"/>
      <c r="BC801" s="37"/>
      <c r="BD801" s="37"/>
    </row>
    <row r="802" spans="1:56" ht="9.75" customHeight="1" x14ac:dyDescent="0.3">
      <c r="A802" s="34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6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6"/>
      <c r="AI802" s="16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  <c r="AX802" s="37"/>
      <c r="AY802" s="37"/>
      <c r="AZ802" s="37"/>
      <c r="BA802" s="37"/>
      <c r="BB802" s="37"/>
      <c r="BC802" s="37"/>
      <c r="BD802" s="37"/>
    </row>
    <row r="803" spans="1:56" ht="9.75" customHeight="1" x14ac:dyDescent="0.3">
      <c r="A803" s="34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6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6"/>
      <c r="AI803" s="16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  <c r="AX803" s="37"/>
      <c r="AY803" s="37"/>
      <c r="AZ803" s="37"/>
      <c r="BA803" s="37"/>
      <c r="BB803" s="37"/>
      <c r="BC803" s="37"/>
      <c r="BD803" s="37"/>
    </row>
    <row r="804" spans="1:56" ht="9.75" customHeight="1" x14ac:dyDescent="0.3">
      <c r="A804" s="34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6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6"/>
      <c r="AI804" s="16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  <c r="AX804" s="37"/>
      <c r="AY804" s="37"/>
      <c r="AZ804" s="37"/>
      <c r="BA804" s="37"/>
      <c r="BB804" s="37"/>
      <c r="BC804" s="37"/>
      <c r="BD804" s="37"/>
    </row>
    <row r="805" spans="1:56" ht="9.75" customHeight="1" x14ac:dyDescent="0.3">
      <c r="A805" s="34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6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6"/>
      <c r="AI805" s="16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  <c r="AX805" s="37"/>
      <c r="AY805" s="37"/>
      <c r="AZ805" s="37"/>
      <c r="BA805" s="37"/>
      <c r="BB805" s="37"/>
      <c r="BC805" s="37"/>
      <c r="BD805" s="37"/>
    </row>
    <row r="806" spans="1:56" ht="9.75" customHeight="1" x14ac:dyDescent="0.3">
      <c r="A806" s="34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6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6"/>
      <c r="AI806" s="16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  <c r="AX806" s="37"/>
      <c r="AY806" s="37"/>
      <c r="AZ806" s="37"/>
      <c r="BA806" s="37"/>
      <c r="BB806" s="37"/>
      <c r="BC806" s="37"/>
      <c r="BD806" s="37"/>
    </row>
    <row r="807" spans="1:56" ht="9.75" customHeight="1" x14ac:dyDescent="0.3">
      <c r="A807" s="34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6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6"/>
      <c r="AI807" s="16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  <c r="AX807" s="37"/>
      <c r="AY807" s="37"/>
      <c r="AZ807" s="37"/>
      <c r="BA807" s="37"/>
      <c r="BB807" s="37"/>
      <c r="BC807" s="37"/>
      <c r="BD807" s="37"/>
    </row>
    <row r="808" spans="1:56" ht="9.75" customHeight="1" x14ac:dyDescent="0.3">
      <c r="A808" s="34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6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6"/>
      <c r="AI808" s="16"/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  <c r="AX808" s="37"/>
      <c r="AY808" s="37"/>
      <c r="AZ808" s="37"/>
      <c r="BA808" s="37"/>
      <c r="BB808" s="37"/>
      <c r="BC808" s="37"/>
      <c r="BD808" s="37"/>
    </row>
    <row r="809" spans="1:56" ht="9.75" customHeight="1" x14ac:dyDescent="0.3">
      <c r="A809" s="34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6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6"/>
      <c r="AI809" s="16"/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  <c r="AX809" s="37"/>
      <c r="AY809" s="37"/>
      <c r="AZ809" s="37"/>
      <c r="BA809" s="37"/>
      <c r="BB809" s="37"/>
      <c r="BC809" s="37"/>
      <c r="BD809" s="37"/>
    </row>
    <row r="810" spans="1:56" ht="9.75" customHeight="1" x14ac:dyDescent="0.3">
      <c r="A810" s="34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6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6"/>
      <c r="AI810" s="16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  <c r="AX810" s="37"/>
      <c r="AY810" s="37"/>
      <c r="AZ810" s="37"/>
      <c r="BA810" s="37"/>
      <c r="BB810" s="37"/>
      <c r="BC810" s="37"/>
      <c r="BD810" s="37"/>
    </row>
    <row r="811" spans="1:56" ht="9.75" customHeight="1" x14ac:dyDescent="0.3">
      <c r="A811" s="34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6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6"/>
      <c r="AI811" s="16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  <c r="AX811" s="37"/>
      <c r="AY811" s="37"/>
      <c r="AZ811" s="37"/>
      <c r="BA811" s="37"/>
      <c r="BB811" s="37"/>
      <c r="BC811" s="37"/>
      <c r="BD811" s="37"/>
    </row>
    <row r="812" spans="1:56" ht="9.75" customHeight="1" x14ac:dyDescent="0.3">
      <c r="A812" s="34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6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6"/>
      <c r="AI812" s="16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/>
      <c r="AX812" s="37"/>
      <c r="AY812" s="37"/>
      <c r="AZ812" s="37"/>
      <c r="BA812" s="37"/>
      <c r="BB812" s="37"/>
      <c r="BC812" s="37"/>
      <c r="BD812" s="37"/>
    </row>
    <row r="813" spans="1:56" ht="9.75" customHeight="1" x14ac:dyDescent="0.3">
      <c r="A813" s="34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6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6"/>
      <c r="AI813" s="16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  <c r="AX813" s="37"/>
      <c r="AY813" s="37"/>
      <c r="AZ813" s="37"/>
      <c r="BA813" s="37"/>
      <c r="BB813" s="37"/>
      <c r="BC813" s="37"/>
      <c r="BD813" s="37"/>
    </row>
    <row r="814" spans="1:56" ht="9.75" customHeight="1" x14ac:dyDescent="0.3">
      <c r="A814" s="34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6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6"/>
      <c r="AI814" s="16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  <c r="AX814" s="37"/>
      <c r="AY814" s="37"/>
      <c r="AZ814" s="37"/>
      <c r="BA814" s="37"/>
      <c r="BB814" s="37"/>
      <c r="BC814" s="37"/>
      <c r="BD814" s="37"/>
    </row>
    <row r="815" spans="1:56" ht="9.75" customHeight="1" x14ac:dyDescent="0.3">
      <c r="A815" s="34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6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6"/>
      <c r="AI815" s="16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  <c r="AX815" s="37"/>
      <c r="AY815" s="37"/>
      <c r="AZ815" s="37"/>
      <c r="BA815" s="37"/>
      <c r="BB815" s="37"/>
      <c r="BC815" s="37"/>
      <c r="BD815" s="37"/>
    </row>
    <row r="816" spans="1:56" ht="9.75" customHeight="1" x14ac:dyDescent="0.3">
      <c r="A816" s="34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6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6"/>
      <c r="AI816" s="16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  <c r="AX816" s="37"/>
      <c r="AY816" s="37"/>
      <c r="AZ816" s="37"/>
      <c r="BA816" s="37"/>
      <c r="BB816" s="37"/>
      <c r="BC816" s="37"/>
      <c r="BD816" s="37"/>
    </row>
    <row r="817" spans="1:56" ht="9.75" customHeight="1" x14ac:dyDescent="0.3">
      <c r="A817" s="34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6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6"/>
      <c r="AI817" s="16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  <c r="AX817" s="37"/>
      <c r="AY817" s="37"/>
      <c r="AZ817" s="37"/>
      <c r="BA817" s="37"/>
      <c r="BB817" s="37"/>
      <c r="BC817" s="37"/>
      <c r="BD817" s="37"/>
    </row>
    <row r="818" spans="1:56" ht="9.75" customHeight="1" x14ac:dyDescent="0.3">
      <c r="A818" s="34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6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6"/>
      <c r="AI818" s="16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  <c r="AX818" s="37"/>
      <c r="AY818" s="37"/>
      <c r="AZ818" s="37"/>
      <c r="BA818" s="37"/>
      <c r="BB818" s="37"/>
      <c r="BC818" s="37"/>
      <c r="BD818" s="37"/>
    </row>
    <row r="819" spans="1:56" ht="9.75" customHeight="1" x14ac:dyDescent="0.3">
      <c r="A819" s="34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6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6"/>
      <c r="AI819" s="16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  <c r="AX819" s="37"/>
      <c r="AY819" s="37"/>
      <c r="AZ819" s="37"/>
      <c r="BA819" s="37"/>
      <c r="BB819" s="37"/>
      <c r="BC819" s="37"/>
      <c r="BD819" s="37"/>
    </row>
    <row r="820" spans="1:56" ht="9.75" customHeight="1" x14ac:dyDescent="0.3">
      <c r="A820" s="34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6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6"/>
      <c r="AI820" s="16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  <c r="AX820" s="37"/>
      <c r="AY820" s="37"/>
      <c r="AZ820" s="37"/>
      <c r="BA820" s="37"/>
      <c r="BB820" s="37"/>
      <c r="BC820" s="37"/>
      <c r="BD820" s="37"/>
    </row>
    <row r="821" spans="1:56" ht="9.75" customHeight="1" x14ac:dyDescent="0.3">
      <c r="A821" s="34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6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6"/>
      <c r="AI821" s="16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  <c r="AX821" s="37"/>
      <c r="AY821" s="37"/>
      <c r="AZ821" s="37"/>
      <c r="BA821" s="37"/>
      <c r="BB821" s="37"/>
      <c r="BC821" s="37"/>
      <c r="BD821" s="37"/>
    </row>
    <row r="822" spans="1:56" ht="9.75" customHeight="1" x14ac:dyDescent="0.3">
      <c r="A822" s="34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6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6"/>
      <c r="AI822" s="16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  <c r="AX822" s="37"/>
      <c r="AY822" s="37"/>
      <c r="AZ822" s="37"/>
      <c r="BA822" s="37"/>
      <c r="BB822" s="37"/>
      <c r="BC822" s="37"/>
      <c r="BD822" s="37"/>
    </row>
    <row r="823" spans="1:56" ht="9.75" customHeight="1" x14ac:dyDescent="0.3">
      <c r="A823" s="34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6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6"/>
      <c r="AI823" s="16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  <c r="AX823" s="37"/>
      <c r="AY823" s="37"/>
      <c r="AZ823" s="37"/>
      <c r="BA823" s="37"/>
      <c r="BB823" s="37"/>
      <c r="BC823" s="37"/>
      <c r="BD823" s="37"/>
    </row>
    <row r="824" spans="1:56" ht="9.75" customHeight="1" x14ac:dyDescent="0.3">
      <c r="A824" s="34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6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6"/>
      <c r="AI824" s="16"/>
      <c r="AJ824" s="37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  <c r="AX824" s="37"/>
      <c r="AY824" s="37"/>
      <c r="AZ824" s="37"/>
      <c r="BA824" s="37"/>
      <c r="BB824" s="37"/>
      <c r="BC824" s="37"/>
      <c r="BD824" s="37"/>
    </row>
    <row r="825" spans="1:56" ht="9.75" customHeight="1" x14ac:dyDescent="0.3">
      <c r="A825" s="34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6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6"/>
      <c r="AI825" s="16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  <c r="AX825" s="37"/>
      <c r="AY825" s="37"/>
      <c r="AZ825" s="37"/>
      <c r="BA825" s="37"/>
      <c r="BB825" s="37"/>
      <c r="BC825" s="37"/>
      <c r="BD825" s="37"/>
    </row>
    <row r="826" spans="1:56" ht="9.75" customHeight="1" x14ac:dyDescent="0.3">
      <c r="A826" s="34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6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6"/>
      <c r="AI826" s="16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  <c r="AX826" s="37"/>
      <c r="AY826" s="37"/>
      <c r="AZ826" s="37"/>
      <c r="BA826" s="37"/>
      <c r="BB826" s="37"/>
      <c r="BC826" s="37"/>
      <c r="BD826" s="37"/>
    </row>
    <row r="827" spans="1:56" ht="9.75" customHeight="1" x14ac:dyDescent="0.3">
      <c r="A827" s="34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6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6"/>
      <c r="AI827" s="16"/>
      <c r="AJ827" s="37"/>
      <c r="AK827" s="37"/>
      <c r="AL827" s="37"/>
      <c r="AM827" s="37"/>
      <c r="AN827" s="37"/>
      <c r="AO827" s="37"/>
      <c r="AP827" s="37"/>
      <c r="AQ827" s="37"/>
      <c r="AR827" s="37"/>
      <c r="AS827" s="37"/>
      <c r="AT827" s="37"/>
      <c r="AU827" s="37"/>
      <c r="AV827" s="37"/>
      <c r="AW827" s="37"/>
      <c r="AX827" s="37"/>
      <c r="AY827" s="37"/>
      <c r="AZ827" s="37"/>
      <c r="BA827" s="37"/>
      <c r="BB827" s="37"/>
      <c r="BC827" s="37"/>
      <c r="BD827" s="37"/>
    </row>
    <row r="828" spans="1:56" ht="9.75" customHeight="1" x14ac:dyDescent="0.3">
      <c r="A828" s="34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6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6"/>
      <c r="AI828" s="16"/>
      <c r="AJ828" s="37"/>
      <c r="AK828" s="37"/>
      <c r="AL828" s="37"/>
      <c r="AM828" s="37"/>
      <c r="AN828" s="37"/>
      <c r="AO828" s="37"/>
      <c r="AP828" s="37"/>
      <c r="AQ828" s="37"/>
      <c r="AR828" s="37"/>
      <c r="AS828" s="37"/>
      <c r="AT828" s="37"/>
      <c r="AU828" s="37"/>
      <c r="AV828" s="37"/>
      <c r="AW828" s="37"/>
      <c r="AX828" s="37"/>
      <c r="AY828" s="37"/>
      <c r="AZ828" s="37"/>
      <c r="BA828" s="37"/>
      <c r="BB828" s="37"/>
      <c r="BC828" s="37"/>
      <c r="BD828" s="37"/>
    </row>
    <row r="829" spans="1:56" ht="9.75" customHeight="1" x14ac:dyDescent="0.3">
      <c r="A829" s="34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6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6"/>
      <c r="AI829" s="16"/>
      <c r="AJ829" s="37"/>
      <c r="AK829" s="37"/>
      <c r="AL829" s="37"/>
      <c r="AM829" s="37"/>
      <c r="AN829" s="37"/>
      <c r="AO829" s="37"/>
      <c r="AP829" s="37"/>
      <c r="AQ829" s="37"/>
      <c r="AR829" s="37"/>
      <c r="AS829" s="37"/>
      <c r="AT829" s="37"/>
      <c r="AU829" s="37"/>
      <c r="AV829" s="37"/>
      <c r="AW829" s="37"/>
      <c r="AX829" s="37"/>
      <c r="AY829" s="37"/>
      <c r="AZ829" s="37"/>
      <c r="BA829" s="37"/>
      <c r="BB829" s="37"/>
      <c r="BC829" s="37"/>
      <c r="BD829" s="37"/>
    </row>
    <row r="830" spans="1:56" ht="9.75" customHeight="1" x14ac:dyDescent="0.3">
      <c r="A830" s="34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6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6"/>
      <c r="AI830" s="16"/>
      <c r="AJ830" s="37"/>
      <c r="AK830" s="37"/>
      <c r="AL830" s="37"/>
      <c r="AM830" s="37"/>
      <c r="AN830" s="37"/>
      <c r="AO830" s="37"/>
      <c r="AP830" s="37"/>
      <c r="AQ830" s="37"/>
      <c r="AR830" s="37"/>
      <c r="AS830" s="37"/>
      <c r="AT830" s="37"/>
      <c r="AU830" s="37"/>
      <c r="AV830" s="37"/>
      <c r="AW830" s="37"/>
      <c r="AX830" s="37"/>
      <c r="AY830" s="37"/>
      <c r="AZ830" s="37"/>
      <c r="BA830" s="37"/>
      <c r="BB830" s="37"/>
      <c r="BC830" s="37"/>
      <c r="BD830" s="37"/>
    </row>
    <row r="831" spans="1:56" ht="9.75" customHeight="1" x14ac:dyDescent="0.3">
      <c r="A831" s="34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6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6"/>
      <c r="AI831" s="16"/>
      <c r="AJ831" s="37"/>
      <c r="AK831" s="37"/>
      <c r="AL831" s="37"/>
      <c r="AM831" s="37"/>
      <c r="AN831" s="37"/>
      <c r="AO831" s="37"/>
      <c r="AP831" s="37"/>
      <c r="AQ831" s="37"/>
      <c r="AR831" s="37"/>
      <c r="AS831" s="37"/>
      <c r="AT831" s="37"/>
      <c r="AU831" s="37"/>
      <c r="AV831" s="37"/>
      <c r="AW831" s="37"/>
      <c r="AX831" s="37"/>
      <c r="AY831" s="37"/>
      <c r="AZ831" s="37"/>
      <c r="BA831" s="37"/>
      <c r="BB831" s="37"/>
      <c r="BC831" s="37"/>
      <c r="BD831" s="37"/>
    </row>
    <row r="832" spans="1:56" ht="9.75" customHeight="1" x14ac:dyDescent="0.3">
      <c r="A832" s="34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6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6"/>
      <c r="AI832" s="16"/>
      <c r="AJ832" s="37"/>
      <c r="AK832" s="37"/>
      <c r="AL832" s="37"/>
      <c r="AM832" s="37"/>
      <c r="AN832" s="37"/>
      <c r="AO832" s="37"/>
      <c r="AP832" s="37"/>
      <c r="AQ832" s="37"/>
      <c r="AR832" s="37"/>
      <c r="AS832" s="37"/>
      <c r="AT832" s="37"/>
      <c r="AU832" s="37"/>
      <c r="AV832" s="37"/>
      <c r="AW832" s="37"/>
      <c r="AX832" s="37"/>
      <c r="AY832" s="37"/>
      <c r="AZ832" s="37"/>
      <c r="BA832" s="37"/>
      <c r="BB832" s="37"/>
      <c r="BC832" s="37"/>
      <c r="BD832" s="37"/>
    </row>
    <row r="833" spans="1:56" ht="9.75" customHeight="1" x14ac:dyDescent="0.3">
      <c r="A833" s="34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6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6"/>
      <c r="AI833" s="16"/>
      <c r="AJ833" s="37"/>
      <c r="AK833" s="37"/>
      <c r="AL833" s="37"/>
      <c r="AM833" s="37"/>
      <c r="AN833" s="37"/>
      <c r="AO833" s="37"/>
      <c r="AP833" s="37"/>
      <c r="AQ833" s="37"/>
      <c r="AR833" s="37"/>
      <c r="AS833" s="37"/>
      <c r="AT833" s="37"/>
      <c r="AU833" s="37"/>
      <c r="AV833" s="37"/>
      <c r="AW833" s="37"/>
      <c r="AX833" s="37"/>
      <c r="AY833" s="37"/>
      <c r="AZ833" s="37"/>
      <c r="BA833" s="37"/>
      <c r="BB833" s="37"/>
      <c r="BC833" s="37"/>
      <c r="BD833" s="37"/>
    </row>
    <row r="834" spans="1:56" ht="9.75" customHeight="1" x14ac:dyDescent="0.3">
      <c r="A834" s="34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6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6"/>
      <c r="AI834" s="16"/>
      <c r="AJ834" s="37"/>
      <c r="AK834" s="37"/>
      <c r="AL834" s="37"/>
      <c r="AM834" s="37"/>
      <c r="AN834" s="37"/>
      <c r="AO834" s="37"/>
      <c r="AP834" s="37"/>
      <c r="AQ834" s="37"/>
      <c r="AR834" s="37"/>
      <c r="AS834" s="37"/>
      <c r="AT834" s="37"/>
      <c r="AU834" s="37"/>
      <c r="AV834" s="37"/>
      <c r="AW834" s="37"/>
      <c r="AX834" s="37"/>
      <c r="AY834" s="37"/>
      <c r="AZ834" s="37"/>
      <c r="BA834" s="37"/>
      <c r="BB834" s="37"/>
      <c r="BC834" s="37"/>
      <c r="BD834" s="37"/>
    </row>
    <row r="835" spans="1:56" ht="9.75" customHeight="1" x14ac:dyDescent="0.3">
      <c r="A835" s="34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6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6"/>
      <c r="AI835" s="16"/>
      <c r="AJ835" s="37"/>
      <c r="AK835" s="37"/>
      <c r="AL835" s="37"/>
      <c r="AM835" s="37"/>
      <c r="AN835" s="37"/>
      <c r="AO835" s="37"/>
      <c r="AP835" s="37"/>
      <c r="AQ835" s="37"/>
      <c r="AR835" s="37"/>
      <c r="AS835" s="37"/>
      <c r="AT835" s="37"/>
      <c r="AU835" s="37"/>
      <c r="AV835" s="37"/>
      <c r="AW835" s="37"/>
      <c r="AX835" s="37"/>
      <c r="AY835" s="37"/>
      <c r="AZ835" s="37"/>
      <c r="BA835" s="37"/>
      <c r="BB835" s="37"/>
      <c r="BC835" s="37"/>
      <c r="BD835" s="37"/>
    </row>
    <row r="836" spans="1:56" ht="9.75" customHeight="1" x14ac:dyDescent="0.3">
      <c r="A836" s="34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6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6"/>
      <c r="AI836" s="16"/>
      <c r="AJ836" s="37"/>
      <c r="AK836" s="37"/>
      <c r="AL836" s="37"/>
      <c r="AM836" s="37"/>
      <c r="AN836" s="37"/>
      <c r="AO836" s="37"/>
      <c r="AP836" s="37"/>
      <c r="AQ836" s="37"/>
      <c r="AR836" s="37"/>
      <c r="AS836" s="37"/>
      <c r="AT836" s="37"/>
      <c r="AU836" s="37"/>
      <c r="AV836" s="37"/>
      <c r="AW836" s="37"/>
      <c r="AX836" s="37"/>
      <c r="AY836" s="37"/>
      <c r="AZ836" s="37"/>
      <c r="BA836" s="37"/>
      <c r="BB836" s="37"/>
      <c r="BC836" s="37"/>
      <c r="BD836" s="37"/>
    </row>
    <row r="837" spans="1:56" ht="9.75" customHeight="1" x14ac:dyDescent="0.3">
      <c r="A837" s="34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6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6"/>
      <c r="AI837" s="16"/>
      <c r="AJ837" s="37"/>
      <c r="AK837" s="37"/>
      <c r="AL837" s="37"/>
      <c r="AM837" s="37"/>
      <c r="AN837" s="37"/>
      <c r="AO837" s="37"/>
      <c r="AP837" s="37"/>
      <c r="AQ837" s="37"/>
      <c r="AR837" s="37"/>
      <c r="AS837" s="37"/>
      <c r="AT837" s="37"/>
      <c r="AU837" s="37"/>
      <c r="AV837" s="37"/>
      <c r="AW837" s="37"/>
      <c r="AX837" s="37"/>
      <c r="AY837" s="37"/>
      <c r="AZ837" s="37"/>
      <c r="BA837" s="37"/>
      <c r="BB837" s="37"/>
      <c r="BC837" s="37"/>
      <c r="BD837" s="37"/>
    </row>
    <row r="838" spans="1:56" ht="9.75" customHeight="1" x14ac:dyDescent="0.3">
      <c r="A838" s="34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6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6"/>
      <c r="AI838" s="16"/>
      <c r="AJ838" s="37"/>
      <c r="AK838" s="37"/>
      <c r="AL838" s="37"/>
      <c r="AM838" s="37"/>
      <c r="AN838" s="37"/>
      <c r="AO838" s="37"/>
      <c r="AP838" s="37"/>
      <c r="AQ838" s="37"/>
      <c r="AR838" s="37"/>
      <c r="AS838" s="37"/>
      <c r="AT838" s="37"/>
      <c r="AU838" s="37"/>
      <c r="AV838" s="37"/>
      <c r="AW838" s="37"/>
      <c r="AX838" s="37"/>
      <c r="AY838" s="37"/>
      <c r="AZ838" s="37"/>
      <c r="BA838" s="37"/>
      <c r="BB838" s="37"/>
      <c r="BC838" s="37"/>
      <c r="BD838" s="37"/>
    </row>
    <row r="839" spans="1:56" ht="9.75" customHeight="1" x14ac:dyDescent="0.3">
      <c r="A839" s="34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6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6"/>
      <c r="AI839" s="16"/>
      <c r="AJ839" s="37"/>
      <c r="AK839" s="37"/>
      <c r="AL839" s="37"/>
      <c r="AM839" s="37"/>
      <c r="AN839" s="37"/>
      <c r="AO839" s="37"/>
      <c r="AP839" s="37"/>
      <c r="AQ839" s="37"/>
      <c r="AR839" s="37"/>
      <c r="AS839" s="37"/>
      <c r="AT839" s="37"/>
      <c r="AU839" s="37"/>
      <c r="AV839" s="37"/>
      <c r="AW839" s="37"/>
      <c r="AX839" s="37"/>
      <c r="AY839" s="37"/>
      <c r="AZ839" s="37"/>
      <c r="BA839" s="37"/>
      <c r="BB839" s="37"/>
      <c r="BC839" s="37"/>
      <c r="BD839" s="37"/>
    </row>
    <row r="840" spans="1:56" ht="9.75" customHeight="1" x14ac:dyDescent="0.3">
      <c r="A840" s="34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6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6"/>
      <c r="AI840" s="16"/>
      <c r="AJ840" s="37"/>
      <c r="AK840" s="37"/>
      <c r="AL840" s="37"/>
      <c r="AM840" s="37"/>
      <c r="AN840" s="37"/>
      <c r="AO840" s="37"/>
      <c r="AP840" s="37"/>
      <c r="AQ840" s="37"/>
      <c r="AR840" s="37"/>
      <c r="AS840" s="37"/>
      <c r="AT840" s="37"/>
      <c r="AU840" s="37"/>
      <c r="AV840" s="37"/>
      <c r="AW840" s="37"/>
      <c r="AX840" s="37"/>
      <c r="AY840" s="37"/>
      <c r="AZ840" s="37"/>
      <c r="BA840" s="37"/>
      <c r="BB840" s="37"/>
      <c r="BC840" s="37"/>
      <c r="BD840" s="37"/>
    </row>
    <row r="841" spans="1:56" ht="9.75" customHeight="1" x14ac:dyDescent="0.3">
      <c r="A841" s="34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6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6"/>
      <c r="AI841" s="16"/>
      <c r="AJ841" s="37"/>
      <c r="AK841" s="37"/>
      <c r="AL841" s="37"/>
      <c r="AM841" s="37"/>
      <c r="AN841" s="37"/>
      <c r="AO841" s="37"/>
      <c r="AP841" s="37"/>
      <c r="AQ841" s="37"/>
      <c r="AR841" s="37"/>
      <c r="AS841" s="37"/>
      <c r="AT841" s="37"/>
      <c r="AU841" s="37"/>
      <c r="AV841" s="37"/>
      <c r="AW841" s="37"/>
      <c r="AX841" s="37"/>
      <c r="AY841" s="37"/>
      <c r="AZ841" s="37"/>
      <c r="BA841" s="37"/>
      <c r="BB841" s="37"/>
      <c r="BC841" s="37"/>
      <c r="BD841" s="37"/>
    </row>
    <row r="842" spans="1:56" ht="9.75" customHeight="1" x14ac:dyDescent="0.3">
      <c r="A842" s="34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6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6"/>
      <c r="AI842" s="16"/>
      <c r="AJ842" s="37"/>
      <c r="AK842" s="37"/>
      <c r="AL842" s="37"/>
      <c r="AM842" s="37"/>
      <c r="AN842" s="37"/>
      <c r="AO842" s="37"/>
      <c r="AP842" s="37"/>
      <c r="AQ842" s="37"/>
      <c r="AR842" s="37"/>
      <c r="AS842" s="37"/>
      <c r="AT842" s="37"/>
      <c r="AU842" s="37"/>
      <c r="AV842" s="37"/>
      <c r="AW842" s="37"/>
      <c r="AX842" s="37"/>
      <c r="AY842" s="37"/>
      <c r="AZ842" s="37"/>
      <c r="BA842" s="37"/>
      <c r="BB842" s="37"/>
      <c r="BC842" s="37"/>
      <c r="BD842" s="37"/>
    </row>
    <row r="843" spans="1:56" ht="9.75" customHeight="1" x14ac:dyDescent="0.3">
      <c r="A843" s="34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6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6"/>
      <c r="AI843" s="16"/>
      <c r="AJ843" s="37"/>
      <c r="AK843" s="37"/>
      <c r="AL843" s="37"/>
      <c r="AM843" s="37"/>
      <c r="AN843" s="37"/>
      <c r="AO843" s="37"/>
      <c r="AP843" s="37"/>
      <c r="AQ843" s="37"/>
      <c r="AR843" s="37"/>
      <c r="AS843" s="37"/>
      <c r="AT843" s="37"/>
      <c r="AU843" s="37"/>
      <c r="AV843" s="37"/>
      <c r="AW843" s="37"/>
      <c r="AX843" s="37"/>
      <c r="AY843" s="37"/>
      <c r="AZ843" s="37"/>
      <c r="BA843" s="37"/>
      <c r="BB843" s="37"/>
      <c r="BC843" s="37"/>
      <c r="BD843" s="37"/>
    </row>
    <row r="844" spans="1:56" ht="9.75" customHeight="1" x14ac:dyDescent="0.3">
      <c r="A844" s="34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6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6"/>
      <c r="AI844" s="16"/>
      <c r="AJ844" s="37"/>
      <c r="AK844" s="37"/>
      <c r="AL844" s="37"/>
      <c r="AM844" s="37"/>
      <c r="AN844" s="37"/>
      <c r="AO844" s="37"/>
      <c r="AP844" s="37"/>
      <c r="AQ844" s="37"/>
      <c r="AR844" s="37"/>
      <c r="AS844" s="37"/>
      <c r="AT844" s="37"/>
      <c r="AU844" s="37"/>
      <c r="AV844" s="37"/>
      <c r="AW844" s="37"/>
      <c r="AX844" s="37"/>
      <c r="AY844" s="37"/>
      <c r="AZ844" s="37"/>
      <c r="BA844" s="37"/>
      <c r="BB844" s="37"/>
      <c r="BC844" s="37"/>
      <c r="BD844" s="37"/>
    </row>
    <row r="845" spans="1:56" ht="9.75" customHeight="1" x14ac:dyDescent="0.3">
      <c r="A845" s="34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6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6"/>
      <c r="AI845" s="16"/>
      <c r="AJ845" s="37"/>
      <c r="AK845" s="37"/>
      <c r="AL845" s="37"/>
      <c r="AM845" s="37"/>
      <c r="AN845" s="37"/>
      <c r="AO845" s="37"/>
      <c r="AP845" s="37"/>
      <c r="AQ845" s="37"/>
      <c r="AR845" s="37"/>
      <c r="AS845" s="37"/>
      <c r="AT845" s="37"/>
      <c r="AU845" s="37"/>
      <c r="AV845" s="37"/>
      <c r="AW845" s="37"/>
      <c r="AX845" s="37"/>
      <c r="AY845" s="37"/>
      <c r="AZ845" s="37"/>
      <c r="BA845" s="37"/>
      <c r="BB845" s="37"/>
      <c r="BC845" s="37"/>
      <c r="BD845" s="37"/>
    </row>
    <row r="846" spans="1:56" ht="9.75" customHeight="1" x14ac:dyDescent="0.3">
      <c r="A846" s="34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6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6"/>
      <c r="AI846" s="16"/>
      <c r="AJ846" s="37"/>
      <c r="AK846" s="37"/>
      <c r="AL846" s="37"/>
      <c r="AM846" s="37"/>
      <c r="AN846" s="37"/>
      <c r="AO846" s="37"/>
      <c r="AP846" s="37"/>
      <c r="AQ846" s="37"/>
      <c r="AR846" s="37"/>
      <c r="AS846" s="37"/>
      <c r="AT846" s="37"/>
      <c r="AU846" s="37"/>
      <c r="AV846" s="37"/>
      <c r="AW846" s="37"/>
      <c r="AX846" s="37"/>
      <c r="AY846" s="37"/>
      <c r="AZ846" s="37"/>
      <c r="BA846" s="37"/>
      <c r="BB846" s="37"/>
      <c r="BC846" s="37"/>
      <c r="BD846" s="37"/>
    </row>
    <row r="847" spans="1:56" ht="9.75" customHeight="1" x14ac:dyDescent="0.3">
      <c r="A847" s="34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6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6"/>
      <c r="AI847" s="16"/>
      <c r="AJ847" s="37"/>
      <c r="AK847" s="37"/>
      <c r="AL847" s="37"/>
      <c r="AM847" s="37"/>
      <c r="AN847" s="37"/>
      <c r="AO847" s="37"/>
      <c r="AP847" s="37"/>
      <c r="AQ847" s="37"/>
      <c r="AR847" s="37"/>
      <c r="AS847" s="37"/>
      <c r="AT847" s="37"/>
      <c r="AU847" s="37"/>
      <c r="AV847" s="37"/>
      <c r="AW847" s="37"/>
      <c r="AX847" s="37"/>
      <c r="AY847" s="37"/>
      <c r="AZ847" s="37"/>
      <c r="BA847" s="37"/>
      <c r="BB847" s="37"/>
      <c r="BC847" s="37"/>
      <c r="BD847" s="37"/>
    </row>
    <row r="848" spans="1:56" ht="9.75" customHeight="1" x14ac:dyDescent="0.3">
      <c r="A848" s="34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6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6"/>
      <c r="AI848" s="16"/>
      <c r="AJ848" s="37"/>
      <c r="AK848" s="37"/>
      <c r="AL848" s="37"/>
      <c r="AM848" s="37"/>
      <c r="AN848" s="37"/>
      <c r="AO848" s="37"/>
      <c r="AP848" s="37"/>
      <c r="AQ848" s="37"/>
      <c r="AR848" s="37"/>
      <c r="AS848" s="37"/>
      <c r="AT848" s="37"/>
      <c r="AU848" s="37"/>
      <c r="AV848" s="37"/>
      <c r="AW848" s="37"/>
      <c r="AX848" s="37"/>
      <c r="AY848" s="37"/>
      <c r="AZ848" s="37"/>
      <c r="BA848" s="37"/>
      <c r="BB848" s="37"/>
      <c r="BC848" s="37"/>
      <c r="BD848" s="37"/>
    </row>
    <row r="849" spans="1:56" ht="9.75" customHeight="1" x14ac:dyDescent="0.3">
      <c r="A849" s="34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6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6"/>
      <c r="AI849" s="16"/>
      <c r="AJ849" s="37"/>
      <c r="AK849" s="37"/>
      <c r="AL849" s="37"/>
      <c r="AM849" s="37"/>
      <c r="AN849" s="37"/>
      <c r="AO849" s="37"/>
      <c r="AP849" s="37"/>
      <c r="AQ849" s="37"/>
      <c r="AR849" s="37"/>
      <c r="AS849" s="37"/>
      <c r="AT849" s="37"/>
      <c r="AU849" s="37"/>
      <c r="AV849" s="37"/>
      <c r="AW849" s="37"/>
      <c r="AX849" s="37"/>
      <c r="AY849" s="37"/>
      <c r="AZ849" s="37"/>
      <c r="BA849" s="37"/>
      <c r="BB849" s="37"/>
      <c r="BC849" s="37"/>
      <c r="BD849" s="37"/>
    </row>
    <row r="850" spans="1:56" ht="9.75" customHeight="1" x14ac:dyDescent="0.3">
      <c r="A850" s="34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6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6"/>
      <c r="AI850" s="16"/>
      <c r="AJ850" s="37"/>
      <c r="AK850" s="37"/>
      <c r="AL850" s="37"/>
      <c r="AM850" s="37"/>
      <c r="AN850" s="37"/>
      <c r="AO850" s="37"/>
      <c r="AP850" s="37"/>
      <c r="AQ850" s="37"/>
      <c r="AR850" s="37"/>
      <c r="AS850" s="37"/>
      <c r="AT850" s="37"/>
      <c r="AU850" s="37"/>
      <c r="AV850" s="37"/>
      <c r="AW850" s="37"/>
      <c r="AX850" s="37"/>
      <c r="AY850" s="37"/>
      <c r="AZ850" s="37"/>
      <c r="BA850" s="37"/>
      <c r="BB850" s="37"/>
      <c r="BC850" s="37"/>
      <c r="BD850" s="37"/>
    </row>
    <row r="851" spans="1:56" ht="9.75" customHeight="1" x14ac:dyDescent="0.3">
      <c r="A851" s="34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6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6"/>
      <c r="AI851" s="16"/>
      <c r="AJ851" s="37"/>
      <c r="AK851" s="37"/>
      <c r="AL851" s="37"/>
      <c r="AM851" s="37"/>
      <c r="AN851" s="37"/>
      <c r="AO851" s="37"/>
      <c r="AP851" s="37"/>
      <c r="AQ851" s="37"/>
      <c r="AR851" s="37"/>
      <c r="AS851" s="37"/>
      <c r="AT851" s="37"/>
      <c r="AU851" s="37"/>
      <c r="AV851" s="37"/>
      <c r="AW851" s="37"/>
      <c r="AX851" s="37"/>
      <c r="AY851" s="37"/>
      <c r="AZ851" s="37"/>
      <c r="BA851" s="37"/>
      <c r="BB851" s="37"/>
      <c r="BC851" s="37"/>
      <c r="BD851" s="37"/>
    </row>
    <row r="852" spans="1:56" ht="9.75" customHeight="1" x14ac:dyDescent="0.3">
      <c r="A852" s="34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6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6"/>
      <c r="AI852" s="16"/>
      <c r="AJ852" s="37"/>
      <c r="AK852" s="37"/>
      <c r="AL852" s="37"/>
      <c r="AM852" s="37"/>
      <c r="AN852" s="37"/>
      <c r="AO852" s="37"/>
      <c r="AP852" s="37"/>
      <c r="AQ852" s="37"/>
      <c r="AR852" s="37"/>
      <c r="AS852" s="37"/>
      <c r="AT852" s="37"/>
      <c r="AU852" s="37"/>
      <c r="AV852" s="37"/>
      <c r="AW852" s="37"/>
      <c r="AX852" s="37"/>
      <c r="AY852" s="37"/>
      <c r="AZ852" s="37"/>
      <c r="BA852" s="37"/>
      <c r="BB852" s="37"/>
      <c r="BC852" s="37"/>
      <c r="BD852" s="37"/>
    </row>
    <row r="853" spans="1:56" ht="9.75" customHeight="1" x14ac:dyDescent="0.3">
      <c r="A853" s="34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6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6"/>
      <c r="AI853" s="16"/>
      <c r="AJ853" s="37"/>
      <c r="AK853" s="37"/>
      <c r="AL853" s="37"/>
      <c r="AM853" s="37"/>
      <c r="AN853" s="37"/>
      <c r="AO853" s="37"/>
      <c r="AP853" s="37"/>
      <c r="AQ853" s="37"/>
      <c r="AR853" s="37"/>
      <c r="AS853" s="37"/>
      <c r="AT853" s="37"/>
      <c r="AU853" s="37"/>
      <c r="AV853" s="37"/>
      <c r="AW853" s="37"/>
      <c r="AX853" s="37"/>
      <c r="AY853" s="37"/>
      <c r="AZ853" s="37"/>
      <c r="BA853" s="37"/>
      <c r="BB853" s="37"/>
      <c r="BC853" s="37"/>
      <c r="BD853" s="37"/>
    </row>
    <row r="854" spans="1:56" ht="9.75" customHeight="1" x14ac:dyDescent="0.3">
      <c r="A854" s="34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6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6"/>
      <c r="AI854" s="16"/>
      <c r="AJ854" s="37"/>
      <c r="AK854" s="37"/>
      <c r="AL854" s="37"/>
      <c r="AM854" s="37"/>
      <c r="AN854" s="37"/>
      <c r="AO854" s="37"/>
      <c r="AP854" s="37"/>
      <c r="AQ854" s="37"/>
      <c r="AR854" s="37"/>
      <c r="AS854" s="37"/>
      <c r="AT854" s="37"/>
      <c r="AU854" s="37"/>
      <c r="AV854" s="37"/>
      <c r="AW854" s="37"/>
      <c r="AX854" s="37"/>
      <c r="AY854" s="37"/>
      <c r="AZ854" s="37"/>
      <c r="BA854" s="37"/>
      <c r="BB854" s="37"/>
      <c r="BC854" s="37"/>
      <c r="BD854" s="37"/>
    </row>
    <row r="855" spans="1:56" ht="9.75" customHeight="1" x14ac:dyDescent="0.3">
      <c r="A855" s="34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6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6"/>
      <c r="AI855" s="16"/>
      <c r="AJ855" s="37"/>
      <c r="AK855" s="37"/>
      <c r="AL855" s="37"/>
      <c r="AM855" s="37"/>
      <c r="AN855" s="37"/>
      <c r="AO855" s="37"/>
      <c r="AP855" s="37"/>
      <c r="AQ855" s="37"/>
      <c r="AR855" s="37"/>
      <c r="AS855" s="37"/>
      <c r="AT855" s="37"/>
      <c r="AU855" s="37"/>
      <c r="AV855" s="37"/>
      <c r="AW855" s="37"/>
      <c r="AX855" s="37"/>
      <c r="AY855" s="37"/>
      <c r="AZ855" s="37"/>
      <c r="BA855" s="37"/>
      <c r="BB855" s="37"/>
      <c r="BC855" s="37"/>
      <c r="BD855" s="37"/>
    </row>
    <row r="856" spans="1:56" ht="9.75" customHeight="1" x14ac:dyDescent="0.3">
      <c r="A856" s="34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6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6"/>
      <c r="AI856" s="16"/>
      <c r="AJ856" s="37"/>
      <c r="AK856" s="37"/>
      <c r="AL856" s="37"/>
      <c r="AM856" s="37"/>
      <c r="AN856" s="37"/>
      <c r="AO856" s="37"/>
      <c r="AP856" s="37"/>
      <c r="AQ856" s="37"/>
      <c r="AR856" s="37"/>
      <c r="AS856" s="37"/>
      <c r="AT856" s="37"/>
      <c r="AU856" s="37"/>
      <c r="AV856" s="37"/>
      <c r="AW856" s="37"/>
      <c r="AX856" s="37"/>
      <c r="AY856" s="37"/>
      <c r="AZ856" s="37"/>
      <c r="BA856" s="37"/>
      <c r="BB856" s="37"/>
      <c r="BC856" s="37"/>
      <c r="BD856" s="37"/>
    </row>
    <row r="857" spans="1:56" ht="9.75" customHeight="1" x14ac:dyDescent="0.3">
      <c r="A857" s="34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6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6"/>
      <c r="AI857" s="16"/>
      <c r="AJ857" s="37"/>
      <c r="AK857" s="37"/>
      <c r="AL857" s="37"/>
      <c r="AM857" s="37"/>
      <c r="AN857" s="37"/>
      <c r="AO857" s="37"/>
      <c r="AP857" s="37"/>
      <c r="AQ857" s="37"/>
      <c r="AR857" s="37"/>
      <c r="AS857" s="37"/>
      <c r="AT857" s="37"/>
      <c r="AU857" s="37"/>
      <c r="AV857" s="37"/>
      <c r="AW857" s="37"/>
      <c r="AX857" s="37"/>
      <c r="AY857" s="37"/>
      <c r="AZ857" s="37"/>
      <c r="BA857" s="37"/>
      <c r="BB857" s="37"/>
      <c r="BC857" s="37"/>
      <c r="BD857" s="37"/>
    </row>
    <row r="858" spans="1:56" ht="9.75" customHeight="1" x14ac:dyDescent="0.3">
      <c r="A858" s="34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6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6"/>
      <c r="AI858" s="16"/>
      <c r="AJ858" s="37"/>
      <c r="AK858" s="37"/>
      <c r="AL858" s="37"/>
      <c r="AM858" s="37"/>
      <c r="AN858" s="37"/>
      <c r="AO858" s="37"/>
      <c r="AP858" s="37"/>
      <c r="AQ858" s="37"/>
      <c r="AR858" s="37"/>
      <c r="AS858" s="37"/>
      <c r="AT858" s="37"/>
      <c r="AU858" s="37"/>
      <c r="AV858" s="37"/>
      <c r="AW858" s="37"/>
      <c r="AX858" s="37"/>
      <c r="AY858" s="37"/>
      <c r="AZ858" s="37"/>
      <c r="BA858" s="37"/>
      <c r="BB858" s="37"/>
      <c r="BC858" s="37"/>
      <c r="BD858" s="37"/>
    </row>
    <row r="859" spans="1:56" ht="9.75" customHeight="1" x14ac:dyDescent="0.3">
      <c r="A859" s="34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6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6"/>
      <c r="AI859" s="16"/>
      <c r="AJ859" s="37"/>
      <c r="AK859" s="37"/>
      <c r="AL859" s="37"/>
      <c r="AM859" s="37"/>
      <c r="AN859" s="37"/>
      <c r="AO859" s="37"/>
      <c r="AP859" s="37"/>
      <c r="AQ859" s="37"/>
      <c r="AR859" s="37"/>
      <c r="AS859" s="37"/>
      <c r="AT859" s="37"/>
      <c r="AU859" s="37"/>
      <c r="AV859" s="37"/>
      <c r="AW859" s="37"/>
      <c r="AX859" s="37"/>
      <c r="AY859" s="37"/>
      <c r="AZ859" s="37"/>
      <c r="BA859" s="37"/>
      <c r="BB859" s="37"/>
      <c r="BC859" s="37"/>
      <c r="BD859" s="37"/>
    </row>
    <row r="860" spans="1:56" ht="9.75" customHeight="1" x14ac:dyDescent="0.3">
      <c r="A860" s="34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6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6"/>
      <c r="AI860" s="16"/>
      <c r="AJ860" s="37"/>
      <c r="AK860" s="37"/>
      <c r="AL860" s="37"/>
      <c r="AM860" s="37"/>
      <c r="AN860" s="37"/>
      <c r="AO860" s="37"/>
      <c r="AP860" s="37"/>
      <c r="AQ860" s="37"/>
      <c r="AR860" s="37"/>
      <c r="AS860" s="37"/>
      <c r="AT860" s="37"/>
      <c r="AU860" s="37"/>
      <c r="AV860" s="37"/>
      <c r="AW860" s="37"/>
      <c r="AX860" s="37"/>
      <c r="AY860" s="37"/>
      <c r="AZ860" s="37"/>
      <c r="BA860" s="37"/>
      <c r="BB860" s="37"/>
      <c r="BC860" s="37"/>
      <c r="BD860" s="37"/>
    </row>
    <row r="861" spans="1:56" ht="9.75" customHeight="1" x14ac:dyDescent="0.3">
      <c r="A861" s="34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6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6"/>
      <c r="AI861" s="16"/>
      <c r="AJ861" s="37"/>
      <c r="AK861" s="37"/>
      <c r="AL861" s="37"/>
      <c r="AM861" s="37"/>
      <c r="AN861" s="37"/>
      <c r="AO861" s="37"/>
      <c r="AP861" s="37"/>
      <c r="AQ861" s="37"/>
      <c r="AR861" s="37"/>
      <c r="AS861" s="37"/>
      <c r="AT861" s="37"/>
      <c r="AU861" s="37"/>
      <c r="AV861" s="37"/>
      <c r="AW861" s="37"/>
      <c r="AX861" s="37"/>
      <c r="AY861" s="37"/>
      <c r="AZ861" s="37"/>
      <c r="BA861" s="37"/>
      <c r="BB861" s="37"/>
      <c r="BC861" s="37"/>
      <c r="BD861" s="37"/>
    </row>
    <row r="862" spans="1:56" ht="9.75" customHeight="1" x14ac:dyDescent="0.3">
      <c r="A862" s="34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6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6"/>
      <c r="AI862" s="16"/>
      <c r="AJ862" s="37"/>
      <c r="AK862" s="37"/>
      <c r="AL862" s="37"/>
      <c r="AM862" s="37"/>
      <c r="AN862" s="37"/>
      <c r="AO862" s="37"/>
      <c r="AP862" s="37"/>
      <c r="AQ862" s="37"/>
      <c r="AR862" s="37"/>
      <c r="AS862" s="37"/>
      <c r="AT862" s="37"/>
      <c r="AU862" s="37"/>
      <c r="AV862" s="37"/>
      <c r="AW862" s="37"/>
      <c r="AX862" s="37"/>
      <c r="AY862" s="37"/>
      <c r="AZ862" s="37"/>
      <c r="BA862" s="37"/>
      <c r="BB862" s="37"/>
      <c r="BC862" s="37"/>
      <c r="BD862" s="37"/>
    </row>
    <row r="863" spans="1:56" ht="9.75" customHeight="1" x14ac:dyDescent="0.3">
      <c r="A863" s="34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6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6"/>
      <c r="AI863" s="16"/>
      <c r="AJ863" s="37"/>
      <c r="AK863" s="37"/>
      <c r="AL863" s="37"/>
      <c r="AM863" s="37"/>
      <c r="AN863" s="37"/>
      <c r="AO863" s="37"/>
      <c r="AP863" s="37"/>
      <c r="AQ863" s="37"/>
      <c r="AR863" s="37"/>
      <c r="AS863" s="37"/>
      <c r="AT863" s="37"/>
      <c r="AU863" s="37"/>
      <c r="AV863" s="37"/>
      <c r="AW863" s="37"/>
      <c r="AX863" s="37"/>
      <c r="AY863" s="37"/>
      <c r="AZ863" s="37"/>
      <c r="BA863" s="37"/>
      <c r="BB863" s="37"/>
      <c r="BC863" s="37"/>
      <c r="BD863" s="37"/>
    </row>
    <row r="864" spans="1:56" ht="9.75" customHeight="1" x14ac:dyDescent="0.3">
      <c r="A864" s="34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6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6"/>
      <c r="AI864" s="16"/>
      <c r="AJ864" s="37"/>
      <c r="AK864" s="37"/>
      <c r="AL864" s="37"/>
      <c r="AM864" s="37"/>
      <c r="AN864" s="37"/>
      <c r="AO864" s="37"/>
      <c r="AP864" s="37"/>
      <c r="AQ864" s="37"/>
      <c r="AR864" s="37"/>
      <c r="AS864" s="37"/>
      <c r="AT864" s="37"/>
      <c r="AU864" s="37"/>
      <c r="AV864" s="37"/>
      <c r="AW864" s="37"/>
      <c r="AX864" s="37"/>
      <c r="AY864" s="37"/>
      <c r="AZ864" s="37"/>
      <c r="BA864" s="37"/>
      <c r="BB864" s="37"/>
      <c r="BC864" s="37"/>
      <c r="BD864" s="37"/>
    </row>
    <row r="865" spans="1:56" ht="9.75" customHeight="1" x14ac:dyDescent="0.3">
      <c r="A865" s="34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6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6"/>
      <c r="AI865" s="16"/>
      <c r="AJ865" s="37"/>
      <c r="AK865" s="37"/>
      <c r="AL865" s="37"/>
      <c r="AM865" s="37"/>
      <c r="AN865" s="37"/>
      <c r="AO865" s="37"/>
      <c r="AP865" s="37"/>
      <c r="AQ865" s="37"/>
      <c r="AR865" s="37"/>
      <c r="AS865" s="37"/>
      <c r="AT865" s="37"/>
      <c r="AU865" s="37"/>
      <c r="AV865" s="37"/>
      <c r="AW865" s="37"/>
      <c r="AX865" s="37"/>
      <c r="AY865" s="37"/>
      <c r="AZ865" s="37"/>
      <c r="BA865" s="37"/>
      <c r="BB865" s="37"/>
      <c r="BC865" s="37"/>
      <c r="BD865" s="37"/>
    </row>
    <row r="866" spans="1:56" ht="9.75" customHeight="1" x14ac:dyDescent="0.3">
      <c r="A866" s="34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6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6"/>
      <c r="AI866" s="16"/>
      <c r="AJ866" s="37"/>
      <c r="AK866" s="37"/>
      <c r="AL866" s="37"/>
      <c r="AM866" s="37"/>
      <c r="AN866" s="37"/>
      <c r="AO866" s="37"/>
      <c r="AP866" s="37"/>
      <c r="AQ866" s="37"/>
      <c r="AR866" s="37"/>
      <c r="AS866" s="37"/>
      <c r="AT866" s="37"/>
      <c r="AU866" s="37"/>
      <c r="AV866" s="37"/>
      <c r="AW866" s="37"/>
      <c r="AX866" s="37"/>
      <c r="AY866" s="37"/>
      <c r="AZ866" s="37"/>
      <c r="BA866" s="37"/>
      <c r="BB866" s="37"/>
      <c r="BC866" s="37"/>
      <c r="BD866" s="37"/>
    </row>
    <row r="867" spans="1:56" ht="9.75" customHeight="1" x14ac:dyDescent="0.3">
      <c r="A867" s="34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6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6"/>
      <c r="AI867" s="16"/>
      <c r="AJ867" s="37"/>
      <c r="AK867" s="37"/>
      <c r="AL867" s="37"/>
      <c r="AM867" s="37"/>
      <c r="AN867" s="37"/>
      <c r="AO867" s="37"/>
      <c r="AP867" s="37"/>
      <c r="AQ867" s="37"/>
      <c r="AR867" s="37"/>
      <c r="AS867" s="37"/>
      <c r="AT867" s="37"/>
      <c r="AU867" s="37"/>
      <c r="AV867" s="37"/>
      <c r="AW867" s="37"/>
      <c r="AX867" s="37"/>
      <c r="AY867" s="37"/>
      <c r="AZ867" s="37"/>
      <c r="BA867" s="37"/>
      <c r="BB867" s="37"/>
      <c r="BC867" s="37"/>
      <c r="BD867" s="37"/>
    </row>
    <row r="868" spans="1:56" ht="9.75" customHeight="1" x14ac:dyDescent="0.3">
      <c r="A868" s="34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6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6"/>
      <c r="AI868" s="16"/>
      <c r="AJ868" s="37"/>
      <c r="AK868" s="37"/>
      <c r="AL868" s="37"/>
      <c r="AM868" s="37"/>
      <c r="AN868" s="37"/>
      <c r="AO868" s="37"/>
      <c r="AP868" s="37"/>
      <c r="AQ868" s="37"/>
      <c r="AR868" s="37"/>
      <c r="AS868" s="37"/>
      <c r="AT868" s="37"/>
      <c r="AU868" s="37"/>
      <c r="AV868" s="37"/>
      <c r="AW868" s="37"/>
      <c r="AX868" s="37"/>
      <c r="AY868" s="37"/>
      <c r="AZ868" s="37"/>
      <c r="BA868" s="37"/>
      <c r="BB868" s="37"/>
      <c r="BC868" s="37"/>
      <c r="BD868" s="37"/>
    </row>
    <row r="869" spans="1:56" ht="9.75" customHeight="1" x14ac:dyDescent="0.3">
      <c r="A869" s="34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6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6"/>
      <c r="AI869" s="16"/>
      <c r="AJ869" s="37"/>
      <c r="AK869" s="37"/>
      <c r="AL869" s="37"/>
      <c r="AM869" s="37"/>
      <c r="AN869" s="37"/>
      <c r="AO869" s="37"/>
      <c r="AP869" s="37"/>
      <c r="AQ869" s="37"/>
      <c r="AR869" s="37"/>
      <c r="AS869" s="37"/>
      <c r="AT869" s="37"/>
      <c r="AU869" s="37"/>
      <c r="AV869" s="37"/>
      <c r="AW869" s="37"/>
      <c r="AX869" s="37"/>
      <c r="AY869" s="37"/>
      <c r="AZ869" s="37"/>
      <c r="BA869" s="37"/>
      <c r="BB869" s="37"/>
      <c r="BC869" s="37"/>
      <c r="BD869" s="37"/>
    </row>
    <row r="870" spans="1:56" ht="9.75" customHeight="1" x14ac:dyDescent="0.3">
      <c r="A870" s="34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6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6"/>
      <c r="AI870" s="16"/>
      <c r="AJ870" s="37"/>
      <c r="AK870" s="37"/>
      <c r="AL870" s="37"/>
      <c r="AM870" s="37"/>
      <c r="AN870" s="37"/>
      <c r="AO870" s="37"/>
      <c r="AP870" s="37"/>
      <c r="AQ870" s="37"/>
      <c r="AR870" s="37"/>
      <c r="AS870" s="37"/>
      <c r="AT870" s="37"/>
      <c r="AU870" s="37"/>
      <c r="AV870" s="37"/>
      <c r="AW870" s="37"/>
      <c r="AX870" s="37"/>
      <c r="AY870" s="37"/>
      <c r="AZ870" s="37"/>
      <c r="BA870" s="37"/>
      <c r="BB870" s="37"/>
      <c r="BC870" s="37"/>
      <c r="BD870" s="37"/>
    </row>
    <row r="871" spans="1:56" ht="9.75" customHeight="1" x14ac:dyDescent="0.3">
      <c r="A871" s="34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6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6"/>
      <c r="AI871" s="16"/>
      <c r="AJ871" s="37"/>
      <c r="AK871" s="37"/>
      <c r="AL871" s="37"/>
      <c r="AM871" s="37"/>
      <c r="AN871" s="37"/>
      <c r="AO871" s="37"/>
      <c r="AP871" s="37"/>
      <c r="AQ871" s="37"/>
      <c r="AR871" s="37"/>
      <c r="AS871" s="37"/>
      <c r="AT871" s="37"/>
      <c r="AU871" s="37"/>
      <c r="AV871" s="37"/>
      <c r="AW871" s="37"/>
      <c r="AX871" s="37"/>
      <c r="AY871" s="37"/>
      <c r="AZ871" s="37"/>
      <c r="BA871" s="37"/>
      <c r="BB871" s="37"/>
      <c r="BC871" s="37"/>
      <c r="BD871" s="37"/>
    </row>
    <row r="872" spans="1:56" ht="9.75" customHeight="1" x14ac:dyDescent="0.3">
      <c r="A872" s="34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6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6"/>
      <c r="AI872" s="16"/>
      <c r="AJ872" s="37"/>
      <c r="AK872" s="37"/>
      <c r="AL872" s="37"/>
      <c r="AM872" s="37"/>
      <c r="AN872" s="37"/>
      <c r="AO872" s="37"/>
      <c r="AP872" s="37"/>
      <c r="AQ872" s="37"/>
      <c r="AR872" s="37"/>
      <c r="AS872" s="37"/>
      <c r="AT872" s="37"/>
      <c r="AU872" s="37"/>
      <c r="AV872" s="37"/>
      <c r="AW872" s="37"/>
      <c r="AX872" s="37"/>
      <c r="AY872" s="37"/>
      <c r="AZ872" s="37"/>
      <c r="BA872" s="37"/>
      <c r="BB872" s="37"/>
      <c r="BC872" s="37"/>
      <c r="BD872" s="37"/>
    </row>
    <row r="873" spans="1:56" ht="9.75" customHeight="1" x14ac:dyDescent="0.3">
      <c r="A873" s="34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6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6"/>
      <c r="AI873" s="16"/>
      <c r="AJ873" s="37"/>
      <c r="AK873" s="37"/>
      <c r="AL873" s="37"/>
      <c r="AM873" s="37"/>
      <c r="AN873" s="37"/>
      <c r="AO873" s="37"/>
      <c r="AP873" s="37"/>
      <c r="AQ873" s="37"/>
      <c r="AR873" s="37"/>
      <c r="AS873" s="37"/>
      <c r="AT873" s="37"/>
      <c r="AU873" s="37"/>
      <c r="AV873" s="37"/>
      <c r="AW873" s="37"/>
      <c r="AX873" s="37"/>
      <c r="AY873" s="37"/>
      <c r="AZ873" s="37"/>
      <c r="BA873" s="37"/>
      <c r="BB873" s="37"/>
      <c r="BC873" s="37"/>
      <c r="BD873" s="37"/>
    </row>
    <row r="874" spans="1:56" ht="9.75" customHeight="1" x14ac:dyDescent="0.3">
      <c r="A874" s="34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6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6"/>
      <c r="AI874" s="16"/>
      <c r="AJ874" s="37"/>
      <c r="AK874" s="37"/>
      <c r="AL874" s="37"/>
      <c r="AM874" s="37"/>
      <c r="AN874" s="37"/>
      <c r="AO874" s="37"/>
      <c r="AP874" s="37"/>
      <c r="AQ874" s="37"/>
      <c r="AR874" s="37"/>
      <c r="AS874" s="37"/>
      <c r="AT874" s="37"/>
      <c r="AU874" s="37"/>
      <c r="AV874" s="37"/>
      <c r="AW874" s="37"/>
      <c r="AX874" s="37"/>
      <c r="AY874" s="37"/>
      <c r="AZ874" s="37"/>
      <c r="BA874" s="37"/>
      <c r="BB874" s="37"/>
      <c r="BC874" s="37"/>
      <c r="BD874" s="37"/>
    </row>
    <row r="875" spans="1:56" ht="9.75" customHeight="1" x14ac:dyDescent="0.3">
      <c r="A875" s="34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6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6"/>
      <c r="AI875" s="16"/>
      <c r="AJ875" s="37"/>
      <c r="AK875" s="37"/>
      <c r="AL875" s="37"/>
      <c r="AM875" s="37"/>
      <c r="AN875" s="37"/>
      <c r="AO875" s="37"/>
      <c r="AP875" s="37"/>
      <c r="AQ875" s="37"/>
      <c r="AR875" s="37"/>
      <c r="AS875" s="37"/>
      <c r="AT875" s="37"/>
      <c r="AU875" s="37"/>
      <c r="AV875" s="37"/>
      <c r="AW875" s="37"/>
      <c r="AX875" s="37"/>
      <c r="AY875" s="37"/>
      <c r="AZ875" s="37"/>
      <c r="BA875" s="37"/>
      <c r="BB875" s="37"/>
      <c r="BC875" s="37"/>
      <c r="BD875" s="37"/>
    </row>
    <row r="876" spans="1:56" ht="9.75" customHeight="1" x14ac:dyDescent="0.3">
      <c r="A876" s="34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6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6"/>
      <c r="AI876" s="16"/>
      <c r="AJ876" s="37"/>
      <c r="AK876" s="37"/>
      <c r="AL876" s="37"/>
      <c r="AM876" s="37"/>
      <c r="AN876" s="37"/>
      <c r="AO876" s="37"/>
      <c r="AP876" s="37"/>
      <c r="AQ876" s="37"/>
      <c r="AR876" s="37"/>
      <c r="AS876" s="37"/>
      <c r="AT876" s="37"/>
      <c r="AU876" s="37"/>
      <c r="AV876" s="37"/>
      <c r="AW876" s="37"/>
      <c r="AX876" s="37"/>
      <c r="AY876" s="37"/>
      <c r="AZ876" s="37"/>
      <c r="BA876" s="37"/>
      <c r="BB876" s="37"/>
      <c r="BC876" s="37"/>
      <c r="BD876" s="37"/>
    </row>
    <row r="877" spans="1:56" ht="9.75" customHeight="1" x14ac:dyDescent="0.3">
      <c r="A877" s="34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6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6"/>
      <c r="AI877" s="16"/>
      <c r="AJ877" s="37"/>
      <c r="AK877" s="37"/>
      <c r="AL877" s="37"/>
      <c r="AM877" s="37"/>
      <c r="AN877" s="37"/>
      <c r="AO877" s="37"/>
      <c r="AP877" s="37"/>
      <c r="AQ877" s="37"/>
      <c r="AR877" s="37"/>
      <c r="AS877" s="37"/>
      <c r="AT877" s="37"/>
      <c r="AU877" s="37"/>
      <c r="AV877" s="37"/>
      <c r="AW877" s="37"/>
      <c r="AX877" s="37"/>
      <c r="AY877" s="37"/>
      <c r="AZ877" s="37"/>
      <c r="BA877" s="37"/>
      <c r="BB877" s="37"/>
      <c r="BC877" s="37"/>
      <c r="BD877" s="37"/>
    </row>
    <row r="878" spans="1:56" ht="9.75" customHeight="1" x14ac:dyDescent="0.3">
      <c r="A878" s="34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6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6"/>
      <c r="AI878" s="16"/>
      <c r="AJ878" s="37"/>
      <c r="AK878" s="37"/>
      <c r="AL878" s="37"/>
      <c r="AM878" s="37"/>
      <c r="AN878" s="37"/>
      <c r="AO878" s="37"/>
      <c r="AP878" s="37"/>
      <c r="AQ878" s="37"/>
      <c r="AR878" s="37"/>
      <c r="AS878" s="37"/>
      <c r="AT878" s="37"/>
      <c r="AU878" s="37"/>
      <c r="AV878" s="37"/>
      <c r="AW878" s="37"/>
      <c r="AX878" s="37"/>
      <c r="AY878" s="37"/>
      <c r="AZ878" s="37"/>
      <c r="BA878" s="37"/>
      <c r="BB878" s="37"/>
      <c r="BC878" s="37"/>
      <c r="BD878" s="37"/>
    </row>
    <row r="879" spans="1:56" ht="9.75" customHeight="1" x14ac:dyDescent="0.3">
      <c r="A879" s="34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6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6"/>
      <c r="AI879" s="16"/>
      <c r="AJ879" s="37"/>
      <c r="AK879" s="37"/>
      <c r="AL879" s="37"/>
      <c r="AM879" s="37"/>
      <c r="AN879" s="37"/>
      <c r="AO879" s="37"/>
      <c r="AP879" s="37"/>
      <c r="AQ879" s="37"/>
      <c r="AR879" s="37"/>
      <c r="AS879" s="37"/>
      <c r="AT879" s="37"/>
      <c r="AU879" s="37"/>
      <c r="AV879" s="37"/>
      <c r="AW879" s="37"/>
      <c r="AX879" s="37"/>
      <c r="AY879" s="37"/>
      <c r="AZ879" s="37"/>
      <c r="BA879" s="37"/>
      <c r="BB879" s="37"/>
      <c r="BC879" s="37"/>
      <c r="BD879" s="37"/>
    </row>
    <row r="880" spans="1:56" ht="9.75" customHeight="1" x14ac:dyDescent="0.3">
      <c r="A880" s="34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6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6"/>
      <c r="AI880" s="16"/>
      <c r="AJ880" s="37"/>
      <c r="AK880" s="37"/>
      <c r="AL880" s="37"/>
      <c r="AM880" s="37"/>
      <c r="AN880" s="37"/>
      <c r="AO880" s="37"/>
      <c r="AP880" s="37"/>
      <c r="AQ880" s="37"/>
      <c r="AR880" s="37"/>
      <c r="AS880" s="37"/>
      <c r="AT880" s="37"/>
      <c r="AU880" s="37"/>
      <c r="AV880" s="37"/>
      <c r="AW880" s="37"/>
      <c r="AX880" s="37"/>
      <c r="AY880" s="37"/>
      <c r="AZ880" s="37"/>
      <c r="BA880" s="37"/>
      <c r="BB880" s="37"/>
      <c r="BC880" s="37"/>
      <c r="BD880" s="37"/>
    </row>
    <row r="881" spans="1:56" ht="9.75" customHeight="1" x14ac:dyDescent="0.3">
      <c r="A881" s="34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6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6"/>
      <c r="AI881" s="16"/>
      <c r="AJ881" s="37"/>
      <c r="AK881" s="37"/>
      <c r="AL881" s="37"/>
      <c r="AM881" s="37"/>
      <c r="AN881" s="37"/>
      <c r="AO881" s="37"/>
      <c r="AP881" s="37"/>
      <c r="AQ881" s="37"/>
      <c r="AR881" s="37"/>
      <c r="AS881" s="37"/>
      <c r="AT881" s="37"/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</row>
    <row r="882" spans="1:56" ht="9.75" customHeight="1" x14ac:dyDescent="0.3">
      <c r="A882" s="34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6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6"/>
      <c r="AI882" s="16"/>
      <c r="AJ882" s="37"/>
      <c r="AK882" s="37"/>
      <c r="AL882" s="37"/>
      <c r="AM882" s="37"/>
      <c r="AN882" s="37"/>
      <c r="AO882" s="37"/>
      <c r="AP882" s="37"/>
      <c r="AQ882" s="37"/>
      <c r="AR882" s="37"/>
      <c r="AS882" s="37"/>
      <c r="AT882" s="37"/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</row>
    <row r="883" spans="1:56" ht="9.75" customHeight="1" x14ac:dyDescent="0.3">
      <c r="A883" s="34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6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6"/>
      <c r="AI883" s="16"/>
      <c r="AJ883" s="37"/>
      <c r="AK883" s="37"/>
      <c r="AL883" s="37"/>
      <c r="AM883" s="37"/>
      <c r="AN883" s="37"/>
      <c r="AO883" s="37"/>
      <c r="AP883" s="37"/>
      <c r="AQ883" s="37"/>
      <c r="AR883" s="37"/>
      <c r="AS883" s="37"/>
      <c r="AT883" s="37"/>
      <c r="AU883" s="37"/>
      <c r="AV883" s="37"/>
      <c r="AW883" s="37"/>
      <c r="AX883" s="37"/>
      <c r="AY883" s="37"/>
      <c r="AZ883" s="37"/>
      <c r="BA883" s="37"/>
      <c r="BB883" s="37"/>
      <c r="BC883" s="37"/>
      <c r="BD883" s="37"/>
    </row>
    <row r="884" spans="1:56" ht="9.75" customHeight="1" x14ac:dyDescent="0.3">
      <c r="A884" s="34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6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6"/>
      <c r="AI884" s="16"/>
      <c r="AJ884" s="37"/>
      <c r="AK884" s="37"/>
      <c r="AL884" s="37"/>
      <c r="AM884" s="37"/>
      <c r="AN884" s="37"/>
      <c r="AO884" s="37"/>
      <c r="AP884" s="37"/>
      <c r="AQ884" s="37"/>
      <c r="AR884" s="37"/>
      <c r="AS884" s="37"/>
      <c r="AT884" s="37"/>
      <c r="AU884" s="37"/>
      <c r="AV884" s="37"/>
      <c r="AW884" s="37"/>
      <c r="AX884" s="37"/>
      <c r="AY884" s="37"/>
      <c r="AZ884" s="37"/>
      <c r="BA884" s="37"/>
      <c r="BB884" s="37"/>
      <c r="BC884" s="37"/>
      <c r="BD884" s="37"/>
    </row>
    <row r="885" spans="1:56" ht="9.75" customHeight="1" x14ac:dyDescent="0.3">
      <c r="A885" s="34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6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6"/>
      <c r="AI885" s="16"/>
      <c r="AJ885" s="37"/>
      <c r="AK885" s="37"/>
      <c r="AL885" s="37"/>
      <c r="AM885" s="37"/>
      <c r="AN885" s="37"/>
      <c r="AO885" s="37"/>
      <c r="AP885" s="37"/>
      <c r="AQ885" s="37"/>
      <c r="AR885" s="37"/>
      <c r="AS885" s="37"/>
      <c r="AT885" s="37"/>
      <c r="AU885" s="37"/>
      <c r="AV885" s="37"/>
      <c r="AW885" s="37"/>
      <c r="AX885" s="37"/>
      <c r="AY885" s="37"/>
      <c r="AZ885" s="37"/>
      <c r="BA885" s="37"/>
      <c r="BB885" s="37"/>
      <c r="BC885" s="37"/>
      <c r="BD885" s="37"/>
    </row>
    <row r="886" spans="1:56" ht="9.75" customHeight="1" x14ac:dyDescent="0.3">
      <c r="A886" s="34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6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6"/>
      <c r="AI886" s="16"/>
      <c r="AJ886" s="37"/>
      <c r="AK886" s="37"/>
      <c r="AL886" s="37"/>
      <c r="AM886" s="37"/>
      <c r="AN886" s="37"/>
      <c r="AO886" s="37"/>
      <c r="AP886" s="37"/>
      <c r="AQ886" s="37"/>
      <c r="AR886" s="37"/>
      <c r="AS886" s="37"/>
      <c r="AT886" s="37"/>
      <c r="AU886" s="37"/>
      <c r="AV886" s="37"/>
      <c r="AW886" s="37"/>
      <c r="AX886" s="37"/>
      <c r="AY886" s="37"/>
      <c r="AZ886" s="37"/>
      <c r="BA886" s="37"/>
      <c r="BB886" s="37"/>
      <c r="BC886" s="37"/>
      <c r="BD886" s="37"/>
    </row>
    <row r="887" spans="1:56" ht="9.75" customHeight="1" x14ac:dyDescent="0.3">
      <c r="A887" s="34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6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6"/>
      <c r="AI887" s="16"/>
      <c r="AJ887" s="37"/>
      <c r="AK887" s="37"/>
      <c r="AL887" s="37"/>
      <c r="AM887" s="37"/>
      <c r="AN887" s="37"/>
      <c r="AO887" s="37"/>
      <c r="AP887" s="37"/>
      <c r="AQ887" s="37"/>
      <c r="AR887" s="37"/>
      <c r="AS887" s="37"/>
      <c r="AT887" s="37"/>
      <c r="AU887" s="37"/>
      <c r="AV887" s="37"/>
      <c r="AW887" s="37"/>
      <c r="AX887" s="37"/>
      <c r="AY887" s="37"/>
      <c r="AZ887" s="37"/>
      <c r="BA887" s="37"/>
      <c r="BB887" s="37"/>
      <c r="BC887" s="37"/>
      <c r="BD887" s="37"/>
    </row>
    <row r="888" spans="1:56" ht="9.75" customHeight="1" x14ac:dyDescent="0.3">
      <c r="A888" s="34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6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6"/>
      <c r="AI888" s="16"/>
      <c r="AJ888" s="37"/>
      <c r="AK888" s="37"/>
      <c r="AL888" s="37"/>
      <c r="AM888" s="37"/>
      <c r="AN888" s="37"/>
      <c r="AO888" s="37"/>
      <c r="AP888" s="37"/>
      <c r="AQ888" s="37"/>
      <c r="AR888" s="37"/>
      <c r="AS888" s="37"/>
      <c r="AT888" s="37"/>
      <c r="AU888" s="37"/>
      <c r="AV888" s="37"/>
      <c r="AW888" s="37"/>
      <c r="AX888" s="37"/>
      <c r="AY888" s="37"/>
      <c r="AZ888" s="37"/>
      <c r="BA888" s="37"/>
      <c r="BB888" s="37"/>
      <c r="BC888" s="37"/>
      <c r="BD888" s="37"/>
    </row>
    <row r="889" spans="1:56" ht="9.75" customHeight="1" x14ac:dyDescent="0.3">
      <c r="A889" s="34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6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6"/>
      <c r="AI889" s="16"/>
      <c r="AJ889" s="37"/>
      <c r="AK889" s="37"/>
      <c r="AL889" s="37"/>
      <c r="AM889" s="37"/>
      <c r="AN889" s="37"/>
      <c r="AO889" s="37"/>
      <c r="AP889" s="37"/>
      <c r="AQ889" s="37"/>
      <c r="AR889" s="37"/>
      <c r="AS889" s="37"/>
      <c r="AT889" s="37"/>
      <c r="AU889" s="37"/>
      <c r="AV889" s="37"/>
      <c r="AW889" s="37"/>
      <c r="AX889" s="37"/>
      <c r="AY889" s="37"/>
      <c r="AZ889" s="37"/>
      <c r="BA889" s="37"/>
      <c r="BB889" s="37"/>
      <c r="BC889" s="37"/>
      <c r="BD889" s="37"/>
    </row>
    <row r="890" spans="1:56" ht="9.75" customHeight="1" x14ac:dyDescent="0.3">
      <c r="A890" s="34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6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6"/>
      <c r="AI890" s="16"/>
      <c r="AJ890" s="37"/>
      <c r="AK890" s="37"/>
      <c r="AL890" s="37"/>
      <c r="AM890" s="37"/>
      <c r="AN890" s="37"/>
      <c r="AO890" s="37"/>
      <c r="AP890" s="37"/>
      <c r="AQ890" s="37"/>
      <c r="AR890" s="37"/>
      <c r="AS890" s="37"/>
      <c r="AT890" s="37"/>
      <c r="AU890" s="37"/>
      <c r="AV890" s="37"/>
      <c r="AW890" s="37"/>
      <c r="AX890" s="37"/>
      <c r="AY890" s="37"/>
      <c r="AZ890" s="37"/>
      <c r="BA890" s="37"/>
      <c r="BB890" s="37"/>
      <c r="BC890" s="37"/>
      <c r="BD890" s="37"/>
    </row>
    <row r="891" spans="1:56" ht="9.75" customHeight="1" x14ac:dyDescent="0.3">
      <c r="A891" s="34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6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6"/>
      <c r="AI891" s="16"/>
      <c r="AJ891" s="37"/>
      <c r="AK891" s="37"/>
      <c r="AL891" s="37"/>
      <c r="AM891" s="37"/>
      <c r="AN891" s="37"/>
      <c r="AO891" s="37"/>
      <c r="AP891" s="37"/>
      <c r="AQ891" s="37"/>
      <c r="AR891" s="37"/>
      <c r="AS891" s="37"/>
      <c r="AT891" s="37"/>
      <c r="AU891" s="37"/>
      <c r="AV891" s="37"/>
      <c r="AW891" s="37"/>
      <c r="AX891" s="37"/>
      <c r="AY891" s="37"/>
      <c r="AZ891" s="37"/>
      <c r="BA891" s="37"/>
      <c r="BB891" s="37"/>
      <c r="BC891" s="37"/>
      <c r="BD891" s="37"/>
    </row>
    <row r="892" spans="1:56" ht="9.75" customHeight="1" x14ac:dyDescent="0.3">
      <c r="A892" s="34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6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6"/>
      <c r="AI892" s="16"/>
      <c r="AJ892" s="37"/>
      <c r="AK892" s="37"/>
      <c r="AL892" s="37"/>
      <c r="AM892" s="37"/>
      <c r="AN892" s="37"/>
      <c r="AO892" s="37"/>
      <c r="AP892" s="37"/>
      <c r="AQ892" s="37"/>
      <c r="AR892" s="37"/>
      <c r="AS892" s="37"/>
      <c r="AT892" s="37"/>
      <c r="AU892" s="37"/>
      <c r="AV892" s="37"/>
      <c r="AW892" s="37"/>
      <c r="AX892" s="37"/>
      <c r="AY892" s="37"/>
      <c r="AZ892" s="37"/>
      <c r="BA892" s="37"/>
      <c r="BB892" s="37"/>
      <c r="BC892" s="37"/>
      <c r="BD892" s="37"/>
    </row>
    <row r="893" spans="1:56" ht="9.75" customHeight="1" x14ac:dyDescent="0.3">
      <c r="A893" s="34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6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6"/>
      <c r="AI893" s="16"/>
      <c r="AJ893" s="37"/>
      <c r="AK893" s="37"/>
      <c r="AL893" s="37"/>
      <c r="AM893" s="37"/>
      <c r="AN893" s="37"/>
      <c r="AO893" s="37"/>
      <c r="AP893" s="37"/>
      <c r="AQ893" s="37"/>
      <c r="AR893" s="37"/>
      <c r="AS893" s="37"/>
      <c r="AT893" s="37"/>
      <c r="AU893" s="37"/>
      <c r="AV893" s="37"/>
      <c r="AW893" s="37"/>
      <c r="AX893" s="37"/>
      <c r="AY893" s="37"/>
      <c r="AZ893" s="37"/>
      <c r="BA893" s="37"/>
      <c r="BB893" s="37"/>
      <c r="BC893" s="37"/>
      <c r="BD893" s="37"/>
    </row>
    <row r="894" spans="1:56" ht="9.75" customHeight="1" x14ac:dyDescent="0.3">
      <c r="A894" s="34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6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6"/>
      <c r="AI894" s="16"/>
      <c r="AJ894" s="37"/>
      <c r="AK894" s="37"/>
      <c r="AL894" s="37"/>
      <c r="AM894" s="37"/>
      <c r="AN894" s="37"/>
      <c r="AO894" s="37"/>
      <c r="AP894" s="37"/>
      <c r="AQ894" s="37"/>
      <c r="AR894" s="37"/>
      <c r="AS894" s="37"/>
      <c r="AT894" s="37"/>
      <c r="AU894" s="37"/>
      <c r="AV894" s="37"/>
      <c r="AW894" s="37"/>
      <c r="AX894" s="37"/>
      <c r="AY894" s="37"/>
      <c r="AZ894" s="37"/>
      <c r="BA894" s="37"/>
      <c r="BB894" s="37"/>
      <c r="BC894" s="37"/>
      <c r="BD894" s="37"/>
    </row>
    <row r="895" spans="1:56" ht="9.75" customHeight="1" x14ac:dyDescent="0.3">
      <c r="A895" s="34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6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6"/>
      <c r="AI895" s="16"/>
      <c r="AJ895" s="37"/>
      <c r="AK895" s="37"/>
      <c r="AL895" s="37"/>
      <c r="AM895" s="37"/>
      <c r="AN895" s="37"/>
      <c r="AO895" s="37"/>
      <c r="AP895" s="37"/>
      <c r="AQ895" s="37"/>
      <c r="AR895" s="37"/>
      <c r="AS895" s="37"/>
      <c r="AT895" s="37"/>
      <c r="AU895" s="37"/>
      <c r="AV895" s="37"/>
      <c r="AW895" s="37"/>
      <c r="AX895" s="37"/>
      <c r="AY895" s="37"/>
      <c r="AZ895" s="37"/>
      <c r="BA895" s="37"/>
      <c r="BB895" s="37"/>
      <c r="BC895" s="37"/>
      <c r="BD895" s="37"/>
    </row>
    <row r="896" spans="1:56" ht="9.75" customHeight="1" x14ac:dyDescent="0.3">
      <c r="A896" s="34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6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6"/>
      <c r="AI896" s="16"/>
      <c r="AJ896" s="37"/>
      <c r="AK896" s="37"/>
      <c r="AL896" s="37"/>
      <c r="AM896" s="37"/>
      <c r="AN896" s="37"/>
      <c r="AO896" s="37"/>
      <c r="AP896" s="37"/>
      <c r="AQ896" s="37"/>
      <c r="AR896" s="37"/>
      <c r="AS896" s="37"/>
      <c r="AT896" s="37"/>
      <c r="AU896" s="37"/>
      <c r="AV896" s="37"/>
      <c r="AW896" s="37"/>
      <c r="AX896" s="37"/>
      <c r="AY896" s="37"/>
      <c r="AZ896" s="37"/>
      <c r="BA896" s="37"/>
      <c r="BB896" s="37"/>
      <c r="BC896" s="37"/>
      <c r="BD896" s="37"/>
    </row>
    <row r="897" spans="1:56" ht="9.75" customHeight="1" x14ac:dyDescent="0.3">
      <c r="A897" s="34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6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6"/>
      <c r="AI897" s="16"/>
      <c r="AJ897" s="37"/>
      <c r="AK897" s="37"/>
      <c r="AL897" s="37"/>
      <c r="AM897" s="37"/>
      <c r="AN897" s="37"/>
      <c r="AO897" s="37"/>
      <c r="AP897" s="37"/>
      <c r="AQ897" s="37"/>
      <c r="AR897" s="37"/>
      <c r="AS897" s="37"/>
      <c r="AT897" s="37"/>
      <c r="AU897" s="37"/>
      <c r="AV897" s="37"/>
      <c r="AW897" s="37"/>
      <c r="AX897" s="37"/>
      <c r="AY897" s="37"/>
      <c r="AZ897" s="37"/>
      <c r="BA897" s="37"/>
      <c r="BB897" s="37"/>
      <c r="BC897" s="37"/>
      <c r="BD897" s="37"/>
    </row>
    <row r="898" spans="1:56" ht="9.75" customHeight="1" x14ac:dyDescent="0.3">
      <c r="A898" s="34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6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6"/>
      <c r="AI898" s="16"/>
      <c r="AJ898" s="37"/>
      <c r="AK898" s="37"/>
      <c r="AL898" s="37"/>
      <c r="AM898" s="37"/>
      <c r="AN898" s="37"/>
      <c r="AO898" s="37"/>
      <c r="AP898" s="37"/>
      <c r="AQ898" s="37"/>
      <c r="AR898" s="37"/>
      <c r="AS898" s="37"/>
      <c r="AT898" s="37"/>
      <c r="AU898" s="37"/>
      <c r="AV898" s="37"/>
      <c r="AW898" s="37"/>
      <c r="AX898" s="37"/>
      <c r="AY898" s="37"/>
      <c r="AZ898" s="37"/>
      <c r="BA898" s="37"/>
      <c r="BB898" s="37"/>
      <c r="BC898" s="37"/>
      <c r="BD898" s="37"/>
    </row>
    <row r="899" spans="1:56" ht="9.75" customHeight="1" x14ac:dyDescent="0.3">
      <c r="A899" s="34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6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6"/>
      <c r="AI899" s="16"/>
      <c r="AJ899" s="37"/>
      <c r="AK899" s="37"/>
      <c r="AL899" s="37"/>
      <c r="AM899" s="37"/>
      <c r="AN899" s="37"/>
      <c r="AO899" s="37"/>
      <c r="AP899" s="37"/>
      <c r="AQ899" s="37"/>
      <c r="AR899" s="37"/>
      <c r="AS899" s="37"/>
      <c r="AT899" s="37"/>
      <c r="AU899" s="37"/>
      <c r="AV899" s="37"/>
      <c r="AW899" s="37"/>
      <c r="AX899" s="37"/>
      <c r="AY899" s="37"/>
      <c r="AZ899" s="37"/>
      <c r="BA899" s="37"/>
      <c r="BB899" s="37"/>
      <c r="BC899" s="37"/>
      <c r="BD899" s="37"/>
    </row>
    <row r="900" spans="1:56" ht="9.75" customHeight="1" x14ac:dyDescent="0.3">
      <c r="A900" s="34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6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6"/>
      <c r="AI900" s="16"/>
      <c r="AJ900" s="37"/>
      <c r="AK900" s="37"/>
      <c r="AL900" s="37"/>
      <c r="AM900" s="37"/>
      <c r="AN900" s="37"/>
      <c r="AO900" s="37"/>
      <c r="AP900" s="37"/>
      <c r="AQ900" s="37"/>
      <c r="AR900" s="37"/>
      <c r="AS900" s="37"/>
      <c r="AT900" s="37"/>
      <c r="AU900" s="37"/>
      <c r="AV900" s="37"/>
      <c r="AW900" s="37"/>
      <c r="AX900" s="37"/>
      <c r="AY900" s="37"/>
      <c r="AZ900" s="37"/>
      <c r="BA900" s="37"/>
      <c r="BB900" s="37"/>
      <c r="BC900" s="37"/>
      <c r="BD900" s="37"/>
    </row>
    <row r="901" spans="1:56" ht="9.75" customHeight="1" x14ac:dyDescent="0.3">
      <c r="A901" s="34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6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6"/>
      <c r="AI901" s="16"/>
      <c r="AJ901" s="37"/>
      <c r="AK901" s="37"/>
      <c r="AL901" s="37"/>
      <c r="AM901" s="37"/>
      <c r="AN901" s="37"/>
      <c r="AO901" s="37"/>
      <c r="AP901" s="37"/>
      <c r="AQ901" s="37"/>
      <c r="AR901" s="37"/>
      <c r="AS901" s="37"/>
      <c r="AT901" s="37"/>
      <c r="AU901" s="37"/>
      <c r="AV901" s="37"/>
      <c r="AW901" s="37"/>
      <c r="AX901" s="37"/>
      <c r="AY901" s="37"/>
      <c r="AZ901" s="37"/>
      <c r="BA901" s="37"/>
      <c r="BB901" s="37"/>
      <c r="BC901" s="37"/>
      <c r="BD901" s="37"/>
    </row>
    <row r="902" spans="1:56" ht="9.75" customHeight="1" x14ac:dyDescent="0.3">
      <c r="A902" s="34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6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6"/>
      <c r="AI902" s="16"/>
      <c r="AJ902" s="37"/>
      <c r="AK902" s="37"/>
      <c r="AL902" s="37"/>
      <c r="AM902" s="37"/>
      <c r="AN902" s="37"/>
      <c r="AO902" s="37"/>
      <c r="AP902" s="37"/>
      <c r="AQ902" s="37"/>
      <c r="AR902" s="37"/>
      <c r="AS902" s="37"/>
      <c r="AT902" s="37"/>
      <c r="AU902" s="37"/>
      <c r="AV902" s="37"/>
      <c r="AW902" s="37"/>
      <c r="AX902" s="37"/>
      <c r="AY902" s="37"/>
      <c r="AZ902" s="37"/>
      <c r="BA902" s="37"/>
      <c r="BB902" s="37"/>
      <c r="BC902" s="37"/>
      <c r="BD902" s="37"/>
    </row>
    <row r="903" spans="1:56" ht="9.75" customHeight="1" x14ac:dyDescent="0.3">
      <c r="A903" s="34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6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6"/>
      <c r="AI903" s="16"/>
      <c r="AJ903" s="37"/>
      <c r="AK903" s="37"/>
      <c r="AL903" s="37"/>
      <c r="AM903" s="37"/>
      <c r="AN903" s="37"/>
      <c r="AO903" s="37"/>
      <c r="AP903" s="37"/>
      <c r="AQ903" s="37"/>
      <c r="AR903" s="37"/>
      <c r="AS903" s="37"/>
      <c r="AT903" s="37"/>
      <c r="AU903" s="37"/>
      <c r="AV903" s="37"/>
      <c r="AW903" s="37"/>
      <c r="AX903" s="37"/>
      <c r="AY903" s="37"/>
      <c r="AZ903" s="37"/>
      <c r="BA903" s="37"/>
      <c r="BB903" s="37"/>
      <c r="BC903" s="37"/>
      <c r="BD903" s="37"/>
    </row>
    <row r="904" spans="1:56" ht="9.75" customHeight="1" x14ac:dyDescent="0.3">
      <c r="A904" s="34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6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6"/>
      <c r="AI904" s="16"/>
      <c r="AJ904" s="37"/>
      <c r="AK904" s="37"/>
      <c r="AL904" s="37"/>
      <c r="AM904" s="37"/>
      <c r="AN904" s="37"/>
      <c r="AO904" s="37"/>
      <c r="AP904" s="37"/>
      <c r="AQ904" s="37"/>
      <c r="AR904" s="37"/>
      <c r="AS904" s="37"/>
      <c r="AT904" s="37"/>
      <c r="AU904" s="37"/>
      <c r="AV904" s="37"/>
      <c r="AW904" s="37"/>
      <c r="AX904" s="37"/>
      <c r="AY904" s="37"/>
      <c r="AZ904" s="37"/>
      <c r="BA904" s="37"/>
      <c r="BB904" s="37"/>
      <c r="BC904" s="37"/>
      <c r="BD904" s="37"/>
    </row>
    <row r="905" spans="1:56" ht="9.75" customHeight="1" x14ac:dyDescent="0.3">
      <c r="A905" s="34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6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6"/>
      <c r="AI905" s="16"/>
      <c r="AJ905" s="37"/>
      <c r="AK905" s="37"/>
      <c r="AL905" s="37"/>
      <c r="AM905" s="37"/>
      <c r="AN905" s="37"/>
      <c r="AO905" s="37"/>
      <c r="AP905" s="37"/>
      <c r="AQ905" s="37"/>
      <c r="AR905" s="37"/>
      <c r="AS905" s="37"/>
      <c r="AT905" s="37"/>
      <c r="AU905" s="37"/>
      <c r="AV905" s="37"/>
      <c r="AW905" s="37"/>
      <c r="AX905" s="37"/>
      <c r="AY905" s="37"/>
      <c r="AZ905" s="37"/>
      <c r="BA905" s="37"/>
      <c r="BB905" s="37"/>
      <c r="BC905" s="37"/>
      <c r="BD905" s="37"/>
    </row>
    <row r="906" spans="1:56" ht="9.75" customHeight="1" x14ac:dyDescent="0.3">
      <c r="A906" s="34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6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6"/>
      <c r="AI906" s="16"/>
      <c r="AJ906" s="37"/>
      <c r="AK906" s="37"/>
      <c r="AL906" s="37"/>
      <c r="AM906" s="37"/>
      <c r="AN906" s="37"/>
      <c r="AO906" s="37"/>
      <c r="AP906" s="37"/>
      <c r="AQ906" s="37"/>
      <c r="AR906" s="37"/>
      <c r="AS906" s="37"/>
      <c r="AT906" s="37"/>
      <c r="AU906" s="37"/>
      <c r="AV906" s="37"/>
      <c r="AW906" s="37"/>
      <c r="AX906" s="37"/>
      <c r="AY906" s="37"/>
      <c r="AZ906" s="37"/>
      <c r="BA906" s="37"/>
      <c r="BB906" s="37"/>
      <c r="BC906" s="37"/>
      <c r="BD906" s="37"/>
    </row>
    <row r="907" spans="1:56" ht="9.75" customHeight="1" x14ac:dyDescent="0.3">
      <c r="A907" s="34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6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6"/>
      <c r="AI907" s="16"/>
      <c r="AJ907" s="37"/>
      <c r="AK907" s="37"/>
      <c r="AL907" s="37"/>
      <c r="AM907" s="37"/>
      <c r="AN907" s="37"/>
      <c r="AO907" s="37"/>
      <c r="AP907" s="37"/>
      <c r="AQ907" s="37"/>
      <c r="AR907" s="37"/>
      <c r="AS907" s="37"/>
      <c r="AT907" s="37"/>
      <c r="AU907" s="37"/>
      <c r="AV907" s="37"/>
      <c r="AW907" s="37"/>
      <c r="AX907" s="37"/>
      <c r="AY907" s="37"/>
      <c r="AZ907" s="37"/>
      <c r="BA907" s="37"/>
      <c r="BB907" s="37"/>
      <c r="BC907" s="37"/>
      <c r="BD907" s="37"/>
    </row>
    <row r="908" spans="1:56" ht="9.75" customHeight="1" x14ac:dyDescent="0.3">
      <c r="A908" s="34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6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6"/>
      <c r="AI908" s="16"/>
      <c r="AJ908" s="37"/>
      <c r="AK908" s="37"/>
      <c r="AL908" s="37"/>
      <c r="AM908" s="37"/>
      <c r="AN908" s="37"/>
      <c r="AO908" s="37"/>
      <c r="AP908" s="37"/>
      <c r="AQ908" s="37"/>
      <c r="AR908" s="37"/>
      <c r="AS908" s="37"/>
      <c r="AT908" s="37"/>
      <c r="AU908" s="37"/>
      <c r="AV908" s="37"/>
      <c r="AW908" s="37"/>
      <c r="AX908" s="37"/>
      <c r="AY908" s="37"/>
      <c r="AZ908" s="37"/>
      <c r="BA908" s="37"/>
      <c r="BB908" s="37"/>
      <c r="BC908" s="37"/>
      <c r="BD908" s="37"/>
    </row>
    <row r="909" spans="1:56" ht="9.75" customHeight="1" x14ac:dyDescent="0.3">
      <c r="A909" s="34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6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6"/>
      <c r="AI909" s="16"/>
      <c r="AJ909" s="37"/>
      <c r="AK909" s="37"/>
      <c r="AL909" s="37"/>
      <c r="AM909" s="37"/>
      <c r="AN909" s="37"/>
      <c r="AO909" s="37"/>
      <c r="AP909" s="37"/>
      <c r="AQ909" s="37"/>
      <c r="AR909" s="37"/>
      <c r="AS909" s="37"/>
      <c r="AT909" s="37"/>
      <c r="AU909" s="37"/>
      <c r="AV909" s="37"/>
      <c r="AW909" s="37"/>
      <c r="AX909" s="37"/>
      <c r="AY909" s="37"/>
      <c r="AZ909" s="37"/>
      <c r="BA909" s="37"/>
      <c r="BB909" s="37"/>
      <c r="BC909" s="37"/>
      <c r="BD909" s="37"/>
    </row>
    <row r="910" spans="1:56" ht="9.75" customHeight="1" x14ac:dyDescent="0.3">
      <c r="A910" s="34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6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6"/>
      <c r="AI910" s="16"/>
      <c r="AJ910" s="37"/>
      <c r="AK910" s="37"/>
      <c r="AL910" s="37"/>
      <c r="AM910" s="37"/>
      <c r="AN910" s="37"/>
      <c r="AO910" s="37"/>
      <c r="AP910" s="37"/>
      <c r="AQ910" s="37"/>
      <c r="AR910" s="37"/>
      <c r="AS910" s="37"/>
      <c r="AT910" s="37"/>
      <c r="AU910" s="37"/>
      <c r="AV910" s="37"/>
      <c r="AW910" s="37"/>
      <c r="AX910" s="37"/>
      <c r="AY910" s="37"/>
      <c r="AZ910" s="37"/>
      <c r="BA910" s="37"/>
      <c r="BB910" s="37"/>
      <c r="BC910" s="37"/>
      <c r="BD910" s="37"/>
    </row>
    <row r="911" spans="1:56" ht="9.75" customHeight="1" x14ac:dyDescent="0.3">
      <c r="A911" s="34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6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6"/>
      <c r="AI911" s="16"/>
      <c r="AJ911" s="37"/>
      <c r="AK911" s="37"/>
      <c r="AL911" s="37"/>
      <c r="AM911" s="37"/>
      <c r="AN911" s="37"/>
      <c r="AO911" s="37"/>
      <c r="AP911" s="37"/>
      <c r="AQ911" s="37"/>
      <c r="AR911" s="37"/>
      <c r="AS911" s="37"/>
      <c r="AT911" s="37"/>
      <c r="AU911" s="37"/>
      <c r="AV911" s="37"/>
      <c r="AW911" s="37"/>
      <c r="AX911" s="37"/>
      <c r="AY911" s="37"/>
      <c r="AZ911" s="37"/>
      <c r="BA911" s="37"/>
      <c r="BB911" s="37"/>
      <c r="BC911" s="37"/>
      <c r="BD911" s="37"/>
    </row>
    <row r="912" spans="1:56" ht="9.75" customHeight="1" x14ac:dyDescent="0.3">
      <c r="A912" s="34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6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6"/>
      <c r="AI912" s="16"/>
      <c r="AJ912" s="37"/>
      <c r="AK912" s="37"/>
      <c r="AL912" s="37"/>
      <c r="AM912" s="37"/>
      <c r="AN912" s="37"/>
      <c r="AO912" s="37"/>
      <c r="AP912" s="37"/>
      <c r="AQ912" s="37"/>
      <c r="AR912" s="37"/>
      <c r="AS912" s="37"/>
      <c r="AT912" s="37"/>
      <c r="AU912" s="37"/>
      <c r="AV912" s="37"/>
      <c r="AW912" s="37"/>
      <c r="AX912" s="37"/>
      <c r="AY912" s="37"/>
      <c r="AZ912" s="37"/>
      <c r="BA912" s="37"/>
      <c r="BB912" s="37"/>
      <c r="BC912" s="37"/>
      <c r="BD912" s="37"/>
    </row>
    <row r="913" spans="1:56" ht="9.75" customHeight="1" x14ac:dyDescent="0.3">
      <c r="A913" s="34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6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6"/>
      <c r="AI913" s="16"/>
      <c r="AJ913" s="37"/>
      <c r="AK913" s="37"/>
      <c r="AL913" s="37"/>
      <c r="AM913" s="37"/>
      <c r="AN913" s="37"/>
      <c r="AO913" s="37"/>
      <c r="AP913" s="37"/>
      <c r="AQ913" s="37"/>
      <c r="AR913" s="37"/>
      <c r="AS913" s="37"/>
      <c r="AT913" s="37"/>
      <c r="AU913" s="37"/>
      <c r="AV913" s="37"/>
      <c r="AW913" s="37"/>
      <c r="AX913" s="37"/>
      <c r="AY913" s="37"/>
      <c r="AZ913" s="37"/>
      <c r="BA913" s="37"/>
      <c r="BB913" s="37"/>
      <c r="BC913" s="37"/>
      <c r="BD913" s="37"/>
    </row>
    <row r="914" spans="1:56" ht="9.75" customHeight="1" x14ac:dyDescent="0.3">
      <c r="A914" s="34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6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6"/>
      <c r="AI914" s="16"/>
      <c r="AJ914" s="37"/>
      <c r="AK914" s="37"/>
      <c r="AL914" s="37"/>
      <c r="AM914" s="37"/>
      <c r="AN914" s="37"/>
      <c r="AO914" s="37"/>
      <c r="AP914" s="37"/>
      <c r="AQ914" s="37"/>
      <c r="AR914" s="37"/>
      <c r="AS914" s="37"/>
      <c r="AT914" s="37"/>
      <c r="AU914" s="37"/>
      <c r="AV914" s="37"/>
      <c r="AW914" s="37"/>
      <c r="AX914" s="37"/>
      <c r="AY914" s="37"/>
      <c r="AZ914" s="37"/>
      <c r="BA914" s="37"/>
      <c r="BB914" s="37"/>
      <c r="BC914" s="37"/>
      <c r="BD914" s="37"/>
    </row>
    <row r="915" spans="1:56" ht="9.75" customHeight="1" x14ac:dyDescent="0.3">
      <c r="A915" s="34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6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6"/>
      <c r="AI915" s="16"/>
      <c r="AJ915" s="37"/>
      <c r="AK915" s="37"/>
      <c r="AL915" s="37"/>
      <c r="AM915" s="37"/>
      <c r="AN915" s="37"/>
      <c r="AO915" s="37"/>
      <c r="AP915" s="37"/>
      <c r="AQ915" s="37"/>
      <c r="AR915" s="37"/>
      <c r="AS915" s="37"/>
      <c r="AT915" s="37"/>
      <c r="AU915" s="37"/>
      <c r="AV915" s="37"/>
      <c r="AW915" s="37"/>
      <c r="AX915" s="37"/>
      <c r="AY915" s="37"/>
      <c r="AZ915" s="37"/>
      <c r="BA915" s="37"/>
      <c r="BB915" s="37"/>
      <c r="BC915" s="37"/>
      <c r="BD915" s="37"/>
    </row>
    <row r="916" spans="1:56" ht="9.75" customHeight="1" x14ac:dyDescent="0.3">
      <c r="A916" s="34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6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6"/>
      <c r="AI916" s="16"/>
      <c r="AJ916" s="37"/>
      <c r="AK916" s="37"/>
      <c r="AL916" s="37"/>
      <c r="AM916" s="37"/>
      <c r="AN916" s="37"/>
      <c r="AO916" s="37"/>
      <c r="AP916" s="37"/>
      <c r="AQ916" s="37"/>
      <c r="AR916" s="37"/>
      <c r="AS916" s="37"/>
      <c r="AT916" s="37"/>
      <c r="AU916" s="37"/>
      <c r="AV916" s="37"/>
      <c r="AW916" s="37"/>
      <c r="AX916" s="37"/>
      <c r="AY916" s="37"/>
      <c r="AZ916" s="37"/>
      <c r="BA916" s="37"/>
      <c r="BB916" s="37"/>
      <c r="BC916" s="37"/>
      <c r="BD916" s="37"/>
    </row>
    <row r="917" spans="1:56" ht="9.75" customHeight="1" x14ac:dyDescent="0.3">
      <c r="A917" s="34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6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6"/>
      <c r="AI917" s="16"/>
      <c r="AJ917" s="37"/>
      <c r="AK917" s="37"/>
      <c r="AL917" s="37"/>
      <c r="AM917" s="37"/>
      <c r="AN917" s="37"/>
      <c r="AO917" s="37"/>
      <c r="AP917" s="37"/>
      <c r="AQ917" s="37"/>
      <c r="AR917" s="37"/>
      <c r="AS917" s="37"/>
      <c r="AT917" s="37"/>
      <c r="AU917" s="37"/>
      <c r="AV917" s="37"/>
      <c r="AW917" s="37"/>
      <c r="AX917" s="37"/>
      <c r="AY917" s="37"/>
      <c r="AZ917" s="37"/>
      <c r="BA917" s="37"/>
      <c r="BB917" s="37"/>
      <c r="BC917" s="37"/>
      <c r="BD917" s="37"/>
    </row>
    <row r="918" spans="1:56" ht="9.75" customHeight="1" x14ac:dyDescent="0.3">
      <c r="A918" s="34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6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6"/>
      <c r="AI918" s="16"/>
      <c r="AJ918" s="37"/>
      <c r="AK918" s="37"/>
      <c r="AL918" s="37"/>
      <c r="AM918" s="37"/>
      <c r="AN918" s="37"/>
      <c r="AO918" s="37"/>
      <c r="AP918" s="37"/>
      <c r="AQ918" s="37"/>
      <c r="AR918" s="37"/>
      <c r="AS918" s="37"/>
      <c r="AT918" s="37"/>
      <c r="AU918" s="37"/>
      <c r="AV918" s="37"/>
      <c r="AW918" s="37"/>
      <c r="AX918" s="37"/>
      <c r="AY918" s="37"/>
      <c r="AZ918" s="37"/>
      <c r="BA918" s="37"/>
      <c r="BB918" s="37"/>
      <c r="BC918" s="37"/>
      <c r="BD918" s="37"/>
    </row>
    <row r="919" spans="1:56" ht="9.75" customHeight="1" x14ac:dyDescent="0.3">
      <c r="A919" s="34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6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6"/>
      <c r="AI919" s="16"/>
      <c r="AJ919" s="37"/>
      <c r="AK919" s="37"/>
      <c r="AL919" s="37"/>
      <c r="AM919" s="37"/>
      <c r="AN919" s="37"/>
      <c r="AO919" s="37"/>
      <c r="AP919" s="37"/>
      <c r="AQ919" s="37"/>
      <c r="AR919" s="37"/>
      <c r="AS919" s="37"/>
      <c r="AT919" s="37"/>
      <c r="AU919" s="37"/>
      <c r="AV919" s="37"/>
      <c r="AW919" s="37"/>
      <c r="AX919" s="37"/>
      <c r="AY919" s="37"/>
      <c r="AZ919" s="37"/>
      <c r="BA919" s="37"/>
      <c r="BB919" s="37"/>
      <c r="BC919" s="37"/>
      <c r="BD919" s="37"/>
    </row>
    <row r="920" spans="1:56" ht="9.75" customHeight="1" x14ac:dyDescent="0.3">
      <c r="A920" s="34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6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6"/>
      <c r="AI920" s="16"/>
      <c r="AJ920" s="37"/>
      <c r="AK920" s="37"/>
      <c r="AL920" s="37"/>
      <c r="AM920" s="37"/>
      <c r="AN920" s="37"/>
      <c r="AO920" s="37"/>
      <c r="AP920" s="37"/>
      <c r="AQ920" s="37"/>
      <c r="AR920" s="37"/>
      <c r="AS920" s="37"/>
      <c r="AT920" s="37"/>
      <c r="AU920" s="37"/>
      <c r="AV920" s="37"/>
      <c r="AW920" s="37"/>
      <c r="AX920" s="37"/>
      <c r="AY920" s="37"/>
      <c r="AZ920" s="37"/>
      <c r="BA920" s="37"/>
      <c r="BB920" s="37"/>
      <c r="BC920" s="37"/>
      <c r="BD920" s="37"/>
    </row>
    <row r="921" spans="1:56" ht="9.75" customHeight="1" x14ac:dyDescent="0.3">
      <c r="A921" s="34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6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6"/>
      <c r="AI921" s="16"/>
      <c r="AJ921" s="37"/>
      <c r="AK921" s="37"/>
      <c r="AL921" s="37"/>
      <c r="AM921" s="37"/>
      <c r="AN921" s="37"/>
      <c r="AO921" s="37"/>
      <c r="AP921" s="37"/>
      <c r="AQ921" s="37"/>
      <c r="AR921" s="37"/>
      <c r="AS921" s="37"/>
      <c r="AT921" s="37"/>
      <c r="AU921" s="37"/>
      <c r="AV921" s="37"/>
      <c r="AW921" s="37"/>
      <c r="AX921" s="37"/>
      <c r="AY921" s="37"/>
      <c r="AZ921" s="37"/>
      <c r="BA921" s="37"/>
      <c r="BB921" s="37"/>
      <c r="BC921" s="37"/>
      <c r="BD921" s="37"/>
    </row>
    <row r="922" spans="1:56" ht="9.75" customHeight="1" x14ac:dyDescent="0.3">
      <c r="A922" s="34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6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6"/>
      <c r="AI922" s="16"/>
      <c r="AJ922" s="37"/>
      <c r="AK922" s="37"/>
      <c r="AL922" s="37"/>
      <c r="AM922" s="37"/>
      <c r="AN922" s="37"/>
      <c r="AO922" s="37"/>
      <c r="AP922" s="37"/>
      <c r="AQ922" s="37"/>
      <c r="AR922" s="37"/>
      <c r="AS922" s="37"/>
      <c r="AT922" s="37"/>
      <c r="AU922" s="37"/>
      <c r="AV922" s="37"/>
      <c r="AW922" s="37"/>
      <c r="AX922" s="37"/>
      <c r="AY922" s="37"/>
      <c r="AZ922" s="37"/>
      <c r="BA922" s="37"/>
      <c r="BB922" s="37"/>
      <c r="BC922" s="37"/>
      <c r="BD922" s="37"/>
    </row>
    <row r="923" spans="1:56" ht="9.75" customHeight="1" x14ac:dyDescent="0.3">
      <c r="A923" s="34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6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6"/>
      <c r="AI923" s="16"/>
      <c r="AJ923" s="37"/>
      <c r="AK923" s="37"/>
      <c r="AL923" s="37"/>
      <c r="AM923" s="37"/>
      <c r="AN923" s="37"/>
      <c r="AO923" s="37"/>
      <c r="AP923" s="37"/>
      <c r="AQ923" s="37"/>
      <c r="AR923" s="37"/>
      <c r="AS923" s="37"/>
      <c r="AT923" s="37"/>
      <c r="AU923" s="37"/>
      <c r="AV923" s="37"/>
      <c r="AW923" s="37"/>
      <c r="AX923" s="37"/>
      <c r="AY923" s="37"/>
      <c r="AZ923" s="37"/>
      <c r="BA923" s="37"/>
      <c r="BB923" s="37"/>
      <c r="BC923" s="37"/>
      <c r="BD923" s="37"/>
    </row>
    <row r="924" spans="1:56" ht="9.75" customHeight="1" x14ac:dyDescent="0.3">
      <c r="A924" s="34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6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6"/>
      <c r="AI924" s="16"/>
      <c r="AJ924" s="37"/>
      <c r="AK924" s="37"/>
      <c r="AL924" s="37"/>
      <c r="AM924" s="37"/>
      <c r="AN924" s="37"/>
      <c r="AO924" s="37"/>
      <c r="AP924" s="37"/>
      <c r="AQ924" s="37"/>
      <c r="AR924" s="37"/>
      <c r="AS924" s="37"/>
      <c r="AT924" s="37"/>
      <c r="AU924" s="37"/>
      <c r="AV924" s="37"/>
      <c r="AW924" s="37"/>
      <c r="AX924" s="37"/>
      <c r="AY924" s="37"/>
      <c r="AZ924" s="37"/>
      <c r="BA924" s="37"/>
      <c r="BB924" s="37"/>
      <c r="BC924" s="37"/>
      <c r="BD924" s="37"/>
    </row>
    <row r="925" spans="1:56" ht="9.75" customHeight="1" x14ac:dyDescent="0.3">
      <c r="A925" s="34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6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6"/>
      <c r="AI925" s="16"/>
      <c r="AJ925" s="37"/>
      <c r="AK925" s="37"/>
      <c r="AL925" s="37"/>
      <c r="AM925" s="37"/>
      <c r="AN925" s="37"/>
      <c r="AO925" s="37"/>
      <c r="AP925" s="37"/>
      <c r="AQ925" s="37"/>
      <c r="AR925" s="37"/>
      <c r="AS925" s="37"/>
      <c r="AT925" s="37"/>
      <c r="AU925" s="37"/>
      <c r="AV925" s="37"/>
      <c r="AW925" s="37"/>
      <c r="AX925" s="37"/>
      <c r="AY925" s="37"/>
      <c r="AZ925" s="37"/>
      <c r="BA925" s="37"/>
      <c r="BB925" s="37"/>
      <c r="BC925" s="37"/>
      <c r="BD925" s="37"/>
    </row>
    <row r="926" spans="1:56" ht="9.75" customHeight="1" x14ac:dyDescent="0.3">
      <c r="A926" s="34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6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6"/>
      <c r="AI926" s="16"/>
      <c r="AJ926" s="37"/>
      <c r="AK926" s="37"/>
      <c r="AL926" s="37"/>
      <c r="AM926" s="37"/>
      <c r="AN926" s="37"/>
      <c r="AO926" s="37"/>
      <c r="AP926" s="37"/>
      <c r="AQ926" s="37"/>
      <c r="AR926" s="37"/>
      <c r="AS926" s="37"/>
      <c r="AT926" s="37"/>
      <c r="AU926" s="37"/>
      <c r="AV926" s="37"/>
      <c r="AW926" s="37"/>
      <c r="AX926" s="37"/>
      <c r="AY926" s="37"/>
      <c r="AZ926" s="37"/>
      <c r="BA926" s="37"/>
      <c r="BB926" s="37"/>
      <c r="BC926" s="37"/>
      <c r="BD926" s="37"/>
    </row>
    <row r="927" spans="1:56" ht="9.75" customHeight="1" x14ac:dyDescent="0.3">
      <c r="A927" s="34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6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6"/>
      <c r="AI927" s="16"/>
      <c r="AJ927" s="37"/>
      <c r="AK927" s="37"/>
      <c r="AL927" s="37"/>
      <c r="AM927" s="37"/>
      <c r="AN927" s="37"/>
      <c r="AO927" s="37"/>
      <c r="AP927" s="37"/>
      <c r="AQ927" s="37"/>
      <c r="AR927" s="37"/>
      <c r="AS927" s="37"/>
      <c r="AT927" s="37"/>
      <c r="AU927" s="37"/>
      <c r="AV927" s="37"/>
      <c r="AW927" s="37"/>
      <c r="AX927" s="37"/>
      <c r="AY927" s="37"/>
      <c r="AZ927" s="37"/>
      <c r="BA927" s="37"/>
      <c r="BB927" s="37"/>
      <c r="BC927" s="37"/>
      <c r="BD927" s="37"/>
    </row>
    <row r="928" spans="1:56" ht="9.75" customHeight="1" x14ac:dyDescent="0.3">
      <c r="A928" s="34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6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6"/>
      <c r="AI928" s="16"/>
      <c r="AJ928" s="37"/>
      <c r="AK928" s="37"/>
      <c r="AL928" s="37"/>
      <c r="AM928" s="37"/>
      <c r="AN928" s="37"/>
      <c r="AO928" s="37"/>
      <c r="AP928" s="37"/>
      <c r="AQ928" s="37"/>
      <c r="AR928" s="37"/>
      <c r="AS928" s="37"/>
      <c r="AT928" s="37"/>
      <c r="AU928" s="37"/>
      <c r="AV928" s="37"/>
      <c r="AW928" s="37"/>
      <c r="AX928" s="37"/>
      <c r="AY928" s="37"/>
      <c r="AZ928" s="37"/>
      <c r="BA928" s="37"/>
      <c r="BB928" s="37"/>
      <c r="BC928" s="37"/>
      <c r="BD928" s="37"/>
    </row>
    <row r="929" spans="1:56" ht="9.75" customHeight="1" x14ac:dyDescent="0.3">
      <c r="A929" s="34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6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6"/>
      <c r="AI929" s="16"/>
      <c r="AJ929" s="37"/>
      <c r="AK929" s="37"/>
      <c r="AL929" s="37"/>
      <c r="AM929" s="37"/>
      <c r="AN929" s="37"/>
      <c r="AO929" s="37"/>
      <c r="AP929" s="37"/>
      <c r="AQ929" s="37"/>
      <c r="AR929" s="37"/>
      <c r="AS929" s="37"/>
      <c r="AT929" s="37"/>
      <c r="AU929" s="37"/>
      <c r="AV929" s="37"/>
      <c r="AW929" s="37"/>
      <c r="AX929" s="37"/>
      <c r="AY929" s="37"/>
      <c r="AZ929" s="37"/>
      <c r="BA929" s="37"/>
      <c r="BB929" s="37"/>
      <c r="BC929" s="37"/>
      <c r="BD929" s="37"/>
    </row>
    <row r="930" spans="1:56" ht="9.75" customHeight="1" x14ac:dyDescent="0.3">
      <c r="A930" s="34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6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6"/>
      <c r="AI930" s="16"/>
      <c r="AJ930" s="37"/>
      <c r="AK930" s="37"/>
      <c r="AL930" s="37"/>
      <c r="AM930" s="37"/>
      <c r="AN930" s="37"/>
      <c r="AO930" s="37"/>
      <c r="AP930" s="37"/>
      <c r="AQ930" s="37"/>
      <c r="AR930" s="37"/>
      <c r="AS930" s="37"/>
      <c r="AT930" s="37"/>
      <c r="AU930" s="37"/>
      <c r="AV930" s="37"/>
      <c r="AW930" s="37"/>
      <c r="AX930" s="37"/>
      <c r="AY930" s="37"/>
      <c r="AZ930" s="37"/>
      <c r="BA930" s="37"/>
      <c r="BB930" s="37"/>
      <c r="BC930" s="37"/>
      <c r="BD930" s="37"/>
    </row>
    <row r="931" spans="1:56" ht="9.75" customHeight="1" x14ac:dyDescent="0.3">
      <c r="A931" s="34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6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6"/>
      <c r="AI931" s="16"/>
      <c r="AJ931" s="37"/>
      <c r="AK931" s="37"/>
      <c r="AL931" s="37"/>
      <c r="AM931" s="37"/>
      <c r="AN931" s="37"/>
      <c r="AO931" s="37"/>
      <c r="AP931" s="37"/>
      <c r="AQ931" s="37"/>
      <c r="AR931" s="37"/>
      <c r="AS931" s="37"/>
      <c r="AT931" s="37"/>
      <c r="AU931" s="37"/>
      <c r="AV931" s="37"/>
      <c r="AW931" s="37"/>
      <c r="AX931" s="37"/>
      <c r="AY931" s="37"/>
      <c r="AZ931" s="37"/>
      <c r="BA931" s="37"/>
      <c r="BB931" s="37"/>
      <c r="BC931" s="37"/>
      <c r="BD931" s="37"/>
    </row>
    <row r="932" spans="1:56" ht="9.75" customHeight="1" x14ac:dyDescent="0.3">
      <c r="A932" s="34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6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6"/>
      <c r="AI932" s="16"/>
      <c r="AJ932" s="37"/>
      <c r="AK932" s="37"/>
      <c r="AL932" s="37"/>
      <c r="AM932" s="37"/>
      <c r="AN932" s="37"/>
      <c r="AO932" s="37"/>
      <c r="AP932" s="37"/>
      <c r="AQ932" s="37"/>
      <c r="AR932" s="37"/>
      <c r="AS932" s="37"/>
      <c r="AT932" s="37"/>
      <c r="AU932" s="37"/>
      <c r="AV932" s="37"/>
      <c r="AW932" s="37"/>
      <c r="AX932" s="37"/>
      <c r="AY932" s="37"/>
      <c r="AZ932" s="37"/>
      <c r="BA932" s="37"/>
      <c r="BB932" s="37"/>
      <c r="BC932" s="37"/>
      <c r="BD932" s="37"/>
    </row>
    <row r="933" spans="1:56" ht="9.75" customHeight="1" x14ac:dyDescent="0.3">
      <c r="A933" s="34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6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6"/>
      <c r="AI933" s="16"/>
      <c r="AJ933" s="37"/>
      <c r="AK933" s="37"/>
      <c r="AL933" s="37"/>
      <c r="AM933" s="37"/>
      <c r="AN933" s="37"/>
      <c r="AO933" s="37"/>
      <c r="AP933" s="37"/>
      <c r="AQ933" s="37"/>
      <c r="AR933" s="37"/>
      <c r="AS933" s="37"/>
      <c r="AT933" s="37"/>
      <c r="AU933" s="37"/>
      <c r="AV933" s="37"/>
      <c r="AW933" s="37"/>
      <c r="AX933" s="37"/>
      <c r="AY933" s="37"/>
      <c r="AZ933" s="37"/>
      <c r="BA933" s="37"/>
      <c r="BB933" s="37"/>
      <c r="BC933" s="37"/>
      <c r="BD933" s="37"/>
    </row>
    <row r="934" spans="1:56" ht="9.75" customHeight="1" x14ac:dyDescent="0.3">
      <c r="A934" s="34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6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6"/>
      <c r="AI934" s="16"/>
      <c r="AJ934" s="37"/>
      <c r="AK934" s="37"/>
      <c r="AL934" s="37"/>
      <c r="AM934" s="37"/>
      <c r="AN934" s="37"/>
      <c r="AO934" s="37"/>
      <c r="AP934" s="37"/>
      <c r="AQ934" s="37"/>
      <c r="AR934" s="37"/>
      <c r="AS934" s="37"/>
      <c r="AT934" s="37"/>
      <c r="AU934" s="37"/>
      <c r="AV934" s="37"/>
      <c r="AW934" s="37"/>
      <c r="AX934" s="37"/>
      <c r="AY934" s="37"/>
      <c r="AZ934" s="37"/>
      <c r="BA934" s="37"/>
      <c r="BB934" s="37"/>
      <c r="BC934" s="37"/>
      <c r="BD934" s="37"/>
    </row>
    <row r="935" spans="1:56" ht="9.75" customHeight="1" x14ac:dyDescent="0.3">
      <c r="A935" s="34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6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6"/>
      <c r="AI935" s="16"/>
      <c r="AJ935" s="37"/>
      <c r="AK935" s="37"/>
      <c r="AL935" s="37"/>
      <c r="AM935" s="37"/>
      <c r="AN935" s="37"/>
      <c r="AO935" s="37"/>
      <c r="AP935" s="37"/>
      <c r="AQ935" s="37"/>
      <c r="AR935" s="37"/>
      <c r="AS935" s="37"/>
      <c r="AT935" s="37"/>
      <c r="AU935" s="37"/>
      <c r="AV935" s="37"/>
      <c r="AW935" s="37"/>
      <c r="AX935" s="37"/>
      <c r="AY935" s="37"/>
      <c r="AZ935" s="37"/>
      <c r="BA935" s="37"/>
      <c r="BB935" s="37"/>
      <c r="BC935" s="37"/>
      <c r="BD935" s="37"/>
    </row>
    <row r="936" spans="1:56" ht="9.75" customHeight="1" x14ac:dyDescent="0.3">
      <c r="A936" s="34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6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6"/>
      <c r="AI936" s="16"/>
      <c r="AJ936" s="37"/>
      <c r="AK936" s="37"/>
      <c r="AL936" s="37"/>
      <c r="AM936" s="37"/>
      <c r="AN936" s="37"/>
      <c r="AO936" s="37"/>
      <c r="AP936" s="37"/>
      <c r="AQ936" s="37"/>
      <c r="AR936" s="37"/>
      <c r="AS936" s="37"/>
      <c r="AT936" s="37"/>
      <c r="AU936" s="37"/>
      <c r="AV936" s="37"/>
      <c r="AW936" s="37"/>
      <c r="AX936" s="37"/>
      <c r="AY936" s="37"/>
      <c r="AZ936" s="37"/>
      <c r="BA936" s="37"/>
      <c r="BB936" s="37"/>
      <c r="BC936" s="37"/>
      <c r="BD936" s="37"/>
    </row>
    <row r="937" spans="1:56" ht="9.75" customHeight="1" x14ac:dyDescent="0.3">
      <c r="A937" s="34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6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6"/>
      <c r="AI937" s="16"/>
      <c r="AJ937" s="37"/>
      <c r="AK937" s="37"/>
      <c r="AL937" s="37"/>
      <c r="AM937" s="37"/>
      <c r="AN937" s="37"/>
      <c r="AO937" s="37"/>
      <c r="AP937" s="37"/>
      <c r="AQ937" s="37"/>
      <c r="AR937" s="37"/>
      <c r="AS937" s="37"/>
      <c r="AT937" s="37"/>
      <c r="AU937" s="37"/>
      <c r="AV937" s="37"/>
      <c r="AW937" s="37"/>
      <c r="AX937" s="37"/>
      <c r="AY937" s="37"/>
      <c r="AZ937" s="37"/>
      <c r="BA937" s="37"/>
      <c r="BB937" s="37"/>
      <c r="BC937" s="37"/>
      <c r="BD937" s="37"/>
    </row>
    <row r="938" spans="1:56" ht="9.75" customHeight="1" x14ac:dyDescent="0.3">
      <c r="A938" s="34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6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6"/>
      <c r="AI938" s="16"/>
      <c r="AJ938" s="37"/>
      <c r="AK938" s="37"/>
      <c r="AL938" s="37"/>
      <c r="AM938" s="37"/>
      <c r="AN938" s="37"/>
      <c r="AO938" s="37"/>
      <c r="AP938" s="37"/>
      <c r="AQ938" s="37"/>
      <c r="AR938" s="37"/>
      <c r="AS938" s="37"/>
      <c r="AT938" s="37"/>
      <c r="AU938" s="37"/>
      <c r="AV938" s="37"/>
      <c r="AW938" s="37"/>
      <c r="AX938" s="37"/>
      <c r="AY938" s="37"/>
      <c r="AZ938" s="37"/>
      <c r="BA938" s="37"/>
      <c r="BB938" s="37"/>
      <c r="BC938" s="37"/>
      <c r="BD938" s="37"/>
    </row>
    <row r="939" spans="1:56" ht="9.75" customHeight="1" x14ac:dyDescent="0.3">
      <c r="A939" s="34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6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6"/>
      <c r="AI939" s="16"/>
      <c r="AJ939" s="37"/>
      <c r="AK939" s="37"/>
      <c r="AL939" s="37"/>
      <c r="AM939" s="37"/>
      <c r="AN939" s="37"/>
      <c r="AO939" s="37"/>
      <c r="AP939" s="37"/>
      <c r="AQ939" s="37"/>
      <c r="AR939" s="37"/>
      <c r="AS939" s="37"/>
      <c r="AT939" s="37"/>
      <c r="AU939" s="37"/>
      <c r="AV939" s="37"/>
      <c r="AW939" s="37"/>
      <c r="AX939" s="37"/>
      <c r="AY939" s="37"/>
      <c r="AZ939" s="37"/>
      <c r="BA939" s="37"/>
      <c r="BB939" s="37"/>
      <c r="BC939" s="37"/>
      <c r="BD939" s="37"/>
    </row>
    <row r="940" spans="1:56" ht="9.75" customHeight="1" x14ac:dyDescent="0.3">
      <c r="A940" s="34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6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6"/>
      <c r="AI940" s="16"/>
      <c r="AJ940" s="37"/>
      <c r="AK940" s="37"/>
      <c r="AL940" s="37"/>
      <c r="AM940" s="37"/>
      <c r="AN940" s="37"/>
      <c r="AO940" s="37"/>
      <c r="AP940" s="37"/>
      <c r="AQ940" s="37"/>
      <c r="AR940" s="37"/>
      <c r="AS940" s="37"/>
      <c r="AT940" s="37"/>
      <c r="AU940" s="37"/>
      <c r="AV940" s="37"/>
      <c r="AW940" s="37"/>
      <c r="AX940" s="37"/>
      <c r="AY940" s="37"/>
      <c r="AZ940" s="37"/>
      <c r="BA940" s="37"/>
      <c r="BB940" s="37"/>
      <c r="BC940" s="37"/>
      <c r="BD940" s="37"/>
    </row>
    <row r="941" spans="1:56" ht="9.75" customHeight="1" x14ac:dyDescent="0.3">
      <c r="A941" s="34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6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6"/>
      <c r="AI941" s="16"/>
      <c r="AJ941" s="37"/>
      <c r="AK941" s="37"/>
      <c r="AL941" s="37"/>
      <c r="AM941" s="37"/>
      <c r="AN941" s="37"/>
      <c r="AO941" s="37"/>
      <c r="AP941" s="37"/>
      <c r="AQ941" s="37"/>
      <c r="AR941" s="37"/>
      <c r="AS941" s="37"/>
      <c r="AT941" s="37"/>
      <c r="AU941" s="37"/>
      <c r="AV941" s="37"/>
      <c r="AW941" s="37"/>
      <c r="AX941" s="37"/>
      <c r="AY941" s="37"/>
      <c r="AZ941" s="37"/>
      <c r="BA941" s="37"/>
      <c r="BB941" s="37"/>
      <c r="BC941" s="37"/>
      <c r="BD941" s="37"/>
    </row>
    <row r="942" spans="1:56" ht="9.75" customHeight="1" x14ac:dyDescent="0.3">
      <c r="A942" s="34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6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6"/>
      <c r="AI942" s="16"/>
      <c r="AJ942" s="37"/>
      <c r="AK942" s="37"/>
      <c r="AL942" s="37"/>
      <c r="AM942" s="37"/>
      <c r="AN942" s="37"/>
      <c r="AO942" s="37"/>
      <c r="AP942" s="37"/>
      <c r="AQ942" s="37"/>
      <c r="AR942" s="37"/>
      <c r="AS942" s="37"/>
      <c r="AT942" s="37"/>
      <c r="AU942" s="37"/>
      <c r="AV942" s="37"/>
      <c r="AW942" s="37"/>
      <c r="AX942" s="37"/>
      <c r="AY942" s="37"/>
      <c r="AZ942" s="37"/>
      <c r="BA942" s="37"/>
      <c r="BB942" s="37"/>
      <c r="BC942" s="37"/>
      <c r="BD942" s="37"/>
    </row>
    <row r="943" spans="1:56" ht="9.75" customHeight="1" x14ac:dyDescent="0.3">
      <c r="A943" s="34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6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6"/>
      <c r="AI943" s="16"/>
      <c r="AJ943" s="37"/>
      <c r="AK943" s="37"/>
      <c r="AL943" s="37"/>
      <c r="AM943" s="37"/>
      <c r="AN943" s="37"/>
      <c r="AO943" s="37"/>
      <c r="AP943" s="37"/>
      <c r="AQ943" s="37"/>
      <c r="AR943" s="37"/>
      <c r="AS943" s="37"/>
      <c r="AT943" s="37"/>
      <c r="AU943" s="37"/>
      <c r="AV943" s="37"/>
      <c r="AW943" s="37"/>
      <c r="AX943" s="37"/>
      <c r="AY943" s="37"/>
      <c r="AZ943" s="37"/>
      <c r="BA943" s="37"/>
      <c r="BB943" s="37"/>
      <c r="BC943" s="37"/>
      <c r="BD943" s="37"/>
    </row>
    <row r="944" spans="1:56" ht="9.75" customHeight="1" x14ac:dyDescent="0.3">
      <c r="A944" s="34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6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6"/>
      <c r="AI944" s="16"/>
      <c r="AJ944" s="37"/>
      <c r="AK944" s="37"/>
      <c r="AL944" s="37"/>
      <c r="AM944" s="37"/>
      <c r="AN944" s="37"/>
      <c r="AO944" s="37"/>
      <c r="AP944" s="37"/>
      <c r="AQ944" s="37"/>
      <c r="AR944" s="37"/>
      <c r="AS944" s="37"/>
      <c r="AT944" s="37"/>
      <c r="AU944" s="37"/>
      <c r="AV944" s="37"/>
      <c r="AW944" s="37"/>
      <c r="AX944" s="37"/>
      <c r="AY944" s="37"/>
      <c r="AZ944" s="37"/>
      <c r="BA944" s="37"/>
      <c r="BB944" s="37"/>
      <c r="BC944" s="37"/>
      <c r="BD944" s="37"/>
    </row>
    <row r="945" spans="1:56" ht="9.75" customHeight="1" x14ac:dyDescent="0.3">
      <c r="A945" s="34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6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6"/>
      <c r="AI945" s="16"/>
      <c r="AJ945" s="37"/>
      <c r="AK945" s="37"/>
      <c r="AL945" s="37"/>
      <c r="AM945" s="37"/>
      <c r="AN945" s="37"/>
      <c r="AO945" s="37"/>
      <c r="AP945" s="37"/>
      <c r="AQ945" s="37"/>
      <c r="AR945" s="37"/>
      <c r="AS945" s="37"/>
      <c r="AT945" s="37"/>
      <c r="AU945" s="37"/>
      <c r="AV945" s="37"/>
      <c r="AW945" s="37"/>
      <c r="AX945" s="37"/>
      <c r="AY945" s="37"/>
      <c r="AZ945" s="37"/>
      <c r="BA945" s="37"/>
      <c r="BB945" s="37"/>
      <c r="BC945" s="37"/>
      <c r="BD945" s="37"/>
    </row>
    <row r="946" spans="1:56" ht="9.75" customHeight="1" x14ac:dyDescent="0.3">
      <c r="A946" s="34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6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6"/>
      <c r="AI946" s="16"/>
      <c r="AJ946" s="37"/>
      <c r="AK946" s="37"/>
      <c r="AL946" s="37"/>
      <c r="AM946" s="37"/>
      <c r="AN946" s="37"/>
      <c r="AO946" s="37"/>
      <c r="AP946" s="37"/>
      <c r="AQ946" s="37"/>
      <c r="AR946" s="37"/>
      <c r="AS946" s="37"/>
      <c r="AT946" s="37"/>
      <c r="AU946" s="37"/>
      <c r="AV946" s="37"/>
      <c r="AW946" s="37"/>
      <c r="AX946" s="37"/>
      <c r="AY946" s="37"/>
      <c r="AZ946" s="37"/>
      <c r="BA946" s="37"/>
      <c r="BB946" s="37"/>
      <c r="BC946" s="37"/>
      <c r="BD946" s="37"/>
    </row>
    <row r="947" spans="1:56" ht="9.75" customHeight="1" x14ac:dyDescent="0.3">
      <c r="A947" s="34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6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6"/>
      <c r="AI947" s="16"/>
      <c r="AJ947" s="37"/>
      <c r="AK947" s="37"/>
      <c r="AL947" s="37"/>
      <c r="AM947" s="37"/>
      <c r="AN947" s="37"/>
      <c r="AO947" s="37"/>
      <c r="AP947" s="37"/>
      <c r="AQ947" s="37"/>
      <c r="AR947" s="37"/>
      <c r="AS947" s="37"/>
      <c r="AT947" s="37"/>
      <c r="AU947" s="37"/>
      <c r="AV947" s="37"/>
      <c r="AW947" s="37"/>
      <c r="AX947" s="37"/>
      <c r="AY947" s="37"/>
      <c r="AZ947" s="37"/>
      <c r="BA947" s="37"/>
      <c r="BB947" s="37"/>
      <c r="BC947" s="37"/>
      <c r="BD947" s="37"/>
    </row>
    <row r="948" spans="1:56" ht="9.75" customHeight="1" x14ac:dyDescent="0.3">
      <c r="A948" s="34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6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6"/>
      <c r="AI948" s="16"/>
      <c r="AJ948" s="37"/>
      <c r="AK948" s="37"/>
      <c r="AL948" s="37"/>
      <c r="AM948" s="37"/>
      <c r="AN948" s="37"/>
      <c r="AO948" s="37"/>
      <c r="AP948" s="37"/>
      <c r="AQ948" s="37"/>
      <c r="AR948" s="37"/>
      <c r="AS948" s="37"/>
      <c r="AT948" s="37"/>
      <c r="AU948" s="37"/>
      <c r="AV948" s="37"/>
      <c r="AW948" s="37"/>
      <c r="AX948" s="37"/>
      <c r="AY948" s="37"/>
      <c r="AZ948" s="37"/>
      <c r="BA948" s="37"/>
      <c r="BB948" s="37"/>
      <c r="BC948" s="37"/>
      <c r="BD948" s="37"/>
    </row>
    <row r="949" spans="1:56" ht="9.75" customHeight="1" x14ac:dyDescent="0.3">
      <c r="A949" s="34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6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6"/>
      <c r="AI949" s="16"/>
      <c r="AJ949" s="37"/>
      <c r="AK949" s="37"/>
      <c r="AL949" s="37"/>
      <c r="AM949" s="37"/>
      <c r="AN949" s="37"/>
      <c r="AO949" s="37"/>
      <c r="AP949" s="37"/>
      <c r="AQ949" s="37"/>
      <c r="AR949" s="37"/>
      <c r="AS949" s="37"/>
      <c r="AT949" s="37"/>
      <c r="AU949" s="37"/>
      <c r="AV949" s="37"/>
      <c r="AW949" s="37"/>
      <c r="AX949" s="37"/>
      <c r="AY949" s="37"/>
      <c r="AZ949" s="37"/>
      <c r="BA949" s="37"/>
      <c r="BB949" s="37"/>
      <c r="BC949" s="37"/>
      <c r="BD949" s="37"/>
    </row>
    <row r="950" spans="1:56" ht="9.75" customHeight="1" x14ac:dyDescent="0.3">
      <c r="A950" s="34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6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6"/>
      <c r="AI950" s="16"/>
      <c r="AJ950" s="37"/>
      <c r="AK950" s="37"/>
      <c r="AL950" s="37"/>
      <c r="AM950" s="37"/>
      <c r="AN950" s="37"/>
      <c r="AO950" s="37"/>
      <c r="AP950" s="37"/>
      <c r="AQ950" s="37"/>
      <c r="AR950" s="37"/>
      <c r="AS950" s="37"/>
      <c r="AT950" s="37"/>
      <c r="AU950" s="37"/>
      <c r="AV950" s="37"/>
      <c r="AW950" s="37"/>
      <c r="AX950" s="37"/>
      <c r="AY950" s="37"/>
      <c r="AZ950" s="37"/>
      <c r="BA950" s="37"/>
      <c r="BB950" s="37"/>
      <c r="BC950" s="37"/>
      <c r="BD950" s="37"/>
    </row>
    <row r="951" spans="1:56" ht="9.75" customHeight="1" x14ac:dyDescent="0.3">
      <c r="A951" s="34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6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6"/>
      <c r="AI951" s="16"/>
      <c r="AJ951" s="37"/>
      <c r="AK951" s="37"/>
      <c r="AL951" s="37"/>
      <c r="AM951" s="37"/>
      <c r="AN951" s="37"/>
      <c r="AO951" s="37"/>
      <c r="AP951" s="37"/>
      <c r="AQ951" s="37"/>
      <c r="AR951" s="37"/>
      <c r="AS951" s="37"/>
      <c r="AT951" s="37"/>
      <c r="AU951" s="37"/>
      <c r="AV951" s="37"/>
      <c r="AW951" s="37"/>
      <c r="AX951" s="37"/>
      <c r="AY951" s="37"/>
      <c r="AZ951" s="37"/>
      <c r="BA951" s="37"/>
      <c r="BB951" s="37"/>
      <c r="BC951" s="37"/>
      <c r="BD951" s="37"/>
    </row>
    <row r="952" spans="1:56" ht="9.75" customHeight="1" x14ac:dyDescent="0.3">
      <c r="A952" s="34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6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6"/>
      <c r="AI952" s="16"/>
      <c r="AJ952" s="37"/>
      <c r="AK952" s="37"/>
      <c r="AL952" s="37"/>
      <c r="AM952" s="37"/>
      <c r="AN952" s="37"/>
      <c r="AO952" s="37"/>
      <c r="AP952" s="37"/>
      <c r="AQ952" s="37"/>
      <c r="AR952" s="37"/>
      <c r="AS952" s="37"/>
      <c r="AT952" s="37"/>
      <c r="AU952" s="37"/>
      <c r="AV952" s="37"/>
      <c r="AW952" s="37"/>
      <c r="AX952" s="37"/>
      <c r="AY952" s="37"/>
      <c r="AZ952" s="37"/>
      <c r="BA952" s="37"/>
      <c r="BB952" s="37"/>
      <c r="BC952" s="37"/>
      <c r="BD952" s="37"/>
    </row>
    <row r="953" spans="1:56" ht="9.75" customHeight="1" x14ac:dyDescent="0.3">
      <c r="A953" s="34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6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6"/>
      <c r="AI953" s="16"/>
      <c r="AJ953" s="37"/>
      <c r="AK953" s="37"/>
      <c r="AL953" s="37"/>
      <c r="AM953" s="37"/>
      <c r="AN953" s="37"/>
      <c r="AO953" s="37"/>
      <c r="AP953" s="37"/>
      <c r="AQ953" s="37"/>
      <c r="AR953" s="37"/>
      <c r="AS953" s="37"/>
      <c r="AT953" s="37"/>
      <c r="AU953" s="37"/>
      <c r="AV953" s="37"/>
      <c r="AW953" s="37"/>
      <c r="AX953" s="37"/>
      <c r="AY953" s="37"/>
      <c r="AZ953" s="37"/>
      <c r="BA953" s="37"/>
      <c r="BB953" s="37"/>
      <c r="BC953" s="37"/>
      <c r="BD953" s="37"/>
    </row>
    <row r="954" spans="1:56" ht="9.75" customHeight="1" x14ac:dyDescent="0.3">
      <c r="A954" s="34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6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6"/>
      <c r="AI954" s="16"/>
      <c r="AJ954" s="37"/>
      <c r="AK954" s="37"/>
      <c r="AL954" s="37"/>
      <c r="AM954" s="37"/>
      <c r="AN954" s="37"/>
      <c r="AO954" s="37"/>
      <c r="AP954" s="37"/>
      <c r="AQ954" s="37"/>
      <c r="AR954" s="37"/>
      <c r="AS954" s="37"/>
      <c r="AT954" s="37"/>
      <c r="AU954" s="37"/>
      <c r="AV954" s="37"/>
      <c r="AW954" s="37"/>
      <c r="AX954" s="37"/>
      <c r="AY954" s="37"/>
      <c r="AZ954" s="37"/>
      <c r="BA954" s="37"/>
      <c r="BB954" s="37"/>
      <c r="BC954" s="37"/>
      <c r="BD954" s="37"/>
    </row>
    <row r="955" spans="1:56" ht="9.75" customHeight="1" x14ac:dyDescent="0.3">
      <c r="A955" s="34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6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6"/>
      <c r="AI955" s="16"/>
      <c r="AJ955" s="37"/>
      <c r="AK955" s="37"/>
      <c r="AL955" s="37"/>
      <c r="AM955" s="37"/>
      <c r="AN955" s="37"/>
      <c r="AO955" s="37"/>
      <c r="AP955" s="37"/>
      <c r="AQ955" s="37"/>
      <c r="AR955" s="37"/>
      <c r="AS955" s="37"/>
      <c r="AT955" s="37"/>
      <c r="AU955" s="37"/>
      <c r="AV955" s="37"/>
      <c r="AW955" s="37"/>
      <c r="AX955" s="37"/>
      <c r="AY955" s="37"/>
      <c r="AZ955" s="37"/>
      <c r="BA955" s="37"/>
      <c r="BB955" s="37"/>
      <c r="BC955" s="37"/>
      <c r="BD955" s="37"/>
    </row>
    <row r="956" spans="1:56" ht="9.75" customHeight="1" x14ac:dyDescent="0.3">
      <c r="A956" s="34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6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6"/>
      <c r="AI956" s="16"/>
      <c r="AJ956" s="37"/>
      <c r="AK956" s="37"/>
      <c r="AL956" s="37"/>
      <c r="AM956" s="37"/>
      <c r="AN956" s="37"/>
      <c r="AO956" s="37"/>
      <c r="AP956" s="37"/>
      <c r="AQ956" s="37"/>
      <c r="AR956" s="37"/>
      <c r="AS956" s="37"/>
      <c r="AT956" s="37"/>
      <c r="AU956" s="37"/>
      <c r="AV956" s="37"/>
      <c r="AW956" s="37"/>
      <c r="AX956" s="37"/>
      <c r="AY956" s="37"/>
      <c r="AZ956" s="37"/>
      <c r="BA956" s="37"/>
      <c r="BB956" s="37"/>
      <c r="BC956" s="37"/>
      <c r="BD956" s="37"/>
    </row>
    <row r="957" spans="1:56" ht="9.75" customHeight="1" x14ac:dyDescent="0.3">
      <c r="A957" s="34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6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6"/>
      <c r="AI957" s="16"/>
      <c r="AJ957" s="37"/>
      <c r="AK957" s="37"/>
      <c r="AL957" s="37"/>
      <c r="AM957" s="37"/>
      <c r="AN957" s="37"/>
      <c r="AO957" s="37"/>
      <c r="AP957" s="37"/>
      <c r="AQ957" s="37"/>
      <c r="AR957" s="37"/>
      <c r="AS957" s="37"/>
      <c r="AT957" s="37"/>
      <c r="AU957" s="37"/>
      <c r="AV957" s="37"/>
      <c r="AW957" s="37"/>
      <c r="AX957" s="37"/>
      <c r="AY957" s="37"/>
      <c r="AZ957" s="37"/>
      <c r="BA957" s="37"/>
      <c r="BB957" s="37"/>
      <c r="BC957" s="37"/>
      <c r="BD957" s="37"/>
    </row>
    <row r="958" spans="1:56" ht="9.75" customHeight="1" x14ac:dyDescent="0.3">
      <c r="A958" s="34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6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6"/>
      <c r="AI958" s="16"/>
      <c r="AJ958" s="37"/>
      <c r="AK958" s="37"/>
      <c r="AL958" s="37"/>
      <c r="AM958" s="37"/>
      <c r="AN958" s="37"/>
      <c r="AO958" s="37"/>
      <c r="AP958" s="37"/>
      <c r="AQ958" s="37"/>
      <c r="AR958" s="37"/>
      <c r="AS958" s="37"/>
      <c r="AT958" s="37"/>
      <c r="AU958" s="37"/>
      <c r="AV958" s="37"/>
      <c r="AW958" s="37"/>
      <c r="AX958" s="37"/>
      <c r="AY958" s="37"/>
      <c r="AZ958" s="37"/>
      <c r="BA958" s="37"/>
      <c r="BB958" s="37"/>
      <c r="BC958" s="37"/>
      <c r="BD958" s="37"/>
    </row>
    <row r="959" spans="1:56" ht="9.75" customHeight="1" x14ac:dyDescent="0.3">
      <c r="A959" s="34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6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6"/>
      <c r="AI959" s="16"/>
      <c r="AJ959" s="37"/>
      <c r="AK959" s="37"/>
      <c r="AL959" s="37"/>
      <c r="AM959" s="37"/>
      <c r="AN959" s="37"/>
      <c r="AO959" s="37"/>
      <c r="AP959" s="37"/>
      <c r="AQ959" s="37"/>
      <c r="AR959" s="37"/>
      <c r="AS959" s="37"/>
      <c r="AT959" s="37"/>
      <c r="AU959" s="37"/>
      <c r="AV959" s="37"/>
      <c r="AW959" s="37"/>
      <c r="AX959" s="37"/>
      <c r="AY959" s="37"/>
      <c r="AZ959" s="37"/>
      <c r="BA959" s="37"/>
      <c r="BB959" s="37"/>
      <c r="BC959" s="37"/>
      <c r="BD959" s="37"/>
    </row>
    <row r="960" spans="1:56" ht="9.75" customHeight="1" x14ac:dyDescent="0.3">
      <c r="A960" s="34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6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6"/>
      <c r="AI960" s="16"/>
      <c r="AJ960" s="37"/>
      <c r="AK960" s="37"/>
      <c r="AL960" s="37"/>
      <c r="AM960" s="37"/>
      <c r="AN960" s="37"/>
      <c r="AO960" s="37"/>
      <c r="AP960" s="37"/>
      <c r="AQ960" s="37"/>
      <c r="AR960" s="37"/>
      <c r="AS960" s="37"/>
      <c r="AT960" s="37"/>
      <c r="AU960" s="37"/>
      <c r="AV960" s="37"/>
      <c r="AW960" s="37"/>
      <c r="AX960" s="37"/>
      <c r="AY960" s="37"/>
      <c r="AZ960" s="37"/>
      <c r="BA960" s="37"/>
      <c r="BB960" s="37"/>
      <c r="BC960" s="37"/>
      <c r="BD960" s="37"/>
    </row>
    <row r="961" spans="1:56" ht="9.75" customHeight="1" x14ac:dyDescent="0.3">
      <c r="A961" s="34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6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6"/>
      <c r="AI961" s="16"/>
      <c r="AJ961" s="37"/>
      <c r="AK961" s="37"/>
      <c r="AL961" s="37"/>
      <c r="AM961" s="37"/>
      <c r="AN961" s="37"/>
      <c r="AO961" s="37"/>
      <c r="AP961" s="37"/>
      <c r="AQ961" s="37"/>
      <c r="AR961" s="37"/>
      <c r="AS961" s="37"/>
      <c r="AT961" s="37"/>
      <c r="AU961" s="37"/>
      <c r="AV961" s="37"/>
      <c r="AW961" s="37"/>
      <c r="AX961" s="37"/>
      <c r="AY961" s="37"/>
      <c r="AZ961" s="37"/>
      <c r="BA961" s="37"/>
      <c r="BB961" s="37"/>
      <c r="BC961" s="37"/>
      <c r="BD961" s="37"/>
    </row>
    <row r="962" spans="1:56" ht="9.75" customHeight="1" x14ac:dyDescent="0.3">
      <c r="A962" s="34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6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6"/>
      <c r="AI962" s="16"/>
      <c r="AJ962" s="37"/>
      <c r="AK962" s="37"/>
      <c r="AL962" s="37"/>
      <c r="AM962" s="37"/>
      <c r="AN962" s="37"/>
      <c r="AO962" s="37"/>
      <c r="AP962" s="37"/>
      <c r="AQ962" s="37"/>
      <c r="AR962" s="37"/>
      <c r="AS962" s="37"/>
      <c r="AT962" s="37"/>
      <c r="AU962" s="37"/>
      <c r="AV962" s="37"/>
      <c r="AW962" s="37"/>
      <c r="AX962" s="37"/>
      <c r="AY962" s="37"/>
      <c r="AZ962" s="37"/>
      <c r="BA962" s="37"/>
      <c r="BB962" s="37"/>
      <c r="BC962" s="37"/>
      <c r="BD962" s="37"/>
    </row>
    <row r="963" spans="1:56" ht="9.75" customHeight="1" x14ac:dyDescent="0.3">
      <c r="A963" s="34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6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6"/>
      <c r="AI963" s="16"/>
      <c r="AJ963" s="37"/>
      <c r="AK963" s="37"/>
      <c r="AL963" s="37"/>
      <c r="AM963" s="37"/>
      <c r="AN963" s="37"/>
      <c r="AO963" s="37"/>
      <c r="AP963" s="37"/>
      <c r="AQ963" s="37"/>
      <c r="AR963" s="37"/>
      <c r="AS963" s="37"/>
      <c r="AT963" s="37"/>
      <c r="AU963" s="37"/>
      <c r="AV963" s="37"/>
      <c r="AW963" s="37"/>
      <c r="AX963" s="37"/>
      <c r="AY963" s="37"/>
      <c r="AZ963" s="37"/>
      <c r="BA963" s="37"/>
      <c r="BB963" s="37"/>
      <c r="BC963" s="37"/>
      <c r="BD963" s="37"/>
    </row>
    <row r="964" spans="1:56" ht="9.75" customHeight="1" x14ac:dyDescent="0.3">
      <c r="A964" s="34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6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6"/>
      <c r="AI964" s="16"/>
      <c r="AJ964" s="37"/>
      <c r="AK964" s="37"/>
      <c r="AL964" s="37"/>
      <c r="AM964" s="37"/>
      <c r="AN964" s="37"/>
      <c r="AO964" s="37"/>
      <c r="AP964" s="37"/>
      <c r="AQ964" s="37"/>
      <c r="AR964" s="37"/>
      <c r="AS964" s="37"/>
      <c r="AT964" s="37"/>
      <c r="AU964" s="37"/>
      <c r="AV964" s="37"/>
      <c r="AW964" s="37"/>
      <c r="AX964" s="37"/>
      <c r="AY964" s="37"/>
      <c r="AZ964" s="37"/>
      <c r="BA964" s="37"/>
      <c r="BB964" s="37"/>
      <c r="BC964" s="37"/>
      <c r="BD964" s="37"/>
    </row>
    <row r="965" spans="1:56" ht="9.75" customHeight="1" x14ac:dyDescent="0.3">
      <c r="A965" s="34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6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6"/>
      <c r="AI965" s="16"/>
      <c r="AJ965" s="37"/>
      <c r="AK965" s="37"/>
      <c r="AL965" s="37"/>
      <c r="AM965" s="37"/>
      <c r="AN965" s="37"/>
      <c r="AO965" s="37"/>
      <c r="AP965" s="37"/>
      <c r="AQ965" s="37"/>
      <c r="AR965" s="37"/>
      <c r="AS965" s="37"/>
      <c r="AT965" s="37"/>
      <c r="AU965" s="37"/>
      <c r="AV965" s="37"/>
      <c r="AW965" s="37"/>
      <c r="AX965" s="37"/>
      <c r="AY965" s="37"/>
      <c r="AZ965" s="37"/>
      <c r="BA965" s="37"/>
      <c r="BB965" s="37"/>
      <c r="BC965" s="37"/>
      <c r="BD965" s="37"/>
    </row>
    <row r="966" spans="1:56" ht="9.75" customHeight="1" x14ac:dyDescent="0.3">
      <c r="A966" s="34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6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6"/>
      <c r="AI966" s="16"/>
      <c r="AJ966" s="37"/>
      <c r="AK966" s="37"/>
      <c r="AL966" s="37"/>
      <c r="AM966" s="37"/>
      <c r="AN966" s="37"/>
      <c r="AO966" s="37"/>
      <c r="AP966" s="37"/>
      <c r="AQ966" s="37"/>
      <c r="AR966" s="37"/>
      <c r="AS966" s="37"/>
      <c r="AT966" s="37"/>
      <c r="AU966" s="37"/>
      <c r="AV966" s="37"/>
      <c r="AW966" s="37"/>
      <c r="AX966" s="37"/>
      <c r="AY966" s="37"/>
      <c r="AZ966" s="37"/>
      <c r="BA966" s="37"/>
      <c r="BB966" s="37"/>
      <c r="BC966" s="37"/>
      <c r="BD966" s="37"/>
    </row>
    <row r="967" spans="1:56" ht="9.75" customHeight="1" x14ac:dyDescent="0.3">
      <c r="A967" s="34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6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6"/>
      <c r="AI967" s="16"/>
      <c r="AJ967" s="37"/>
      <c r="AK967" s="37"/>
      <c r="AL967" s="37"/>
      <c r="AM967" s="37"/>
      <c r="AN967" s="37"/>
      <c r="AO967" s="37"/>
      <c r="AP967" s="37"/>
      <c r="AQ967" s="37"/>
      <c r="AR967" s="37"/>
      <c r="AS967" s="37"/>
      <c r="AT967" s="37"/>
      <c r="AU967" s="37"/>
      <c r="AV967" s="37"/>
      <c r="AW967" s="37"/>
      <c r="AX967" s="37"/>
      <c r="AY967" s="37"/>
      <c r="AZ967" s="37"/>
      <c r="BA967" s="37"/>
      <c r="BB967" s="37"/>
      <c r="BC967" s="37"/>
      <c r="BD967" s="37"/>
    </row>
    <row r="968" spans="1:56" ht="9.75" customHeight="1" x14ac:dyDescent="0.3">
      <c r="A968" s="34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6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6"/>
      <c r="AI968" s="16"/>
      <c r="AJ968" s="37"/>
      <c r="AK968" s="37"/>
      <c r="AL968" s="37"/>
      <c r="AM968" s="37"/>
      <c r="AN968" s="37"/>
      <c r="AO968" s="37"/>
      <c r="AP968" s="37"/>
      <c r="AQ968" s="37"/>
      <c r="AR968" s="37"/>
      <c r="AS968" s="37"/>
      <c r="AT968" s="37"/>
      <c r="AU968" s="37"/>
      <c r="AV968" s="37"/>
      <c r="AW968" s="37"/>
      <c r="AX968" s="37"/>
      <c r="AY968" s="37"/>
      <c r="AZ968" s="37"/>
      <c r="BA968" s="37"/>
      <c r="BB968" s="37"/>
      <c r="BC968" s="37"/>
      <c r="BD968" s="37"/>
    </row>
    <row r="969" spans="1:56" ht="9.75" customHeight="1" x14ac:dyDescent="0.3">
      <c r="A969" s="34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6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6"/>
      <c r="AI969" s="16"/>
      <c r="AJ969" s="37"/>
      <c r="AK969" s="37"/>
      <c r="AL969" s="37"/>
      <c r="AM969" s="37"/>
      <c r="AN969" s="37"/>
      <c r="AO969" s="37"/>
      <c r="AP969" s="37"/>
      <c r="AQ969" s="37"/>
      <c r="AR969" s="37"/>
      <c r="AS969" s="37"/>
      <c r="AT969" s="37"/>
      <c r="AU969" s="37"/>
      <c r="AV969" s="37"/>
      <c r="AW969" s="37"/>
      <c r="AX969" s="37"/>
      <c r="AY969" s="37"/>
      <c r="AZ969" s="37"/>
      <c r="BA969" s="37"/>
      <c r="BB969" s="37"/>
      <c r="BC969" s="37"/>
      <c r="BD969" s="37"/>
    </row>
    <row r="970" spans="1:56" ht="9.75" customHeight="1" x14ac:dyDescent="0.3">
      <c r="A970" s="34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6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6"/>
      <c r="AI970" s="16"/>
      <c r="AJ970" s="37"/>
      <c r="AK970" s="37"/>
      <c r="AL970" s="37"/>
      <c r="AM970" s="37"/>
      <c r="AN970" s="37"/>
      <c r="AO970" s="37"/>
      <c r="AP970" s="37"/>
      <c r="AQ970" s="37"/>
      <c r="AR970" s="37"/>
      <c r="AS970" s="37"/>
      <c r="AT970" s="37"/>
      <c r="AU970" s="37"/>
      <c r="AV970" s="37"/>
      <c r="AW970" s="37"/>
      <c r="AX970" s="37"/>
      <c r="AY970" s="37"/>
      <c r="AZ970" s="37"/>
      <c r="BA970" s="37"/>
      <c r="BB970" s="37"/>
      <c r="BC970" s="37"/>
      <c r="BD970" s="37"/>
    </row>
    <row r="971" spans="1:56" ht="9.75" customHeight="1" x14ac:dyDescent="0.3">
      <c r="A971" s="34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6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6"/>
      <c r="AI971" s="16"/>
      <c r="AJ971" s="37"/>
      <c r="AK971" s="37"/>
      <c r="AL971" s="37"/>
      <c r="AM971" s="37"/>
      <c r="AN971" s="37"/>
      <c r="AO971" s="37"/>
      <c r="AP971" s="37"/>
      <c r="AQ971" s="37"/>
      <c r="AR971" s="37"/>
      <c r="AS971" s="37"/>
      <c r="AT971" s="37"/>
      <c r="AU971" s="37"/>
      <c r="AV971" s="37"/>
      <c r="AW971" s="37"/>
      <c r="AX971" s="37"/>
      <c r="AY971" s="37"/>
      <c r="AZ971" s="37"/>
      <c r="BA971" s="37"/>
      <c r="BB971" s="37"/>
      <c r="BC971" s="37"/>
      <c r="BD971" s="37"/>
    </row>
    <row r="972" spans="1:56" ht="9.75" customHeight="1" x14ac:dyDescent="0.3">
      <c r="A972" s="34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6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6"/>
      <c r="AI972" s="16"/>
      <c r="AJ972" s="37"/>
      <c r="AK972" s="37"/>
      <c r="AL972" s="37"/>
      <c r="AM972" s="37"/>
      <c r="AN972" s="37"/>
      <c r="AO972" s="37"/>
      <c r="AP972" s="37"/>
      <c r="AQ972" s="37"/>
      <c r="AR972" s="37"/>
      <c r="AS972" s="37"/>
      <c r="AT972" s="37"/>
      <c r="AU972" s="37"/>
      <c r="AV972" s="37"/>
      <c r="AW972" s="37"/>
      <c r="AX972" s="37"/>
      <c r="AY972" s="37"/>
      <c r="AZ972" s="37"/>
      <c r="BA972" s="37"/>
      <c r="BB972" s="37"/>
      <c r="BC972" s="37"/>
      <c r="BD972" s="37"/>
    </row>
    <row r="973" spans="1:56" ht="9.75" customHeight="1" x14ac:dyDescent="0.3">
      <c r="A973" s="34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6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6"/>
      <c r="AI973" s="16"/>
      <c r="AJ973" s="37"/>
      <c r="AK973" s="37"/>
      <c r="AL973" s="37"/>
      <c r="AM973" s="37"/>
      <c r="AN973" s="37"/>
      <c r="AO973" s="37"/>
      <c r="AP973" s="37"/>
      <c r="AQ973" s="37"/>
      <c r="AR973" s="37"/>
      <c r="AS973" s="37"/>
      <c r="AT973" s="37"/>
      <c r="AU973" s="37"/>
      <c r="AV973" s="37"/>
      <c r="AW973" s="37"/>
      <c r="AX973" s="37"/>
      <c r="AY973" s="37"/>
      <c r="AZ973" s="37"/>
      <c r="BA973" s="37"/>
      <c r="BB973" s="37"/>
      <c r="BC973" s="37"/>
      <c r="BD973" s="37"/>
    </row>
    <row r="974" spans="1:56" ht="9.75" customHeight="1" x14ac:dyDescent="0.3">
      <c r="A974" s="34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6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6"/>
      <c r="AI974" s="16"/>
      <c r="AJ974" s="37"/>
      <c r="AK974" s="37"/>
      <c r="AL974" s="37"/>
      <c r="AM974" s="37"/>
      <c r="AN974" s="37"/>
      <c r="AO974" s="37"/>
      <c r="AP974" s="37"/>
      <c r="AQ974" s="37"/>
      <c r="AR974" s="37"/>
      <c r="AS974" s="37"/>
      <c r="AT974" s="37"/>
      <c r="AU974" s="37"/>
      <c r="AV974" s="37"/>
      <c r="AW974" s="37"/>
      <c r="AX974" s="37"/>
      <c r="AY974" s="37"/>
      <c r="AZ974" s="37"/>
      <c r="BA974" s="37"/>
      <c r="BB974" s="37"/>
      <c r="BC974" s="37"/>
      <c r="BD974" s="37"/>
    </row>
    <row r="975" spans="1:56" ht="9.75" customHeight="1" x14ac:dyDescent="0.3">
      <c r="A975" s="34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6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6"/>
      <c r="AI975" s="16"/>
      <c r="AJ975" s="37"/>
      <c r="AK975" s="37"/>
      <c r="AL975" s="37"/>
      <c r="AM975" s="37"/>
      <c r="AN975" s="37"/>
      <c r="AO975" s="37"/>
      <c r="AP975" s="37"/>
      <c r="AQ975" s="37"/>
      <c r="AR975" s="37"/>
      <c r="AS975" s="37"/>
      <c r="AT975" s="37"/>
      <c r="AU975" s="37"/>
      <c r="AV975" s="37"/>
      <c r="AW975" s="37"/>
      <c r="AX975" s="37"/>
      <c r="AY975" s="37"/>
      <c r="AZ975" s="37"/>
      <c r="BA975" s="37"/>
      <c r="BB975" s="37"/>
      <c r="BC975" s="37"/>
      <c r="BD975" s="37"/>
    </row>
    <row r="976" spans="1:56" ht="9.75" customHeight="1" x14ac:dyDescent="0.3">
      <c r="A976" s="34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6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6"/>
      <c r="AI976" s="16"/>
      <c r="AJ976" s="37"/>
      <c r="AK976" s="37"/>
      <c r="AL976" s="37"/>
      <c r="AM976" s="37"/>
      <c r="AN976" s="37"/>
      <c r="AO976" s="37"/>
      <c r="AP976" s="37"/>
      <c r="AQ976" s="37"/>
      <c r="AR976" s="37"/>
      <c r="AS976" s="37"/>
      <c r="AT976" s="37"/>
      <c r="AU976" s="37"/>
      <c r="AV976" s="37"/>
      <c r="AW976" s="37"/>
      <c r="AX976" s="37"/>
      <c r="AY976" s="37"/>
      <c r="AZ976" s="37"/>
      <c r="BA976" s="37"/>
      <c r="BB976" s="37"/>
      <c r="BC976" s="37"/>
      <c r="BD976" s="37"/>
    </row>
    <row r="977" spans="1:56" ht="9.75" customHeight="1" x14ac:dyDescent="0.3">
      <c r="A977" s="34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6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6"/>
      <c r="AI977" s="16"/>
      <c r="AJ977" s="37"/>
      <c r="AK977" s="37"/>
      <c r="AL977" s="37"/>
      <c r="AM977" s="37"/>
      <c r="AN977" s="37"/>
      <c r="AO977" s="37"/>
      <c r="AP977" s="37"/>
      <c r="AQ977" s="37"/>
      <c r="AR977" s="37"/>
      <c r="AS977" s="37"/>
      <c r="AT977" s="37"/>
      <c r="AU977" s="37"/>
      <c r="AV977" s="37"/>
      <c r="AW977" s="37"/>
      <c r="AX977" s="37"/>
      <c r="AY977" s="37"/>
      <c r="AZ977" s="37"/>
      <c r="BA977" s="37"/>
      <c r="BB977" s="37"/>
      <c r="BC977" s="37"/>
      <c r="BD977" s="37"/>
    </row>
    <row r="978" spans="1:56" ht="9.75" customHeight="1" x14ac:dyDescent="0.3">
      <c r="A978" s="34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6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6"/>
      <c r="AI978" s="16"/>
      <c r="AJ978" s="37"/>
      <c r="AK978" s="37"/>
      <c r="AL978" s="37"/>
      <c r="AM978" s="37"/>
      <c r="AN978" s="37"/>
      <c r="AO978" s="37"/>
      <c r="AP978" s="37"/>
      <c r="AQ978" s="37"/>
      <c r="AR978" s="37"/>
      <c r="AS978" s="37"/>
      <c r="AT978" s="37"/>
      <c r="AU978" s="37"/>
      <c r="AV978" s="37"/>
      <c r="AW978" s="37"/>
      <c r="AX978" s="37"/>
      <c r="AY978" s="37"/>
      <c r="AZ978" s="37"/>
      <c r="BA978" s="37"/>
      <c r="BB978" s="37"/>
      <c r="BC978" s="37"/>
      <c r="BD978" s="37"/>
    </row>
    <row r="979" spans="1:56" ht="9.75" customHeight="1" x14ac:dyDescent="0.3">
      <c r="A979" s="34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6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6"/>
      <c r="AI979" s="16"/>
      <c r="AJ979" s="37"/>
      <c r="AK979" s="37"/>
      <c r="AL979" s="37"/>
      <c r="AM979" s="37"/>
      <c r="AN979" s="37"/>
      <c r="AO979" s="37"/>
      <c r="AP979" s="37"/>
      <c r="AQ979" s="37"/>
      <c r="AR979" s="37"/>
      <c r="AS979" s="37"/>
      <c r="AT979" s="37"/>
      <c r="AU979" s="37"/>
      <c r="AV979" s="37"/>
      <c r="AW979" s="37"/>
      <c r="AX979" s="37"/>
      <c r="AY979" s="37"/>
      <c r="AZ979" s="37"/>
      <c r="BA979" s="37"/>
      <c r="BB979" s="37"/>
      <c r="BC979" s="37"/>
      <c r="BD979" s="37"/>
    </row>
    <row r="980" spans="1:56" ht="9.75" customHeight="1" x14ac:dyDescent="0.3">
      <c r="A980" s="34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6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6"/>
      <c r="AI980" s="16"/>
      <c r="AJ980" s="37"/>
      <c r="AK980" s="37"/>
      <c r="AL980" s="37"/>
      <c r="AM980" s="37"/>
      <c r="AN980" s="37"/>
      <c r="AO980" s="37"/>
      <c r="AP980" s="37"/>
      <c r="AQ980" s="37"/>
      <c r="AR980" s="37"/>
      <c r="AS980" s="37"/>
      <c r="AT980" s="37"/>
      <c r="AU980" s="37"/>
      <c r="AV980" s="37"/>
      <c r="AW980" s="37"/>
      <c r="AX980" s="37"/>
      <c r="AY980" s="37"/>
      <c r="AZ980" s="37"/>
      <c r="BA980" s="37"/>
      <c r="BB980" s="37"/>
      <c r="BC980" s="37"/>
      <c r="BD980" s="37"/>
    </row>
    <row r="981" spans="1:56" ht="9.75" customHeight="1" x14ac:dyDescent="0.3">
      <c r="A981" s="34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6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6"/>
      <c r="AI981" s="16"/>
      <c r="AJ981" s="37"/>
      <c r="AK981" s="37"/>
      <c r="AL981" s="37"/>
      <c r="AM981" s="37"/>
      <c r="AN981" s="37"/>
      <c r="AO981" s="37"/>
      <c r="AP981" s="37"/>
      <c r="AQ981" s="37"/>
      <c r="AR981" s="37"/>
      <c r="AS981" s="37"/>
      <c r="AT981" s="37"/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</row>
    <row r="982" spans="1:56" ht="9.75" customHeight="1" x14ac:dyDescent="0.3">
      <c r="A982" s="34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6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6"/>
      <c r="AI982" s="16"/>
      <c r="AJ982" s="37"/>
      <c r="AK982" s="37"/>
      <c r="AL982" s="37"/>
      <c r="AM982" s="37"/>
      <c r="AN982" s="37"/>
      <c r="AO982" s="37"/>
      <c r="AP982" s="37"/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</row>
    <row r="983" spans="1:56" ht="9.75" customHeight="1" x14ac:dyDescent="0.3">
      <c r="A983" s="34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6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6"/>
      <c r="AI983" s="16"/>
      <c r="AJ983" s="37"/>
      <c r="AK983" s="37"/>
      <c r="AL983" s="37"/>
      <c r="AM983" s="37"/>
      <c r="AN983" s="37"/>
      <c r="AO983" s="37"/>
      <c r="AP983" s="37"/>
      <c r="AQ983" s="37"/>
      <c r="AR983" s="37"/>
      <c r="AS983" s="37"/>
      <c r="AT983" s="37"/>
      <c r="AU983" s="37"/>
      <c r="AV983" s="37"/>
      <c r="AW983" s="37"/>
      <c r="AX983" s="37"/>
      <c r="AY983" s="37"/>
      <c r="AZ983" s="37"/>
      <c r="BA983" s="37"/>
      <c r="BB983" s="37"/>
      <c r="BC983" s="37"/>
      <c r="BD983" s="37"/>
    </row>
    <row r="984" spans="1:56" ht="9.75" customHeight="1" x14ac:dyDescent="0.3">
      <c r="A984" s="34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6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6"/>
      <c r="AI984" s="16"/>
      <c r="AJ984" s="37"/>
      <c r="AK984" s="37"/>
      <c r="AL984" s="37"/>
      <c r="AM984" s="37"/>
      <c r="AN984" s="37"/>
      <c r="AO984" s="37"/>
      <c r="AP984" s="37"/>
      <c r="AQ984" s="37"/>
      <c r="AR984" s="37"/>
      <c r="AS984" s="37"/>
      <c r="AT984" s="37"/>
      <c r="AU984" s="37"/>
      <c r="AV984" s="37"/>
      <c r="AW984" s="37"/>
      <c r="AX984" s="37"/>
      <c r="AY984" s="37"/>
      <c r="AZ984" s="37"/>
      <c r="BA984" s="37"/>
      <c r="BB984" s="37"/>
      <c r="BC984" s="37"/>
      <c r="BD984" s="37"/>
    </row>
    <row r="985" spans="1:56" ht="9.75" customHeight="1" x14ac:dyDescent="0.3">
      <c r="A985" s="34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6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6"/>
      <c r="AI985" s="16"/>
      <c r="AJ985" s="37"/>
      <c r="AK985" s="37"/>
      <c r="AL985" s="37"/>
      <c r="AM985" s="37"/>
      <c r="AN985" s="37"/>
      <c r="AO985" s="37"/>
      <c r="AP985" s="37"/>
      <c r="AQ985" s="37"/>
      <c r="AR985" s="37"/>
      <c r="AS985" s="37"/>
      <c r="AT985" s="37"/>
      <c r="AU985" s="37"/>
      <c r="AV985" s="37"/>
      <c r="AW985" s="37"/>
      <c r="AX985" s="37"/>
      <c r="AY985" s="37"/>
      <c r="AZ985" s="37"/>
      <c r="BA985" s="37"/>
      <c r="BB985" s="37"/>
      <c r="BC985" s="37"/>
      <c r="BD985" s="37"/>
    </row>
    <row r="986" spans="1:56" ht="9.75" customHeight="1" x14ac:dyDescent="0.3">
      <c r="A986" s="34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6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6"/>
      <c r="AI986" s="16"/>
      <c r="AJ986" s="37"/>
      <c r="AK986" s="37"/>
      <c r="AL986" s="37"/>
      <c r="AM986" s="37"/>
      <c r="AN986" s="37"/>
      <c r="AO986" s="37"/>
      <c r="AP986" s="37"/>
      <c r="AQ986" s="37"/>
      <c r="AR986" s="37"/>
      <c r="AS986" s="37"/>
      <c r="AT986" s="37"/>
      <c r="AU986" s="37"/>
      <c r="AV986" s="37"/>
      <c r="AW986" s="37"/>
      <c r="AX986" s="37"/>
      <c r="AY986" s="37"/>
      <c r="AZ986" s="37"/>
      <c r="BA986" s="37"/>
      <c r="BB986" s="37"/>
      <c r="BC986" s="37"/>
      <c r="BD986" s="37"/>
    </row>
    <row r="987" spans="1:56" ht="9.75" customHeight="1" x14ac:dyDescent="0.3">
      <c r="A987" s="34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6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6"/>
      <c r="AI987" s="16"/>
      <c r="AJ987" s="37"/>
      <c r="AK987" s="37"/>
      <c r="AL987" s="37"/>
      <c r="AM987" s="37"/>
      <c r="AN987" s="37"/>
      <c r="AO987" s="37"/>
      <c r="AP987" s="37"/>
      <c r="AQ987" s="37"/>
      <c r="AR987" s="37"/>
      <c r="AS987" s="37"/>
      <c r="AT987" s="37"/>
      <c r="AU987" s="37"/>
      <c r="AV987" s="37"/>
      <c r="AW987" s="37"/>
      <c r="AX987" s="37"/>
      <c r="AY987" s="37"/>
      <c r="AZ987" s="37"/>
      <c r="BA987" s="37"/>
      <c r="BB987" s="37"/>
      <c r="BC987" s="37"/>
      <c r="BD987" s="37"/>
    </row>
    <row r="988" spans="1:56" ht="9.75" customHeight="1" x14ac:dyDescent="0.3">
      <c r="A988" s="34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6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6"/>
      <c r="AI988" s="16"/>
      <c r="AJ988" s="37"/>
      <c r="AK988" s="37"/>
      <c r="AL988" s="37"/>
      <c r="AM988" s="37"/>
      <c r="AN988" s="37"/>
      <c r="AO988" s="37"/>
      <c r="AP988" s="37"/>
      <c r="AQ988" s="37"/>
      <c r="AR988" s="37"/>
      <c r="AS988" s="37"/>
      <c r="AT988" s="37"/>
      <c r="AU988" s="37"/>
      <c r="AV988" s="37"/>
      <c r="AW988" s="37"/>
      <c r="AX988" s="37"/>
      <c r="AY988" s="37"/>
      <c r="AZ988" s="37"/>
      <c r="BA988" s="37"/>
      <c r="BB988" s="37"/>
      <c r="BC988" s="37"/>
      <c r="BD988" s="37"/>
    </row>
    <row r="989" spans="1:56" ht="9.75" customHeight="1" x14ac:dyDescent="0.3">
      <c r="A989" s="34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6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6"/>
      <c r="AI989" s="16"/>
      <c r="AJ989" s="37"/>
      <c r="AK989" s="37"/>
      <c r="AL989" s="37"/>
      <c r="AM989" s="37"/>
      <c r="AN989" s="37"/>
      <c r="AO989" s="37"/>
      <c r="AP989" s="37"/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</row>
    <row r="990" spans="1:56" ht="9.75" customHeight="1" x14ac:dyDescent="0.3">
      <c r="A990" s="34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6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6"/>
      <c r="AI990" s="16"/>
      <c r="AJ990" s="37"/>
      <c r="AK990" s="37"/>
      <c r="AL990" s="37"/>
      <c r="AM990" s="37"/>
      <c r="AN990" s="37"/>
      <c r="AO990" s="37"/>
      <c r="AP990" s="37"/>
      <c r="AQ990" s="37"/>
      <c r="AR990" s="37"/>
      <c r="AS990" s="37"/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</row>
    <row r="991" spans="1:56" ht="9.75" customHeight="1" x14ac:dyDescent="0.3">
      <c r="A991" s="34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6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6"/>
      <c r="AI991" s="16"/>
      <c r="AJ991" s="37"/>
      <c r="AK991" s="37"/>
      <c r="AL991" s="37"/>
      <c r="AM991" s="37"/>
      <c r="AN991" s="37"/>
      <c r="AO991" s="37"/>
      <c r="AP991" s="37"/>
      <c r="AQ991" s="37"/>
      <c r="AR991" s="37"/>
      <c r="AS991" s="37"/>
      <c r="AT991" s="37"/>
      <c r="AU991" s="37"/>
      <c r="AV991" s="37"/>
      <c r="AW991" s="37"/>
      <c r="AX991" s="37"/>
      <c r="AY991" s="37"/>
      <c r="AZ991" s="37"/>
      <c r="BA991" s="37"/>
      <c r="BB991" s="37"/>
      <c r="BC991" s="37"/>
      <c r="BD991" s="37"/>
    </row>
    <row r="992" spans="1:56" ht="9.75" customHeight="1" x14ac:dyDescent="0.3">
      <c r="A992" s="34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6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6"/>
      <c r="AI992" s="16"/>
      <c r="AJ992" s="37"/>
      <c r="AK992" s="37"/>
      <c r="AL992" s="37"/>
      <c r="AM992" s="37"/>
      <c r="AN992" s="37"/>
      <c r="AO992" s="37"/>
      <c r="AP992" s="37"/>
      <c r="AQ992" s="37"/>
      <c r="AR992" s="37"/>
      <c r="AS992" s="37"/>
      <c r="AT992" s="37"/>
      <c r="AU992" s="37"/>
      <c r="AV992" s="37"/>
      <c r="AW992" s="37"/>
      <c r="AX992" s="37"/>
      <c r="AY992" s="37"/>
      <c r="AZ992" s="37"/>
      <c r="BA992" s="37"/>
      <c r="BB992" s="37"/>
      <c r="BC992" s="37"/>
      <c r="BD992" s="37"/>
    </row>
    <row r="993" spans="1:56" ht="9.75" customHeight="1" x14ac:dyDescent="0.3">
      <c r="A993" s="34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6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6"/>
      <c r="AI993" s="16"/>
      <c r="AJ993" s="37"/>
      <c r="AK993" s="37"/>
      <c r="AL993" s="37"/>
      <c r="AM993" s="37"/>
      <c r="AN993" s="37"/>
      <c r="AO993" s="37"/>
      <c r="AP993" s="37"/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</row>
    <row r="994" spans="1:56" ht="9.75" customHeight="1" x14ac:dyDescent="0.3">
      <c r="A994" s="34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6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6"/>
      <c r="AI994" s="16"/>
      <c r="AJ994" s="37"/>
      <c r="AK994" s="37"/>
      <c r="AL994" s="37"/>
      <c r="AM994" s="37"/>
      <c r="AN994" s="37"/>
      <c r="AO994" s="37"/>
      <c r="AP994" s="37"/>
      <c r="AQ994" s="37"/>
      <c r="AR994" s="37"/>
      <c r="AS994" s="37"/>
      <c r="AT994" s="37"/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</row>
    <row r="995" spans="1:56" ht="9.75" customHeight="1" x14ac:dyDescent="0.3">
      <c r="A995" s="34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6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6"/>
      <c r="AI995" s="16"/>
      <c r="AJ995" s="37"/>
      <c r="AK995" s="37"/>
      <c r="AL995" s="37"/>
      <c r="AM995" s="37"/>
      <c r="AN995" s="37"/>
      <c r="AO995" s="37"/>
      <c r="AP995" s="37"/>
      <c r="AQ995" s="37"/>
      <c r="AR995" s="37"/>
      <c r="AS995" s="37"/>
      <c r="AT995" s="37"/>
      <c r="AU995" s="37"/>
      <c r="AV995" s="37"/>
      <c r="AW995" s="37"/>
      <c r="AX995" s="37"/>
      <c r="AY995" s="37"/>
      <c r="AZ995" s="37"/>
      <c r="BA995" s="37"/>
      <c r="BB995" s="37"/>
      <c r="BC995" s="37"/>
      <c r="BD995" s="37"/>
    </row>
    <row r="996" spans="1:56" ht="9.75" customHeight="1" x14ac:dyDescent="0.3">
      <c r="A996" s="34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6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6"/>
      <c r="AI996" s="16"/>
      <c r="AJ996" s="37"/>
      <c r="AK996" s="37"/>
      <c r="AL996" s="37"/>
      <c r="AM996" s="37"/>
      <c r="AN996" s="37"/>
      <c r="AO996" s="37"/>
      <c r="AP996" s="37"/>
      <c r="AQ996" s="37"/>
      <c r="AR996" s="37"/>
      <c r="AS996" s="37"/>
      <c r="AT996" s="37"/>
      <c r="AU996" s="37"/>
      <c r="AV996" s="37"/>
      <c r="AW996" s="37"/>
      <c r="AX996" s="37"/>
      <c r="AY996" s="37"/>
      <c r="AZ996" s="37"/>
      <c r="BA996" s="37"/>
      <c r="BB996" s="37"/>
      <c r="BC996" s="37"/>
      <c r="BD996" s="37"/>
    </row>
    <row r="997" spans="1:56" ht="9.75" customHeight="1" x14ac:dyDescent="0.3">
      <c r="A997" s="34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6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6"/>
      <c r="AI997" s="16"/>
      <c r="AJ997" s="37"/>
      <c r="AK997" s="37"/>
      <c r="AL997" s="37"/>
      <c r="AM997" s="37"/>
      <c r="AN997" s="37"/>
      <c r="AO997" s="37"/>
      <c r="AP997" s="37"/>
      <c r="AQ997" s="37"/>
      <c r="AR997" s="37"/>
      <c r="AS997" s="37"/>
      <c r="AT997" s="37"/>
      <c r="AU997" s="37"/>
      <c r="AV997" s="37"/>
      <c r="AW997" s="37"/>
      <c r="AX997" s="37"/>
      <c r="AY997" s="37"/>
      <c r="AZ997" s="37"/>
      <c r="BA997" s="37"/>
      <c r="BB997" s="37"/>
      <c r="BC997" s="37"/>
      <c r="BD997" s="37"/>
    </row>
    <row r="998" spans="1:56" ht="9.75" customHeight="1" x14ac:dyDescent="0.3">
      <c r="A998" s="34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6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6"/>
      <c r="AI998" s="16"/>
      <c r="AJ998" s="37"/>
      <c r="AK998" s="37"/>
      <c r="AL998" s="37"/>
      <c r="AM998" s="37"/>
      <c r="AN998" s="37"/>
      <c r="AO998" s="37"/>
      <c r="AP998" s="37"/>
      <c r="AQ998" s="37"/>
      <c r="AR998" s="37"/>
      <c r="AS998" s="37"/>
      <c r="AT998" s="37"/>
      <c r="AU998" s="37"/>
      <c r="AV998" s="37"/>
      <c r="AW998" s="37"/>
      <c r="AX998" s="37"/>
      <c r="AY998" s="37"/>
      <c r="AZ998" s="37"/>
      <c r="BA998" s="37"/>
      <c r="BB998" s="37"/>
      <c r="BC998" s="37"/>
      <c r="BD998" s="37"/>
    </row>
    <row r="999" spans="1:56" ht="9.75" customHeight="1" x14ac:dyDescent="0.3">
      <c r="A999" s="34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6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6"/>
      <c r="AI999" s="16"/>
      <c r="AJ999" s="37"/>
      <c r="AK999" s="37"/>
      <c r="AL999" s="37"/>
      <c r="AM999" s="37"/>
      <c r="AN999" s="37"/>
      <c r="AO999" s="37"/>
      <c r="AP999" s="37"/>
      <c r="AQ999" s="37"/>
      <c r="AR999" s="37"/>
      <c r="AS999" s="37"/>
      <c r="AT999" s="37"/>
      <c r="AU999" s="37"/>
      <c r="AV999" s="37"/>
      <c r="AW999" s="37"/>
      <c r="AX999" s="37"/>
      <c r="AY999" s="37"/>
      <c r="AZ999" s="37"/>
      <c r="BA999" s="37"/>
      <c r="BB999" s="37"/>
      <c r="BC999" s="37"/>
      <c r="BD999" s="37"/>
    </row>
    <row r="1000" spans="1:56" ht="9.75" customHeight="1" x14ac:dyDescent="0.3">
      <c r="A1000" s="34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6"/>
      <c r="AI1000" s="16"/>
      <c r="AJ1000" s="37"/>
      <c r="AK1000" s="37"/>
      <c r="AL1000" s="37"/>
      <c r="AM1000" s="37"/>
      <c r="AN1000" s="37"/>
      <c r="AO1000" s="37"/>
      <c r="AP1000" s="37"/>
      <c r="AQ1000" s="37"/>
      <c r="AR1000" s="37"/>
      <c r="AS1000" s="37"/>
      <c r="AT1000" s="37"/>
      <c r="AU1000" s="37"/>
      <c r="AV1000" s="37"/>
      <c r="AW1000" s="37"/>
      <c r="AX1000" s="37"/>
      <c r="AY1000" s="37"/>
      <c r="AZ1000" s="37"/>
      <c r="BA1000" s="37"/>
      <c r="BB1000" s="37"/>
      <c r="BC1000" s="37"/>
      <c r="BD1000" s="37"/>
    </row>
  </sheetData>
  <mergeCells count="52"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J1"/>
    <mergeCell ref="E2:M2"/>
    <mergeCell ref="P2:Q2"/>
    <mergeCell ref="R2:AC2"/>
    <mergeCell ref="E3:M3"/>
    <mergeCell ref="R3:Z3"/>
    <mergeCell ref="AC88:AJ88"/>
    <mergeCell ref="AF6:AG7"/>
    <mergeCell ref="AH6:AI7"/>
    <mergeCell ref="AJ6:AJ8"/>
    <mergeCell ref="AF8:AG8"/>
    <mergeCell ref="AH8:AI8"/>
    <mergeCell ref="AC83:AJ83"/>
    <mergeCell ref="AC84:AJ84"/>
    <mergeCell ref="AD6:AE7"/>
    <mergeCell ref="AC7:AC8"/>
    <mergeCell ref="U7:V7"/>
    <mergeCell ref="W7:X7"/>
    <mergeCell ref="AA8:AB8"/>
    <mergeCell ref="AD8:AE8"/>
    <mergeCell ref="AC87:AJ87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</mergeCells>
  <conditionalFormatting sqref="D9:D79">
    <cfRule type="cellIs" dxfId="74" priority="1" operator="greaterThan">
      <formula>3</formula>
    </cfRule>
  </conditionalFormatting>
  <conditionalFormatting sqref="D9:D79">
    <cfRule type="cellIs" dxfId="73" priority="2" operator="greaterThan">
      <formula>3</formula>
    </cfRule>
  </conditionalFormatting>
  <conditionalFormatting sqref="F9:F79">
    <cfRule type="cellIs" dxfId="72" priority="3" operator="greaterThan">
      <formula>3</formula>
    </cfRule>
  </conditionalFormatting>
  <conditionalFormatting sqref="F9:F79">
    <cfRule type="cellIs" dxfId="71" priority="4" operator="greaterThan">
      <formula>3</formula>
    </cfRule>
  </conditionalFormatting>
  <conditionalFormatting sqref="H9:H79">
    <cfRule type="cellIs" dxfId="70" priority="5" operator="greaterThan">
      <formula>3</formula>
    </cfRule>
  </conditionalFormatting>
  <conditionalFormatting sqref="H9:H79">
    <cfRule type="cellIs" dxfId="69" priority="6" operator="greaterThan">
      <formula>3</formula>
    </cfRule>
  </conditionalFormatting>
  <conditionalFormatting sqref="J9:J79">
    <cfRule type="cellIs" dxfId="68" priority="7" operator="greaterThan">
      <formula>3</formula>
    </cfRule>
  </conditionalFormatting>
  <conditionalFormatting sqref="J9:J79">
    <cfRule type="cellIs" dxfId="67" priority="8" operator="greaterThan">
      <formula>3</formula>
    </cfRule>
  </conditionalFormatting>
  <conditionalFormatting sqref="K9">
    <cfRule type="cellIs" dxfId="66" priority="9" operator="greaterThan">
      <formula>3</formula>
    </cfRule>
  </conditionalFormatting>
  <conditionalFormatting sqref="K9">
    <cfRule type="cellIs" dxfId="65" priority="10" operator="greaterThan">
      <formula>3</formula>
    </cfRule>
  </conditionalFormatting>
  <conditionalFormatting sqref="M9:M79">
    <cfRule type="cellIs" dxfId="64" priority="11" operator="greaterThan">
      <formula>3</formula>
    </cfRule>
  </conditionalFormatting>
  <conditionalFormatting sqref="M9:M79">
    <cfRule type="cellIs" dxfId="63" priority="12" operator="greaterThan">
      <formula>3</formula>
    </cfRule>
  </conditionalFormatting>
  <conditionalFormatting sqref="O9:O79">
    <cfRule type="cellIs" dxfId="62" priority="13" operator="greaterThan">
      <formula>3</formula>
    </cfRule>
  </conditionalFormatting>
  <conditionalFormatting sqref="O9:O79">
    <cfRule type="cellIs" dxfId="61" priority="14" operator="greaterThan">
      <formula>3</formula>
    </cfRule>
  </conditionalFormatting>
  <conditionalFormatting sqref="Q9:Q79">
    <cfRule type="cellIs" dxfId="60" priority="15" operator="greaterThan">
      <formula>3</formula>
    </cfRule>
  </conditionalFormatting>
  <conditionalFormatting sqref="Q9:Q79">
    <cfRule type="cellIs" dxfId="59" priority="16" operator="greaterThan">
      <formula>3</formula>
    </cfRule>
  </conditionalFormatting>
  <conditionalFormatting sqref="S9:S79">
    <cfRule type="cellIs" dxfId="58" priority="17" operator="greaterThan">
      <formula>3</formula>
    </cfRule>
  </conditionalFormatting>
  <conditionalFormatting sqref="S9:S79">
    <cfRule type="cellIs" dxfId="57" priority="18" operator="greaterThan">
      <formula>3</formula>
    </cfRule>
  </conditionalFormatting>
  <conditionalFormatting sqref="V9:V79">
    <cfRule type="cellIs" dxfId="56" priority="19" operator="greaterThan">
      <formula>3</formula>
    </cfRule>
  </conditionalFormatting>
  <conditionalFormatting sqref="V9:V79">
    <cfRule type="cellIs" dxfId="55" priority="20" operator="greaterThan">
      <formula>3</formula>
    </cfRule>
  </conditionalFormatting>
  <conditionalFormatting sqref="X9:X79">
    <cfRule type="cellIs" dxfId="54" priority="21" operator="greaterThan">
      <formula>3</formula>
    </cfRule>
  </conditionalFormatting>
  <conditionalFormatting sqref="X9:X79">
    <cfRule type="cellIs" dxfId="53" priority="22" operator="greaterThan">
      <formula>3</formula>
    </cfRule>
  </conditionalFormatting>
  <conditionalFormatting sqref="Z9:Z79">
    <cfRule type="cellIs" dxfId="52" priority="23" operator="greaterThan">
      <formula>3</formula>
    </cfRule>
  </conditionalFormatting>
  <conditionalFormatting sqref="Z9:Z79">
    <cfRule type="cellIs" dxfId="51" priority="24" operator="greaterThan">
      <formula>3</formula>
    </cfRule>
  </conditionalFormatting>
  <conditionalFormatting sqref="AB9:AB79">
    <cfRule type="cellIs" dxfId="50" priority="25" operator="greaterThan">
      <formula>3</formula>
    </cfRule>
  </conditionalFormatting>
  <conditionalFormatting sqref="AB9:AB79">
    <cfRule type="cellIs" dxfId="49" priority="26" operator="greaterThan">
      <formula>3</formula>
    </cfRule>
  </conditionalFormatting>
  <conditionalFormatting sqref="AE9:AE79">
    <cfRule type="cellIs" dxfId="48" priority="27" operator="greaterThan">
      <formula>3</formula>
    </cfRule>
  </conditionalFormatting>
  <conditionalFormatting sqref="AE9:AE79">
    <cfRule type="cellIs" dxfId="47" priority="28" operator="greaterThan">
      <formula>3</formula>
    </cfRule>
  </conditionalFormatting>
  <conditionalFormatting sqref="AI9:AI79">
    <cfRule type="cellIs" dxfId="46" priority="29" operator="greaterThan">
      <formula>3</formula>
    </cfRule>
  </conditionalFormatting>
  <conditionalFormatting sqref="AI9:AI79">
    <cfRule type="cellIs" dxfId="45" priority="30" operator="greaterThan">
      <formula>3</formula>
    </cfRule>
  </conditionalFormatting>
  <conditionalFormatting sqref="AJ9:AJ79">
    <cfRule type="cellIs" dxfId="44" priority="31" operator="greaterThan">
      <formula>3</formula>
    </cfRule>
  </conditionalFormatting>
  <conditionalFormatting sqref="AJ9:AJ79">
    <cfRule type="cellIs" dxfId="43" priority="32" operator="greaterThan">
      <formula>3</formula>
    </cfRule>
  </conditionalFormatting>
  <conditionalFormatting sqref="AG9:AG79">
    <cfRule type="cellIs" dxfId="42" priority="33" operator="greaterThan">
      <formula>3</formula>
    </cfRule>
  </conditionalFormatting>
  <conditionalFormatting sqref="AG9:AG79">
    <cfRule type="cellIs" dxfId="41" priority="34" operator="greaterThan">
      <formula>3</formula>
    </cfRule>
  </conditionalFormatting>
  <conditionalFormatting sqref="K10:K79">
    <cfRule type="cellIs" dxfId="40" priority="35" operator="greaterThan">
      <formula>3</formula>
    </cfRule>
  </conditionalFormatting>
  <conditionalFormatting sqref="K10:K79">
    <cfRule type="cellIs" dxfId="39" priority="36" operator="greaterThan">
      <formula>3</formula>
    </cfRule>
  </conditionalFormatting>
  <conditionalFormatting sqref="T9">
    <cfRule type="cellIs" dxfId="38" priority="37" operator="greaterThan">
      <formula>3</formula>
    </cfRule>
  </conditionalFormatting>
  <conditionalFormatting sqref="T9">
    <cfRule type="cellIs" dxfId="37" priority="38" operator="greaterThan">
      <formula>3</formula>
    </cfRule>
  </conditionalFormatting>
  <conditionalFormatting sqref="T10:T79">
    <cfRule type="cellIs" dxfId="36" priority="39" operator="greaterThan">
      <formula>3</formula>
    </cfRule>
  </conditionalFormatting>
  <conditionalFormatting sqref="T10:T79">
    <cfRule type="cellIs" dxfId="35" priority="40" operator="greaterThan">
      <formula>3</formula>
    </cfRule>
  </conditionalFormatting>
  <conditionalFormatting sqref="AC9">
    <cfRule type="cellIs" dxfId="34" priority="41" operator="greaterThan">
      <formula>3</formula>
    </cfRule>
  </conditionalFormatting>
  <conditionalFormatting sqref="AC9">
    <cfRule type="cellIs" dxfId="33" priority="42" operator="greaterThan">
      <formula>3</formula>
    </cfRule>
  </conditionalFormatting>
  <conditionalFormatting sqref="AC10:AC79">
    <cfRule type="cellIs" dxfId="32" priority="43" operator="greaterThan">
      <formula>3</formula>
    </cfRule>
  </conditionalFormatting>
  <conditionalFormatting sqref="AC10:AC79">
    <cfRule type="cellIs" dxfId="31" priority="44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AL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M24" sqref="AM24"/>
    </sheetView>
  </sheetViews>
  <sheetFormatPr defaultColWidth="14.44140625" defaultRowHeight="15" customHeight="1" x14ac:dyDescent="0.3"/>
  <cols>
    <col min="1" max="1" width="2.5546875" customWidth="1"/>
    <col min="2" max="2" width="22.33203125" customWidth="1"/>
    <col min="3" max="29" width="3.44140625" customWidth="1"/>
    <col min="30" max="31" width="3.44140625" hidden="1" customWidth="1"/>
    <col min="32" max="32" width="3.44140625" customWidth="1"/>
    <col min="33" max="34" width="3.33203125" customWidth="1"/>
    <col min="35" max="35" width="3.6640625" customWidth="1"/>
    <col min="36" max="37" width="3" customWidth="1"/>
    <col min="38" max="38" width="4.33203125" customWidth="1"/>
  </cols>
  <sheetData>
    <row r="1" spans="1:38" ht="12" customHeight="1" x14ac:dyDescent="0.3">
      <c r="A1" s="271" t="s">
        <v>19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</row>
    <row r="2" spans="1:38" ht="12" customHeight="1" thickBot="1" x14ac:dyDescent="0.35">
      <c r="A2" s="34"/>
      <c r="B2" s="16"/>
      <c r="C2" s="16"/>
      <c r="D2" s="35" t="s">
        <v>21</v>
      </c>
      <c r="E2" s="273" t="str">
        <f>IF(Settings!$H$1&lt;&gt;0,Settings!$H$1,"")</f>
        <v/>
      </c>
      <c r="F2" s="274"/>
      <c r="G2" s="274"/>
      <c r="H2" s="274"/>
      <c r="I2" s="274"/>
      <c r="J2" s="274"/>
      <c r="K2" s="274"/>
      <c r="L2" s="274"/>
      <c r="M2" s="274"/>
      <c r="N2" s="15"/>
      <c r="O2" s="16"/>
      <c r="P2" s="243" t="s">
        <v>23</v>
      </c>
      <c r="Q2" s="241"/>
      <c r="R2" s="275" t="str">
        <f>IF(Settings!$B$7&lt;&gt;0,Settings!$B$7,"")</f>
        <v/>
      </c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36"/>
      <c r="AE2" s="36"/>
      <c r="AF2" s="10"/>
      <c r="AG2" s="10"/>
      <c r="AH2" s="15"/>
      <c r="AI2" s="16"/>
      <c r="AJ2" s="16"/>
      <c r="AK2" s="16"/>
      <c r="AL2" s="37"/>
    </row>
    <row r="3" spans="1:38" ht="12" customHeight="1" thickTop="1" thickBot="1" x14ac:dyDescent="0.35">
      <c r="A3" s="34"/>
      <c r="B3" s="16"/>
      <c r="C3" s="16"/>
      <c r="D3" s="35" t="s">
        <v>5</v>
      </c>
      <c r="E3" s="276" t="str">
        <f>IF(Settings!$H$3&lt;&gt;0,Settings!$H$3,"")</f>
        <v/>
      </c>
      <c r="F3" s="234"/>
      <c r="G3" s="234"/>
      <c r="H3" s="234"/>
      <c r="I3" s="234"/>
      <c r="J3" s="234"/>
      <c r="K3" s="234"/>
      <c r="L3" s="234"/>
      <c r="M3" s="234"/>
      <c r="N3" s="15"/>
      <c r="O3" s="16"/>
      <c r="P3" s="243" t="s">
        <v>4</v>
      </c>
      <c r="Q3" s="241"/>
      <c r="R3" s="276" t="str">
        <f>IF(Settings!$H$2&lt;&gt;0,Settings!$H$2,"")</f>
        <v/>
      </c>
      <c r="S3" s="234"/>
      <c r="T3" s="234"/>
      <c r="U3" s="234"/>
      <c r="V3" s="234"/>
      <c r="W3" s="234"/>
      <c r="X3" s="234"/>
      <c r="Y3" s="234"/>
      <c r="Z3" s="234"/>
      <c r="AA3" s="12"/>
      <c r="AB3" s="12"/>
      <c r="AC3" s="12"/>
      <c r="AD3" s="36"/>
      <c r="AE3" s="36"/>
      <c r="AF3" s="10"/>
      <c r="AG3" s="10"/>
      <c r="AH3" s="15"/>
      <c r="AI3" s="16"/>
      <c r="AJ3" s="16"/>
      <c r="AK3" s="16"/>
      <c r="AL3" s="37"/>
    </row>
    <row r="4" spans="1:38" ht="12" customHeight="1" thickTop="1" thickBot="1" x14ac:dyDescent="0.35">
      <c r="A4" s="34"/>
      <c r="B4" s="16"/>
      <c r="C4" s="16"/>
      <c r="D4" s="35" t="s">
        <v>25</v>
      </c>
      <c r="E4" s="277" t="str">
        <f>IF(Settings!$B$6&lt;&gt;0,Settings!$B$6,"")</f>
        <v/>
      </c>
      <c r="F4" s="234"/>
      <c r="G4" s="234"/>
      <c r="H4" s="234"/>
      <c r="I4" s="234"/>
      <c r="J4" s="234"/>
      <c r="K4" s="234"/>
      <c r="L4" s="234"/>
      <c r="M4" s="234"/>
      <c r="N4" s="15"/>
      <c r="O4" s="16"/>
      <c r="P4" s="240" t="s">
        <v>26</v>
      </c>
      <c r="Q4" s="241"/>
      <c r="R4" s="233" t="str">
        <f>IF(Settings!$B$4&lt;&gt;0,Settings!$B$4,"")</f>
        <v/>
      </c>
      <c r="S4" s="234"/>
      <c r="T4" s="234"/>
      <c r="U4" s="234"/>
      <c r="V4" s="234"/>
      <c r="W4" s="234"/>
      <c r="X4" s="234"/>
      <c r="Y4" s="234"/>
      <c r="Z4" s="234"/>
      <c r="AA4" s="15"/>
      <c r="AB4" s="16"/>
      <c r="AC4" s="16"/>
      <c r="AD4" s="36"/>
      <c r="AE4" s="36"/>
      <c r="AF4" s="10"/>
      <c r="AG4" s="10"/>
      <c r="AH4" s="38"/>
      <c r="AI4" s="38"/>
      <c r="AJ4" s="38"/>
      <c r="AK4" s="38"/>
      <c r="AL4" s="37"/>
    </row>
    <row r="5" spans="1:38" ht="9.75" customHeight="1" thickTop="1" thickBot="1" x14ac:dyDescent="0.35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5"/>
      <c r="AB5" s="16"/>
      <c r="AC5" s="16"/>
      <c r="AD5" s="16"/>
      <c r="AE5" s="16"/>
      <c r="AF5" s="16"/>
      <c r="AG5" s="16"/>
      <c r="AH5" s="15"/>
      <c r="AI5" s="16"/>
      <c r="AJ5" s="16"/>
      <c r="AK5" s="16"/>
      <c r="AL5" s="37"/>
    </row>
    <row r="6" spans="1:38" ht="15" customHeight="1" x14ac:dyDescent="0.3">
      <c r="A6" s="282" t="s">
        <v>36</v>
      </c>
      <c r="B6" s="283"/>
      <c r="C6" s="278" t="str">
        <f>IF(Settings!E17&lt;&gt;0,Settings!E17&amp;"("&amp;Settings!F17&amp;"%)","")</f>
        <v>Quiz(20%)</v>
      </c>
      <c r="D6" s="279"/>
      <c r="E6" s="279"/>
      <c r="F6" s="279"/>
      <c r="G6" s="279"/>
      <c r="H6" s="279"/>
      <c r="I6" s="279"/>
      <c r="J6" s="279"/>
      <c r="K6" s="279"/>
      <c r="L6" s="278" t="str">
        <f>IF(Settings!E18&lt;&gt;0,Settings!E18&amp;"("&amp;Settings!F18&amp;"%)","")</f>
        <v>Assignment(10%)</v>
      </c>
      <c r="M6" s="279"/>
      <c r="N6" s="279"/>
      <c r="O6" s="279"/>
      <c r="P6" s="279"/>
      <c r="Q6" s="279"/>
      <c r="R6" s="279"/>
      <c r="S6" s="279"/>
      <c r="T6" s="279"/>
      <c r="U6" s="278" t="str">
        <f>IF(Settings!E19&lt;&gt;0,Settings!E19&amp;"("&amp;Settings!F19&amp;"%)","")</f>
        <v>Graded Activity(30%)</v>
      </c>
      <c r="V6" s="279"/>
      <c r="W6" s="279"/>
      <c r="X6" s="279"/>
      <c r="Y6" s="279"/>
      <c r="Z6" s="279"/>
      <c r="AA6" s="279"/>
      <c r="AB6" s="279"/>
      <c r="AC6" s="279"/>
      <c r="AD6" s="292"/>
      <c r="AE6" s="265"/>
      <c r="AF6" s="292" t="str">
        <f>IF(Settings!E20&lt;&gt;0,LEFT(Settings!E20)&amp;"("&amp;Settings!F20&amp;"%)","")</f>
        <v>A(5%)</v>
      </c>
      <c r="AG6" s="265"/>
      <c r="AH6" s="294" t="str">
        <f>IF(Settings!E21&lt;&gt;0,LEFT(Settings!E21)&amp;"("&amp;Settings!F21&amp;"%)","")</f>
        <v>E(35%)</v>
      </c>
      <c r="AI6" s="265"/>
      <c r="AJ6" s="295" t="s">
        <v>53</v>
      </c>
      <c r="AK6" s="298" t="s">
        <v>38</v>
      </c>
      <c r="AL6" s="268" t="s">
        <v>39</v>
      </c>
    </row>
    <row r="7" spans="1:38" ht="14.25" customHeight="1" x14ac:dyDescent="0.3">
      <c r="A7" s="284"/>
      <c r="B7" s="285"/>
      <c r="C7" s="254"/>
      <c r="D7" s="261"/>
      <c r="E7" s="254"/>
      <c r="F7" s="261"/>
      <c r="G7" s="254"/>
      <c r="H7" s="261"/>
      <c r="I7" s="254"/>
      <c r="J7" s="250"/>
      <c r="K7" s="245" t="s">
        <v>42</v>
      </c>
      <c r="L7" s="254"/>
      <c r="M7" s="261"/>
      <c r="N7" s="254"/>
      <c r="O7" s="261"/>
      <c r="P7" s="254"/>
      <c r="Q7" s="261"/>
      <c r="R7" s="254"/>
      <c r="S7" s="261"/>
      <c r="T7" s="245" t="s">
        <v>42</v>
      </c>
      <c r="U7" s="254"/>
      <c r="V7" s="261"/>
      <c r="W7" s="254"/>
      <c r="X7" s="261"/>
      <c r="Y7" s="254"/>
      <c r="Z7" s="261"/>
      <c r="AA7" s="254"/>
      <c r="AB7" s="261"/>
      <c r="AC7" s="245" t="s">
        <v>42</v>
      </c>
      <c r="AD7" s="266"/>
      <c r="AE7" s="267"/>
      <c r="AF7" s="266"/>
      <c r="AG7" s="267"/>
      <c r="AH7" s="266"/>
      <c r="AI7" s="267"/>
      <c r="AJ7" s="296"/>
      <c r="AK7" s="299"/>
      <c r="AL7" s="269"/>
    </row>
    <row r="8" spans="1:38" ht="15" customHeight="1" thickBot="1" x14ac:dyDescent="0.35">
      <c r="A8" s="286"/>
      <c r="B8" s="287"/>
      <c r="C8" s="288" t="s">
        <v>78</v>
      </c>
      <c r="D8" s="252"/>
      <c r="E8" s="289" t="str">
        <f>CONCATENATE(LEFT(Settings!$E$9),2)</f>
        <v>Q2</v>
      </c>
      <c r="F8" s="256"/>
      <c r="G8" s="289" t="str">
        <f>CONCATENATE(LEFT(Settings!$E$9),3)</f>
        <v>Q3</v>
      </c>
      <c r="H8" s="256"/>
      <c r="I8" s="289" t="str">
        <f>CONCATENATE(LEFT(Settings!$E$9),4)</f>
        <v>Q4</v>
      </c>
      <c r="J8" s="290"/>
      <c r="K8" s="246"/>
      <c r="L8" s="253" t="s">
        <v>80</v>
      </c>
      <c r="M8" s="252"/>
      <c r="N8" s="253" t="str">
        <f>CONCATENATE(LEFT(Settings!$E$10),2)</f>
        <v>A2</v>
      </c>
      <c r="O8" s="252"/>
      <c r="P8" s="253" t="str">
        <f>CONCATENATE(LEFT(Settings!$E$10),3)</f>
        <v>A3</v>
      </c>
      <c r="Q8" s="252"/>
      <c r="R8" s="253" t="str">
        <f>CONCATENATE(LEFT(Settings!$E$10),4)</f>
        <v>A4</v>
      </c>
      <c r="S8" s="252"/>
      <c r="T8" s="246"/>
      <c r="U8" s="255" t="s">
        <v>81</v>
      </c>
      <c r="V8" s="256"/>
      <c r="W8" s="255" t="str">
        <f>CONCATENATE(LEFT(Settings!$E$11),2)</f>
        <v>G2</v>
      </c>
      <c r="X8" s="256"/>
      <c r="Y8" s="255" t="str">
        <f>CONCATENATE(LEFT(Settings!$E$11),3)</f>
        <v>G3</v>
      </c>
      <c r="Z8" s="256"/>
      <c r="AA8" s="255" t="str">
        <f>CONCATENATE(LEFT(Settings!$E$11),4)</f>
        <v>G4</v>
      </c>
      <c r="AB8" s="256"/>
      <c r="AC8" s="246"/>
      <c r="AD8" s="257"/>
      <c r="AE8" s="258"/>
      <c r="AF8" s="270" t="s">
        <v>87</v>
      </c>
      <c r="AG8" s="293"/>
      <c r="AH8" s="270" t="s">
        <v>82</v>
      </c>
      <c r="AI8" s="293"/>
      <c r="AJ8" s="297"/>
      <c r="AK8" s="300"/>
      <c r="AL8" s="269"/>
    </row>
    <row r="9" spans="1:38" ht="15" customHeight="1" thickBot="1" x14ac:dyDescent="0.35">
      <c r="A9" s="39" t="s">
        <v>43</v>
      </c>
      <c r="B9" s="40" t="s">
        <v>34</v>
      </c>
      <c r="C9" s="41"/>
      <c r="D9" s="43" t="str">
        <f>IF($C$9&lt;&gt;0,VLOOKUP(C9/$C$9*100,TRANSMUTATION_TABLE!$A$2:$B$102,2),"")</f>
        <v/>
      </c>
      <c r="E9" s="41"/>
      <c r="F9" s="43" t="str">
        <f>IF($E$9&lt;&gt;0,VLOOKUP(E9/$E$9*100,TRANSMUTATION_TABLE!$A$2:$B$102,2),"")</f>
        <v/>
      </c>
      <c r="G9" s="41"/>
      <c r="H9" s="43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 t="shared" ref="K9:K69" si="0">IF(COUNT(D9,F9,H9,J9)&gt;0,AVERAGE(D9,F9,H9,J9),"")</f>
        <v/>
      </c>
      <c r="L9" s="41"/>
      <c r="M9" s="43" t="str">
        <f>IF($L$9&lt;&gt;0,VLOOKUP(L9/$L$9*100,TRANSMUTATION_TABLE!$A$2:$B$102,2),"")</f>
        <v/>
      </c>
      <c r="N9" s="82"/>
      <c r="O9" s="43" t="str">
        <f>IF($N$9&lt;&gt;0,VLOOKUP(N9/$N$9*100,TRANSMUTATION_TABLE!$A$2:$B$102,2),"")</f>
        <v/>
      </c>
      <c r="P9" s="41"/>
      <c r="Q9" s="43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 t="shared" ref="T9:T69" si="1">IF(COUNT(M9,O9,Q9,S9)&gt;0,AVERAGE(M9,O9,Q9,S9),"")</f>
        <v/>
      </c>
      <c r="U9" s="41"/>
      <c r="V9" s="43" t="str">
        <f>IF($U$9&lt;&gt;0,VLOOKUP(U9/$U$9*100,TRANSMUTATION_TABLE!$A$2:$B$102,2),"")</f>
        <v/>
      </c>
      <c r="W9" s="41"/>
      <c r="X9" s="43" t="str">
        <f>IF($W$9&lt;&gt;0,VLOOKUP(W9/$W$9*100,TRANSMUTATION_TABLE!$A$2:$B$102,2),"")</f>
        <v/>
      </c>
      <c r="Y9" s="41"/>
      <c r="Z9" s="43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 t="shared" ref="AC9:AC69" si="2">IF(COUNT(V9,X9,Z9,AB9)&gt;0,AVERAGE(V9,X9,Z9,AB9),"")</f>
        <v/>
      </c>
      <c r="AD9" s="41"/>
      <c r="AE9" s="42" t="str">
        <f>IF($AD$9&lt;&gt;0,VLOOKUP(AD9/$AD$9*100,TRANSMUTATION_TABLE!$A$2:$B$102,2),"")</f>
        <v/>
      </c>
      <c r="AF9" s="41">
        <f>Attendance!AM6</f>
        <v>0</v>
      </c>
      <c r="AG9" s="42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45" t="str">
        <f>IF(OR(K9&lt;&gt;"",T9&lt;&gt;"",AC9&lt;&gt;"",AI9&lt;&gt;"",AG9&lt;&gt;""),SUM(PRODUCT(K9,IF(Settings!$F$17&lt;&gt;0,Settings!$F$17/100,0)),PRODUCT(Midterm!T9,IF(Settings!$F$18&lt;&gt;0,Settings!$F$18/100,0)),PRODUCT(Midterm!AC9,IF(Settings!$F$19&lt;&gt;0,Settings!$F$19/100,0)),PRODUCT(Midterm!AG9,IF(Settings!$F$20&lt;&gt;0,Settings!$F$20/100,0)),PRODUCT(Midterm!AI9,IF(Settings!$F$21&lt;&gt;0,Settings!$F$21/100,0))),"")</f>
        <v/>
      </c>
      <c r="AK9" s="45">
        <v>1</v>
      </c>
      <c r="AL9" s="213" t="str">
        <f>IF(Prelim!AJ9&lt;&gt;"",IF(AJ9&lt;&gt;"",AJ9*0.7+Prelim!AJ9*0.3,""),"")</f>
        <v/>
      </c>
    </row>
    <row r="10" spans="1:38" ht="12" customHeight="1" thickBot="1" x14ac:dyDescent="0.35">
      <c r="A10" s="47"/>
      <c r="B10" s="60"/>
      <c r="C10" s="31"/>
      <c r="D10" s="42" t="str">
        <f>IF(AND(B10&lt;&gt;""),IF($C$9&lt;&gt;0,VLOOKUP(C10/$C$9*100,TRANSMUTATION_TABLE!$A$2:$B$102,2),""),"")</f>
        <v/>
      </c>
      <c r="E10" s="31"/>
      <c r="F10" s="42" t="str">
        <f>IF(AND(B10&lt;&gt;""),IF($E$9&lt;&gt;0,VLOOKUP(E10/$E$9*100,TRANSMUTATION_TABLE!$A$2:$B$102,2),""),"")</f>
        <v/>
      </c>
      <c r="G10" s="31"/>
      <c r="H10" s="42" t="str">
        <f>IF(AND(B10&lt;&gt;""),IF($G$9&lt;&gt;0,VLOOKUP(G10/$G$9*100,TRANSMUTATION_TABLE!$A$2:$B$102,2),""),"")</f>
        <v/>
      </c>
      <c r="I10" s="31"/>
      <c r="J10" s="43" t="str">
        <f>IF(AND(B10&lt;&gt;""),IF($I$9&lt;&gt;0,VLOOKUP(I10/$I$9*100,TRANSMUTATION_TABLE!$A$2:$B$102,2),""),"")</f>
        <v/>
      </c>
      <c r="K10" s="48" t="str">
        <f t="shared" si="0"/>
        <v/>
      </c>
      <c r="L10" s="31"/>
      <c r="M10" s="42" t="str">
        <f>IF(AND(B10&lt;&gt;""),IF($L$9&lt;&gt;0,VLOOKUP(L10/$L$9*100,TRANSMUTATION_TABLE!$A$2:$B$102,2),""),"")</f>
        <v/>
      </c>
      <c r="N10" s="31"/>
      <c r="O10" s="42" t="str">
        <f>IF(AND(B10&lt;&gt;""),IF($N$9&lt;&gt;0,VLOOKUP(N10/$N$9*100,TRANSMUTATION_TABLE!$A$2:$B$102,2),""),"")</f>
        <v/>
      </c>
      <c r="P10" s="31"/>
      <c r="Q10" s="42" t="str">
        <f>IF(AND(B10&lt;&gt;""),IF($P$9&lt;&gt;0,VLOOKUP(P10/$P$9*100,TRANSMUTATION_TABLE!$A$2:$B$102,2),""),"")</f>
        <v/>
      </c>
      <c r="R10" s="31"/>
      <c r="S10" s="43" t="str">
        <f>IF(AND(B10&lt;&gt;""),IF($R$9&lt;&gt;0,VLOOKUP(R10/$R$9*100,TRANSMUTATION_TABLE!$A$2:$B$102,2),""),"")</f>
        <v/>
      </c>
      <c r="T10" s="48" t="str">
        <f t="shared" si="1"/>
        <v/>
      </c>
      <c r="U10" s="31"/>
      <c r="V10" s="42" t="str">
        <f>IF(AND(B10&lt;&gt;""),IF($U$9&lt;&gt;0,VLOOKUP(U10/$U$9*100,TRANSMUTATION_TABLE!$A$2:$B$102,2),""),"")</f>
        <v/>
      </c>
      <c r="W10" s="31"/>
      <c r="X10" s="42" t="str">
        <f>IF(AND(B10&lt;&gt;""),IF($W$9&lt;&gt;0,VLOOKUP(W10/$W$9*100,TRANSMUTATION_TABLE!$A$2:$B$102,2),""),"")</f>
        <v/>
      </c>
      <c r="Y10" s="31"/>
      <c r="Z10" s="42" t="str">
        <f>IF(AND(B10&lt;&gt;""),IF($Y$9&lt;&gt;0,VLOOKUP(Y10/$Y$9*100,TRANSMUTATION_TABLE!$A$2:$B$102,2),""),"")</f>
        <v/>
      </c>
      <c r="AA10" s="31"/>
      <c r="AB10" s="43" t="str">
        <f>IF(AND(B10&lt;&gt;""),IF($AA$9&lt;&gt;0,VLOOKUP(AA10/$AA$9*100,TRANSMUTATION_TABLE!$A$2:$B$102,2),""),"")</f>
        <v/>
      </c>
      <c r="AC10" s="48" t="str">
        <f t="shared" si="2"/>
        <v/>
      </c>
      <c r="AD10" s="50"/>
      <c r="AE10" s="42" t="str">
        <f>IF(AND(B10&lt;&gt;""),IF($AD$9&lt;&gt;0,VLOOKUP(AD10/$AD$9*100,TRANSMUTATION_TABLE!$A$2:$B$102,2),""),"")</f>
        <v/>
      </c>
      <c r="AF10" s="50">
        <f>Attendance!AM7</f>
        <v>0</v>
      </c>
      <c r="AG10" s="42" t="str">
        <f>IF(AND(B10&lt;&gt;""),IF($AF$9&lt;&gt;0,VLOOKUP(AF10/$AF$9*100,TRANSMUTATION_TABLE!$A$2:$B$102,2),""),"")</f>
        <v/>
      </c>
      <c r="AH10" s="31"/>
      <c r="AI10" s="45" t="str">
        <f>IF(AND(B10&lt;&gt;""),IF($AH$9&lt;&gt;0,VLOOKUP(AH10/$AH$9*100,TRANSMUTATION_TABLE!$A$2:$B$102,2),""),"")</f>
        <v/>
      </c>
      <c r="AJ10" s="45" t="str">
        <f>IF(OR(K10&lt;&gt;"",T10&lt;&gt;"",AC10&lt;&gt;"",AI10&lt;&gt;"",AG10&lt;&gt;""),SUM(PRODUCT(K10,IF(Settings!$F$17&lt;&gt;0,Settings!$F$17/100,0)),PRODUCT(Midterm!T10,IF(Settings!$F$18&lt;&gt;0,Settings!$F$18/100,0)),PRODUCT(Midterm!AC10,IF(Settings!$F$19&lt;&gt;0,Settings!$F$19/100,0)),PRODUCT(Midterm!AG10,IF(Settings!$F$20&lt;&gt;0,Settings!$F$20/100,0)),PRODUCT(Midterm!AI10,IF(Settings!$F$21&lt;&gt;0,Settings!$F$21/100,0))),"")</f>
        <v/>
      </c>
      <c r="AK10" s="83" t="str">
        <f>Prelim!AJ10</f>
        <v/>
      </c>
      <c r="AL10" s="46" t="str">
        <f>IF(Prelim!AJ10&lt;&gt;"",IF(AJ10&lt;&gt;"",AJ10*0.7+Prelim!AJ10*0.3,""),"")</f>
        <v/>
      </c>
    </row>
    <row r="11" spans="1:38" ht="12" customHeight="1" thickBot="1" x14ac:dyDescent="0.35">
      <c r="A11" s="52"/>
      <c r="B11" s="60"/>
      <c r="C11" s="31"/>
      <c r="D11" s="42" t="str">
        <f>IF(AND(B11&lt;&gt;""),IF($C$9&lt;&gt;0,VLOOKUP(C11/$C$9*100,TRANSMUTATION_TABLE!$A$2:$B$102,2),""),"")</f>
        <v/>
      </c>
      <c r="E11" s="31"/>
      <c r="F11" s="42" t="str">
        <f>IF(AND(B11&lt;&gt;""),IF($E$9&lt;&gt;0,VLOOKUP(E11/$E$9*100,TRANSMUTATION_TABLE!$A$2:$B$102,2),""),"")</f>
        <v/>
      </c>
      <c r="G11" s="31"/>
      <c r="H11" s="42" t="str">
        <f>IF(AND(B11&lt;&gt;""),IF($G$9&lt;&gt;0,VLOOKUP(G11/$G$9*100,TRANSMUTATION_TABLE!$A$2:$B$102,2),""),"")</f>
        <v/>
      </c>
      <c r="I11" s="31"/>
      <c r="J11" s="43" t="str">
        <f>IF(AND(B11&lt;&gt;""),IF($I$9&lt;&gt;0,VLOOKUP(I11/$I$9*100,TRANSMUTATION_TABLE!$A$2:$B$102,2),""),"")</f>
        <v/>
      </c>
      <c r="K11" s="48" t="str">
        <f t="shared" si="0"/>
        <v/>
      </c>
      <c r="L11" s="31"/>
      <c r="M11" s="42" t="str">
        <f>IF(AND(B11&lt;&gt;""),IF($L$9&lt;&gt;0,VLOOKUP(L11/$L$9*100,TRANSMUTATION_TABLE!$A$2:$B$102,2),""),"")</f>
        <v/>
      </c>
      <c r="N11" s="31"/>
      <c r="O11" s="42" t="str">
        <f>IF(AND(B11&lt;&gt;""),IF($N$9&lt;&gt;0,VLOOKUP(N11/$N$9*100,TRANSMUTATION_TABLE!$A$2:$B$102,2),""),"")</f>
        <v/>
      </c>
      <c r="P11" s="31"/>
      <c r="Q11" s="42" t="str">
        <f>IF(AND(B11&lt;&gt;""),IF($P$9&lt;&gt;0,VLOOKUP(P11/$P$9*100,TRANSMUTATION_TABLE!$A$2:$B$102,2),""),"")</f>
        <v/>
      </c>
      <c r="R11" s="31"/>
      <c r="S11" s="43" t="str">
        <f>IF(AND(B11&lt;&gt;""),IF($R$9&lt;&gt;0,VLOOKUP(R11/$R$9*100,TRANSMUTATION_TABLE!$A$2:$B$102,2),""),"")</f>
        <v/>
      </c>
      <c r="T11" s="48" t="str">
        <f t="shared" si="1"/>
        <v/>
      </c>
      <c r="U11" s="31"/>
      <c r="V11" s="42" t="str">
        <f>IF(AND(B11&lt;&gt;""),IF($U$9&lt;&gt;0,VLOOKUP(U11/$U$9*100,TRANSMUTATION_TABLE!$A$2:$B$102,2),""),"")</f>
        <v/>
      </c>
      <c r="W11" s="31"/>
      <c r="X11" s="42" t="str">
        <f>IF(AND(B11&lt;&gt;""),IF($W$9&lt;&gt;0,VLOOKUP(W11/$W$9*100,TRANSMUTATION_TABLE!$A$2:$B$102,2),""),"")</f>
        <v/>
      </c>
      <c r="Y11" s="31"/>
      <c r="Z11" s="42" t="str">
        <f>IF(AND(B11&lt;&gt;""),IF($Y$9&lt;&gt;0,VLOOKUP(Y11/$Y$9*100,TRANSMUTATION_TABLE!$A$2:$B$102,2),""),"")</f>
        <v/>
      </c>
      <c r="AA11" s="31"/>
      <c r="AB11" s="43" t="str">
        <f>IF(AND(B11&lt;&gt;""),IF($AA$9&lt;&gt;0,VLOOKUP(AA11/$AA$9*100,TRANSMUTATION_TABLE!$A$2:$B$102,2),""),"")</f>
        <v/>
      </c>
      <c r="AC11" s="48" t="str">
        <f t="shared" si="2"/>
        <v/>
      </c>
      <c r="AD11" s="216"/>
      <c r="AE11" s="42" t="str">
        <f>IF(AND(B11&lt;&gt;""),IF($AD$9&lt;&gt;0,VLOOKUP(AD11/$AD$9*100,TRANSMUTATION_TABLE!$A$2:$B$102,2),""),"")</f>
        <v/>
      </c>
      <c r="AF11" s="50">
        <f>Attendance!AM8</f>
        <v>0</v>
      </c>
      <c r="AG11" s="42" t="str">
        <f>IF(AND(B11&lt;&gt;""),IF($AF$9&lt;&gt;0,VLOOKUP(AF11/$AF$9*100,TRANSMUTATION_TABLE!$A$2:$B$102,2),""),"")</f>
        <v/>
      </c>
      <c r="AH11" s="31"/>
      <c r="AI11" s="45" t="str">
        <f>IF(AND(B11&lt;&gt;""),IF($AH$9&lt;&gt;0,VLOOKUP(AH11/$AH$9*100,TRANSMUTATION_TABLE!$A$2:$B$102,2),""),"")</f>
        <v/>
      </c>
      <c r="AJ11" s="45" t="str">
        <f>IF(OR(K11&lt;&gt;"",T11&lt;&gt;"",AC11&lt;&gt;"",AI11&lt;&gt;"",AG11&lt;&gt;""),SUM(PRODUCT(K11,IF(Settings!$F$17&lt;&gt;0,Settings!$F$17/100,0)),PRODUCT(Midterm!T11,IF(Settings!$F$18&lt;&gt;0,Settings!$F$18/100,0)),PRODUCT(Midterm!AC11,IF(Settings!$F$19&lt;&gt;0,Settings!$F$19/100,0)),PRODUCT(Midterm!AG11,IF(Settings!$F$20&lt;&gt;0,Settings!$F$20/100,0)),PRODUCT(Midterm!AI11,IF(Settings!$F$21&lt;&gt;0,Settings!$F$21/100,0))),"")</f>
        <v/>
      </c>
      <c r="AK11" s="83" t="str">
        <f>Prelim!AJ11</f>
        <v/>
      </c>
      <c r="AL11" s="46" t="str">
        <f>IF(Prelim!AJ11&lt;&gt;"",IF(AJ11&lt;&gt;"",AJ11*0.7+Prelim!AJ11*0.3,""),"")</f>
        <v/>
      </c>
    </row>
    <row r="12" spans="1:38" ht="12" customHeight="1" thickBot="1" x14ac:dyDescent="0.35">
      <c r="A12" s="52"/>
      <c r="B12" s="60"/>
      <c r="C12" s="31"/>
      <c r="D12" s="42" t="str">
        <f>IF(AND(B12&lt;&gt;""),IF($C$9&lt;&gt;0,VLOOKUP(C12/$C$9*100,TRANSMUTATION_TABLE!$A$2:$B$102,2),""),"")</f>
        <v/>
      </c>
      <c r="E12" s="31"/>
      <c r="F12" s="42" t="str">
        <f>IF(AND(B12&lt;&gt;""),IF($E$9&lt;&gt;0,VLOOKUP(E12/$E$9*100,TRANSMUTATION_TABLE!$A$2:$B$102,2),""),"")</f>
        <v/>
      </c>
      <c r="G12" s="31"/>
      <c r="H12" s="42" t="str">
        <f>IF(AND(B12&lt;&gt;""),IF($G$9&lt;&gt;0,VLOOKUP(G12/$G$9*100,TRANSMUTATION_TABLE!$A$2:$B$102,2),""),"")</f>
        <v/>
      </c>
      <c r="I12" s="31"/>
      <c r="J12" s="43" t="str">
        <f>IF(AND(B12&lt;&gt;""),IF($I$9&lt;&gt;0,VLOOKUP(I12/$I$9*100,TRANSMUTATION_TABLE!$A$2:$B$102,2),""),"")</f>
        <v/>
      </c>
      <c r="K12" s="48" t="str">
        <f t="shared" si="0"/>
        <v/>
      </c>
      <c r="L12" s="31"/>
      <c r="M12" s="42" t="str">
        <f>IF(AND(B12&lt;&gt;""),IF($L$9&lt;&gt;0,VLOOKUP(L12/$L$9*100,TRANSMUTATION_TABLE!$A$2:$B$102,2),""),"")</f>
        <v/>
      </c>
      <c r="N12" s="31"/>
      <c r="O12" s="42" t="str">
        <f>IF(AND(B12&lt;&gt;""),IF($N$9&lt;&gt;0,VLOOKUP(N12/$N$9*100,TRANSMUTATION_TABLE!$A$2:$B$102,2),""),"")</f>
        <v/>
      </c>
      <c r="P12" s="31"/>
      <c r="Q12" s="42" t="str">
        <f>IF(AND(B12&lt;&gt;""),IF($P$9&lt;&gt;0,VLOOKUP(P12/$P$9*100,TRANSMUTATION_TABLE!$A$2:$B$102,2),""),"")</f>
        <v/>
      </c>
      <c r="R12" s="31"/>
      <c r="S12" s="43" t="str">
        <f>IF(AND(B12&lt;&gt;""),IF($R$9&lt;&gt;0,VLOOKUP(R12/$R$9*100,TRANSMUTATION_TABLE!$A$2:$B$102,2),""),"")</f>
        <v/>
      </c>
      <c r="T12" s="48" t="str">
        <f t="shared" si="1"/>
        <v/>
      </c>
      <c r="U12" s="31"/>
      <c r="V12" s="42" t="str">
        <f>IF(AND(B12&lt;&gt;""),IF($U$9&lt;&gt;0,VLOOKUP(U12/$U$9*100,TRANSMUTATION_TABLE!$A$2:$B$102,2),""),"")</f>
        <v/>
      </c>
      <c r="W12" s="31"/>
      <c r="X12" s="42" t="str">
        <f>IF(AND(B12&lt;&gt;""),IF($W$9&lt;&gt;0,VLOOKUP(W12/$W$9*100,TRANSMUTATION_TABLE!$A$2:$B$102,2),""),"")</f>
        <v/>
      </c>
      <c r="Y12" s="31"/>
      <c r="Z12" s="42" t="str">
        <f>IF(AND(B12&lt;&gt;""),IF($Y$9&lt;&gt;0,VLOOKUP(Y12/$Y$9*100,TRANSMUTATION_TABLE!$A$2:$B$102,2),""),"")</f>
        <v/>
      </c>
      <c r="AA12" s="31"/>
      <c r="AB12" s="43" t="str">
        <f>IF(AND(B12&lt;&gt;""),IF($AA$9&lt;&gt;0,VLOOKUP(AA12/$AA$9*100,TRANSMUTATION_TABLE!$A$2:$B$102,2),""),"")</f>
        <v/>
      </c>
      <c r="AC12" s="48" t="str">
        <f t="shared" si="2"/>
        <v/>
      </c>
      <c r="AD12" s="216"/>
      <c r="AE12" s="42" t="str">
        <f>IF(AND(B12&lt;&gt;""),IF($AD$9&lt;&gt;0,VLOOKUP(AD12/$AD$9*100,TRANSMUTATION_TABLE!$A$2:$B$102,2),""),"")</f>
        <v/>
      </c>
      <c r="AF12" s="50">
        <f>Attendance!AM9</f>
        <v>0</v>
      </c>
      <c r="AG12" s="42" t="str">
        <f>IF(AND(B12&lt;&gt;""),IF($AF$9&lt;&gt;0,VLOOKUP(AF12/$AF$9*100,TRANSMUTATION_TABLE!$A$2:$B$102,2),""),"")</f>
        <v/>
      </c>
      <c r="AH12" s="31"/>
      <c r="AI12" s="45" t="str">
        <f>IF(AND(B12&lt;&gt;""),IF($AH$9&lt;&gt;0,VLOOKUP(AH12/$AH$9*100,TRANSMUTATION_TABLE!$A$2:$B$102,2),""),"")</f>
        <v/>
      </c>
      <c r="AJ12" s="45" t="str">
        <f>IF(OR(K12&lt;&gt;"",T12&lt;&gt;"",AC12&lt;&gt;"",AI12&lt;&gt;"",AG12&lt;&gt;""),SUM(PRODUCT(K12,IF(Settings!$F$17&lt;&gt;0,Settings!$F$17/100,0)),PRODUCT(Midterm!T12,IF(Settings!$F$18&lt;&gt;0,Settings!$F$18/100,0)),PRODUCT(Midterm!AC12,IF(Settings!$F$19&lt;&gt;0,Settings!$F$19/100,0)),PRODUCT(Midterm!AG12,IF(Settings!$F$20&lt;&gt;0,Settings!$F$20/100,0)),PRODUCT(Midterm!AI12,IF(Settings!$F$21&lt;&gt;0,Settings!$F$21/100,0))),"")</f>
        <v/>
      </c>
      <c r="AK12" s="83" t="str">
        <f>Prelim!AJ12</f>
        <v/>
      </c>
      <c r="AL12" s="46" t="str">
        <f>IF(Prelim!AJ12&lt;&gt;"",IF(AJ12&lt;&gt;"",AJ12*0.7+Prelim!AJ12*0.3,""),"")</f>
        <v/>
      </c>
    </row>
    <row r="13" spans="1:38" ht="12" customHeight="1" thickBot="1" x14ac:dyDescent="0.35">
      <c r="A13" s="52"/>
      <c r="B13" s="60"/>
      <c r="C13" s="31"/>
      <c r="D13" s="42" t="str">
        <f>IF(AND(B13&lt;&gt;""),IF($C$9&lt;&gt;0,VLOOKUP(C13/$C$9*100,TRANSMUTATION_TABLE!$A$2:$B$102,2),""),"")</f>
        <v/>
      </c>
      <c r="E13" s="31"/>
      <c r="F13" s="42" t="str">
        <f>IF(AND(B13&lt;&gt;""),IF($E$9&lt;&gt;0,VLOOKUP(E13/$E$9*100,TRANSMUTATION_TABLE!$A$2:$B$102,2),""),"")</f>
        <v/>
      </c>
      <c r="G13" s="31"/>
      <c r="H13" s="42" t="str">
        <f>IF(AND(B13&lt;&gt;""),IF($G$9&lt;&gt;0,VLOOKUP(G13/$G$9*100,TRANSMUTATION_TABLE!$A$2:$B$102,2),""),"")</f>
        <v/>
      </c>
      <c r="I13" s="31"/>
      <c r="J13" s="43" t="str">
        <f>IF(AND(B13&lt;&gt;""),IF($I$9&lt;&gt;0,VLOOKUP(I13/$I$9*100,TRANSMUTATION_TABLE!$A$2:$B$102,2),""),"")</f>
        <v/>
      </c>
      <c r="K13" s="48" t="str">
        <f t="shared" si="0"/>
        <v/>
      </c>
      <c r="L13" s="31"/>
      <c r="M13" s="42" t="str">
        <f>IF(AND(B13&lt;&gt;""),IF($L$9&lt;&gt;0,VLOOKUP(L13/$L$9*100,TRANSMUTATION_TABLE!$A$2:$B$102,2),""),"")</f>
        <v/>
      </c>
      <c r="N13" s="31"/>
      <c r="O13" s="42" t="str">
        <f>IF(AND(B13&lt;&gt;""),IF($N$9&lt;&gt;0,VLOOKUP(N13/$N$9*100,TRANSMUTATION_TABLE!$A$2:$B$102,2),""),"")</f>
        <v/>
      </c>
      <c r="P13" s="31"/>
      <c r="Q13" s="42" t="str">
        <f>IF(AND(B13&lt;&gt;""),IF($P$9&lt;&gt;0,VLOOKUP(P13/$P$9*100,TRANSMUTATION_TABLE!$A$2:$B$102,2),""),"")</f>
        <v/>
      </c>
      <c r="R13" s="31"/>
      <c r="S13" s="43" t="str">
        <f>IF(AND(B13&lt;&gt;""),IF($R$9&lt;&gt;0,VLOOKUP(R13/$R$9*100,TRANSMUTATION_TABLE!$A$2:$B$102,2),""),"")</f>
        <v/>
      </c>
      <c r="T13" s="48" t="str">
        <f t="shared" si="1"/>
        <v/>
      </c>
      <c r="U13" s="31"/>
      <c r="V13" s="42" t="str">
        <f>IF(AND(B13&lt;&gt;""),IF($U$9&lt;&gt;0,VLOOKUP(U13/$U$9*100,TRANSMUTATION_TABLE!$A$2:$B$102,2),""),"")</f>
        <v/>
      </c>
      <c r="W13" s="31"/>
      <c r="X13" s="42" t="str">
        <f>IF(AND(B13&lt;&gt;""),IF($W$9&lt;&gt;0,VLOOKUP(W13/$W$9*100,TRANSMUTATION_TABLE!$A$2:$B$102,2),""),"")</f>
        <v/>
      </c>
      <c r="Y13" s="31"/>
      <c r="Z13" s="42" t="str">
        <f>IF(AND(B13&lt;&gt;""),IF($Y$9&lt;&gt;0,VLOOKUP(Y13/$Y$9*100,TRANSMUTATION_TABLE!$A$2:$B$102,2),""),"")</f>
        <v/>
      </c>
      <c r="AA13" s="31"/>
      <c r="AB13" s="43" t="str">
        <f>IF(AND(B13&lt;&gt;""),IF($AA$9&lt;&gt;0,VLOOKUP(AA13/$AA$9*100,TRANSMUTATION_TABLE!$A$2:$B$102,2),""),"")</f>
        <v/>
      </c>
      <c r="AC13" s="48" t="str">
        <f t="shared" si="2"/>
        <v/>
      </c>
      <c r="AD13" s="216"/>
      <c r="AE13" s="42" t="str">
        <f>IF(AND(B13&lt;&gt;""),IF($AD$9&lt;&gt;0,VLOOKUP(AD13/$AD$9*100,TRANSMUTATION_TABLE!$A$2:$B$102,2),""),"")</f>
        <v/>
      </c>
      <c r="AF13" s="50">
        <f>Attendance!AM10</f>
        <v>0</v>
      </c>
      <c r="AG13" s="42" t="str">
        <f>IF(AND(B13&lt;&gt;""),IF($AF$9&lt;&gt;0,VLOOKUP(AF13/$AF$9*100,TRANSMUTATION_TABLE!$A$2:$B$102,2),""),"")</f>
        <v/>
      </c>
      <c r="AH13" s="31"/>
      <c r="AI13" s="45" t="str">
        <f>IF(AND(B13&lt;&gt;""),IF($AH$9&lt;&gt;0,VLOOKUP(AH13/$AH$9*100,TRANSMUTATION_TABLE!$A$2:$B$102,2),""),"")</f>
        <v/>
      </c>
      <c r="AJ13" s="45" t="str">
        <f>IF(OR(K13&lt;&gt;"",T13&lt;&gt;"",AC13&lt;&gt;"",AI13&lt;&gt;"",AG13&lt;&gt;""),SUM(PRODUCT(K13,IF(Settings!$F$17&lt;&gt;0,Settings!$F$17/100,0)),PRODUCT(Midterm!T13,IF(Settings!$F$18&lt;&gt;0,Settings!$F$18/100,0)),PRODUCT(Midterm!AC13,IF(Settings!$F$19&lt;&gt;0,Settings!$F$19/100,0)),PRODUCT(Midterm!AG13,IF(Settings!$F$20&lt;&gt;0,Settings!$F$20/100,0)),PRODUCT(Midterm!AI13,IF(Settings!$F$21&lt;&gt;0,Settings!$F$21/100,0))),"")</f>
        <v/>
      </c>
      <c r="AK13" s="83" t="str">
        <f>Prelim!AJ13</f>
        <v/>
      </c>
      <c r="AL13" s="46" t="str">
        <f>IF(Prelim!AJ13&lt;&gt;"",IF(AJ13&lt;&gt;"",AJ13*0.7+Prelim!AJ13*0.3,""),"")</f>
        <v/>
      </c>
    </row>
    <row r="14" spans="1:38" ht="12" customHeight="1" thickBot="1" x14ac:dyDescent="0.35">
      <c r="A14" s="54"/>
      <c r="B14" s="60"/>
      <c r="C14" s="214"/>
      <c r="D14" s="42" t="str">
        <f>IF(AND(B14&lt;&gt;""),IF($C$9&lt;&gt;0,VLOOKUP(C14/$C$9*100,TRANSMUTATION_TABLE!$A$2:$B$102,2),""),"")</f>
        <v/>
      </c>
      <c r="E14" s="214"/>
      <c r="F14" s="42" t="str">
        <f>IF(AND(B14&lt;&gt;""),IF($E$9&lt;&gt;0,VLOOKUP(E14/$E$9*100,TRANSMUTATION_TABLE!$A$2:$B$102,2),""),"")</f>
        <v/>
      </c>
      <c r="G14" s="214"/>
      <c r="H14" s="42" t="str">
        <f>IF(AND(B14&lt;&gt;""),IF($G$9&lt;&gt;0,VLOOKUP(G14/$G$9*100,TRANSMUTATION_TABLE!$A$2:$B$102,2),""),"")</f>
        <v/>
      </c>
      <c r="I14" s="214"/>
      <c r="J14" s="43" t="str">
        <f>IF(AND(B14&lt;&gt;""),IF($I$9&lt;&gt;0,VLOOKUP(I14/$I$9*100,TRANSMUTATION_TABLE!$A$2:$B$102,2),""),"")</f>
        <v/>
      </c>
      <c r="K14" s="48" t="str">
        <f t="shared" si="0"/>
        <v/>
      </c>
      <c r="L14" s="214"/>
      <c r="M14" s="42" t="str">
        <f>IF(AND(B14&lt;&gt;""),IF($L$9&lt;&gt;0,VLOOKUP(L14/$L$9*100,TRANSMUTATION_TABLE!$A$2:$B$102,2),""),"")</f>
        <v/>
      </c>
      <c r="N14" s="214"/>
      <c r="O14" s="42" t="str">
        <f>IF(AND(B14&lt;&gt;""),IF($N$9&lt;&gt;0,VLOOKUP(N14/$N$9*100,TRANSMUTATION_TABLE!$A$2:$B$102,2),""),"")</f>
        <v/>
      </c>
      <c r="P14" s="214"/>
      <c r="Q14" s="42" t="str">
        <f>IF(AND(B14&lt;&gt;""),IF($P$9&lt;&gt;0,VLOOKUP(P14/$P$9*100,TRANSMUTATION_TABLE!$A$2:$B$102,2),""),"")</f>
        <v/>
      </c>
      <c r="R14" s="214"/>
      <c r="S14" s="43" t="str">
        <f>IF(AND(B14&lt;&gt;""),IF($R$9&lt;&gt;0,VLOOKUP(R14/$R$9*100,TRANSMUTATION_TABLE!$A$2:$B$102,2),""),"")</f>
        <v/>
      </c>
      <c r="T14" s="48" t="str">
        <f t="shared" si="1"/>
        <v/>
      </c>
      <c r="U14" s="214"/>
      <c r="V14" s="42" t="str">
        <f>IF(AND(B14&lt;&gt;""),IF($U$9&lt;&gt;0,VLOOKUP(U14/$U$9*100,TRANSMUTATION_TABLE!$A$2:$B$102,2),""),"")</f>
        <v/>
      </c>
      <c r="W14" s="214"/>
      <c r="X14" s="42" t="str">
        <f>IF(AND(B14&lt;&gt;""),IF($W$9&lt;&gt;0,VLOOKUP(W14/$W$9*100,TRANSMUTATION_TABLE!$A$2:$B$102,2),""),"")</f>
        <v/>
      </c>
      <c r="Y14" s="214"/>
      <c r="Z14" s="42" t="str">
        <f>IF(AND(B14&lt;&gt;""),IF($Y$9&lt;&gt;0,VLOOKUP(Y14/$Y$9*100,TRANSMUTATION_TABLE!$A$2:$B$102,2),""),"")</f>
        <v/>
      </c>
      <c r="AA14" s="214"/>
      <c r="AB14" s="43" t="str">
        <f>IF(AND(B14&lt;&gt;""),IF($AA$9&lt;&gt;0,VLOOKUP(AA14/$AA$9*100,TRANSMUTATION_TABLE!$A$2:$B$102,2),""),"")</f>
        <v/>
      </c>
      <c r="AC14" s="48" t="str">
        <f t="shared" si="2"/>
        <v/>
      </c>
      <c r="AD14" s="217"/>
      <c r="AE14" s="42" t="str">
        <f>IF(AND(B14&lt;&gt;""),IF($AD$9&lt;&gt;0,VLOOKUP(AD14/$AD$9*100,TRANSMUTATION_TABLE!$A$2:$B$102,2),""),"")</f>
        <v/>
      </c>
      <c r="AF14" s="50">
        <f>Attendance!AM11</f>
        <v>0</v>
      </c>
      <c r="AG14" s="42" t="str">
        <f>IF(AND(B14&lt;&gt;""),IF($AF$9&lt;&gt;0,VLOOKUP(AF14/$AF$9*100,TRANSMUTATION_TABLE!$A$2:$B$102,2),""),"")</f>
        <v/>
      </c>
      <c r="AH14" s="214"/>
      <c r="AI14" s="45" t="str">
        <f>IF(AND(B14&lt;&gt;""),IF($AH$9&lt;&gt;0,VLOOKUP(AH14/$AH$9*100,TRANSMUTATION_TABLE!$A$2:$B$102,2),""),"")</f>
        <v/>
      </c>
      <c r="AJ14" s="45" t="str">
        <f>IF(OR(K14&lt;&gt;"",T14&lt;&gt;"",AC14&lt;&gt;"",AI14&lt;&gt;"",AG14&lt;&gt;""),SUM(PRODUCT(K14,IF(Settings!$F$17&lt;&gt;0,Settings!$F$17/100,0)),PRODUCT(Midterm!T14,IF(Settings!$F$18&lt;&gt;0,Settings!$F$18/100,0)),PRODUCT(Midterm!AC14,IF(Settings!$F$19&lt;&gt;0,Settings!$F$19/100,0)),PRODUCT(Midterm!AG14,IF(Settings!$F$20&lt;&gt;0,Settings!$F$20/100,0)),PRODUCT(Midterm!AI14,IF(Settings!$F$21&lt;&gt;0,Settings!$F$21/100,0))),"")</f>
        <v/>
      </c>
      <c r="AK14" s="83" t="str">
        <f>Prelim!AJ14</f>
        <v/>
      </c>
      <c r="AL14" s="46" t="str">
        <f>IF(Prelim!AJ14&lt;&gt;"",IF(AJ14&lt;&gt;"",AJ14*0.7+Prelim!AJ14*0.3,""),"")</f>
        <v/>
      </c>
    </row>
    <row r="15" spans="1:38" ht="12" customHeight="1" thickBot="1" x14ac:dyDescent="0.35">
      <c r="A15" s="59"/>
      <c r="B15" s="60"/>
      <c r="C15" s="31"/>
      <c r="D15" s="42" t="str">
        <f>IF(AND(B15&lt;&gt;""),IF($C$9&lt;&gt;0,VLOOKUP(C15/$C$9*100,TRANSMUTATION_TABLE!$A$2:$B$102,2),""),"")</f>
        <v/>
      </c>
      <c r="E15" s="31"/>
      <c r="F15" s="42" t="str">
        <f>IF(AND(B15&lt;&gt;""),IF($E$9&lt;&gt;0,VLOOKUP(E15/$E$9*100,TRANSMUTATION_TABLE!$A$2:$B$102,2),""),"")</f>
        <v/>
      </c>
      <c r="G15" s="31"/>
      <c r="H15" s="42" t="str">
        <f>IF(AND(B15&lt;&gt;""),IF($G$9&lt;&gt;0,VLOOKUP(G15/$G$9*100,TRANSMUTATION_TABLE!$A$2:$B$102,2),""),"")</f>
        <v/>
      </c>
      <c r="I15" s="31"/>
      <c r="J15" s="43" t="str">
        <f>IF(AND(B15&lt;&gt;""),IF($I$9&lt;&gt;0,VLOOKUP(I15/$I$9*100,TRANSMUTATION_TABLE!$A$2:$B$102,2),""),"")</f>
        <v/>
      </c>
      <c r="K15" s="48" t="str">
        <f t="shared" si="0"/>
        <v/>
      </c>
      <c r="L15" s="31"/>
      <c r="M15" s="42" t="str">
        <f>IF(AND(B15&lt;&gt;""),IF($L$9&lt;&gt;0,VLOOKUP(L15/$L$9*100,TRANSMUTATION_TABLE!$A$2:$B$102,2),""),"")</f>
        <v/>
      </c>
      <c r="N15" s="31"/>
      <c r="O15" s="42" t="str">
        <f>IF(AND(B15&lt;&gt;""),IF($N$9&lt;&gt;0,VLOOKUP(N15/$N$9*100,TRANSMUTATION_TABLE!$A$2:$B$102,2),""),"")</f>
        <v/>
      </c>
      <c r="P15" s="31"/>
      <c r="Q15" s="42" t="str">
        <f>IF(AND(B15&lt;&gt;""),IF($P$9&lt;&gt;0,VLOOKUP(P15/$P$9*100,TRANSMUTATION_TABLE!$A$2:$B$102,2),""),"")</f>
        <v/>
      </c>
      <c r="R15" s="31"/>
      <c r="S15" s="43" t="str">
        <f>IF(AND(B15&lt;&gt;""),IF($R$9&lt;&gt;0,VLOOKUP(R15/$R$9*100,TRANSMUTATION_TABLE!$A$2:$B$102,2),""),"")</f>
        <v/>
      </c>
      <c r="T15" s="48" t="str">
        <f t="shared" si="1"/>
        <v/>
      </c>
      <c r="U15" s="31"/>
      <c r="V15" s="42" t="str">
        <f>IF(AND(B15&lt;&gt;""),IF($U$9&lt;&gt;0,VLOOKUP(U15/$U$9*100,TRANSMUTATION_TABLE!$A$2:$B$102,2),""),"")</f>
        <v/>
      </c>
      <c r="W15" s="31"/>
      <c r="X15" s="42" t="str">
        <f>IF(AND(B15&lt;&gt;""),IF($W$9&lt;&gt;0,VLOOKUP(W15/$W$9*100,TRANSMUTATION_TABLE!$A$2:$B$102,2),""),"")</f>
        <v/>
      </c>
      <c r="Y15" s="31"/>
      <c r="Z15" s="42" t="str">
        <f>IF(AND(B15&lt;&gt;""),IF($Y$9&lt;&gt;0,VLOOKUP(Y15/$Y$9*100,TRANSMUTATION_TABLE!$A$2:$B$102,2),""),"")</f>
        <v/>
      </c>
      <c r="AA15" s="31"/>
      <c r="AB15" s="43" t="str">
        <f>IF(AND(B15&lt;&gt;""),IF($AA$9&lt;&gt;0,VLOOKUP(AA15/$AA$9*100,TRANSMUTATION_TABLE!$A$2:$B$102,2),""),"")</f>
        <v/>
      </c>
      <c r="AC15" s="48" t="str">
        <f t="shared" si="2"/>
        <v/>
      </c>
      <c r="AD15" s="218"/>
      <c r="AE15" s="42" t="str">
        <f>IF(AND(B15&lt;&gt;""),IF($AD$9&lt;&gt;0,VLOOKUP(AD15/$AD$9*100,TRANSMUTATION_TABLE!$A$2:$B$102,2),""),"")</f>
        <v/>
      </c>
      <c r="AF15" s="50">
        <f>Attendance!AM12</f>
        <v>0</v>
      </c>
      <c r="AG15" s="42" t="str">
        <f>IF(AND(B15&lt;&gt;""),IF($AF$9&lt;&gt;0,VLOOKUP(AF15/$AF$9*100,TRANSMUTATION_TABLE!$A$2:$B$102,2),""),"")</f>
        <v/>
      </c>
      <c r="AH15" s="31"/>
      <c r="AI15" s="45" t="str">
        <f>IF(AND(B15&lt;&gt;""),IF($AH$9&lt;&gt;0,VLOOKUP(AH15/$AH$9*100,TRANSMUTATION_TABLE!$A$2:$B$102,2),""),"")</f>
        <v/>
      </c>
      <c r="AJ15" s="45" t="str">
        <f>IF(OR(K15&lt;&gt;"",T15&lt;&gt;"",AC15&lt;&gt;"",AI15&lt;&gt;"",AG15&lt;&gt;""),SUM(PRODUCT(K15,IF(Settings!$F$17&lt;&gt;0,Settings!$F$17/100,0)),PRODUCT(Midterm!T15,IF(Settings!$F$18&lt;&gt;0,Settings!$F$18/100,0)),PRODUCT(Midterm!AC15,IF(Settings!$F$19&lt;&gt;0,Settings!$F$19/100,0)),PRODUCT(Midterm!AG15,IF(Settings!$F$20&lt;&gt;0,Settings!$F$20/100,0)),PRODUCT(Midterm!AI15,IF(Settings!$F$21&lt;&gt;0,Settings!$F$21/100,0))),"")</f>
        <v/>
      </c>
      <c r="AK15" s="83" t="str">
        <f>Prelim!AJ15</f>
        <v/>
      </c>
      <c r="AL15" s="46" t="str">
        <f>IF(Prelim!AJ15&lt;&gt;"",IF(AJ15&lt;&gt;"",AJ15*0.7+Prelim!AJ15*0.3,""),"")</f>
        <v/>
      </c>
    </row>
    <row r="16" spans="1:38" ht="12" customHeight="1" thickBot="1" x14ac:dyDescent="0.35">
      <c r="A16" s="52"/>
      <c r="B16" s="60"/>
      <c r="C16" s="31"/>
      <c r="D16" s="42" t="str">
        <f>IF(AND(B16&lt;&gt;""),IF($C$9&lt;&gt;0,VLOOKUP(C16/$C$9*100,TRANSMUTATION_TABLE!$A$2:$B$102,2),""),"")</f>
        <v/>
      </c>
      <c r="E16" s="31"/>
      <c r="F16" s="42" t="str">
        <f>IF(AND(B16&lt;&gt;""),IF($E$9&lt;&gt;0,VLOOKUP(E16/$E$9*100,TRANSMUTATION_TABLE!$A$2:$B$102,2),""),"")</f>
        <v/>
      </c>
      <c r="G16" s="31"/>
      <c r="H16" s="42" t="str">
        <f>IF(AND(B16&lt;&gt;""),IF($G$9&lt;&gt;0,VLOOKUP(G16/$G$9*100,TRANSMUTATION_TABLE!$A$2:$B$102,2),""),"")</f>
        <v/>
      </c>
      <c r="I16" s="31"/>
      <c r="J16" s="43" t="str">
        <f>IF(AND(B16&lt;&gt;""),IF($I$9&lt;&gt;0,VLOOKUP(I16/$I$9*100,TRANSMUTATION_TABLE!$A$2:$B$102,2),""),"")</f>
        <v/>
      </c>
      <c r="K16" s="48" t="str">
        <f t="shared" si="0"/>
        <v/>
      </c>
      <c r="L16" s="31"/>
      <c r="M16" s="42" t="str">
        <f>IF(AND(B16&lt;&gt;""),IF($L$9&lt;&gt;0,VLOOKUP(L16/$L$9*100,TRANSMUTATION_TABLE!$A$2:$B$102,2),""),"")</f>
        <v/>
      </c>
      <c r="N16" s="31"/>
      <c r="O16" s="42" t="str">
        <f>IF(AND(B16&lt;&gt;""),IF($N$9&lt;&gt;0,VLOOKUP(N16/$N$9*100,TRANSMUTATION_TABLE!$A$2:$B$102,2),""),"")</f>
        <v/>
      </c>
      <c r="P16" s="31"/>
      <c r="Q16" s="42" t="str">
        <f>IF(AND(B16&lt;&gt;""),IF($P$9&lt;&gt;0,VLOOKUP(P16/$P$9*100,TRANSMUTATION_TABLE!$A$2:$B$102,2),""),"")</f>
        <v/>
      </c>
      <c r="R16" s="31"/>
      <c r="S16" s="43" t="str">
        <f>IF(AND(B16&lt;&gt;""),IF($R$9&lt;&gt;0,VLOOKUP(R16/$R$9*100,TRANSMUTATION_TABLE!$A$2:$B$102,2),""),"")</f>
        <v/>
      </c>
      <c r="T16" s="48" t="str">
        <f t="shared" si="1"/>
        <v/>
      </c>
      <c r="U16" s="31"/>
      <c r="V16" s="42" t="str">
        <f>IF(AND(B16&lt;&gt;""),IF($U$9&lt;&gt;0,VLOOKUP(U16/$U$9*100,TRANSMUTATION_TABLE!$A$2:$B$102,2),""),"")</f>
        <v/>
      </c>
      <c r="W16" s="31"/>
      <c r="X16" s="42" t="str">
        <f>IF(AND(B16&lt;&gt;""),IF($W$9&lt;&gt;0,VLOOKUP(W16/$W$9*100,TRANSMUTATION_TABLE!$A$2:$B$102,2),""),"")</f>
        <v/>
      </c>
      <c r="Y16" s="31"/>
      <c r="Z16" s="42" t="str">
        <f>IF(AND(B16&lt;&gt;""),IF($Y$9&lt;&gt;0,VLOOKUP(Y16/$Y$9*100,TRANSMUTATION_TABLE!$A$2:$B$102,2),""),"")</f>
        <v/>
      </c>
      <c r="AA16" s="31"/>
      <c r="AB16" s="43" t="str">
        <f>IF(AND(B16&lt;&gt;""),IF($AA$9&lt;&gt;0,VLOOKUP(AA16/$AA$9*100,TRANSMUTATION_TABLE!$A$2:$B$102,2),""),"")</f>
        <v/>
      </c>
      <c r="AC16" s="48" t="str">
        <f t="shared" si="2"/>
        <v/>
      </c>
      <c r="AD16" s="216"/>
      <c r="AE16" s="42" t="str">
        <f>IF(AND(B16&lt;&gt;""),IF($AD$9&lt;&gt;0,VLOOKUP(AD16/$AD$9*100,TRANSMUTATION_TABLE!$A$2:$B$102,2),""),"")</f>
        <v/>
      </c>
      <c r="AF16" s="50">
        <f>Attendance!AM13</f>
        <v>0</v>
      </c>
      <c r="AG16" s="42" t="str">
        <f>IF(AND(B16&lt;&gt;""),IF($AF$9&lt;&gt;0,VLOOKUP(AF16/$AF$9*100,TRANSMUTATION_TABLE!$A$2:$B$102,2),""),"")</f>
        <v/>
      </c>
      <c r="AH16" s="31"/>
      <c r="AI16" s="45" t="str">
        <f>IF(AND(B16&lt;&gt;""),IF($AH$9&lt;&gt;0,VLOOKUP(AH16/$AH$9*100,TRANSMUTATION_TABLE!$A$2:$B$102,2),""),"")</f>
        <v/>
      </c>
      <c r="AJ16" s="45" t="str">
        <f>IF(OR(K16&lt;&gt;"",T16&lt;&gt;"",AC16&lt;&gt;"",AI16&lt;&gt;"",AG16&lt;&gt;""),SUM(PRODUCT(K16,IF(Settings!$F$17&lt;&gt;0,Settings!$F$17/100,0)),PRODUCT(Midterm!T16,IF(Settings!$F$18&lt;&gt;0,Settings!$F$18/100,0)),PRODUCT(Midterm!AC16,IF(Settings!$F$19&lt;&gt;0,Settings!$F$19/100,0)),PRODUCT(Midterm!AG16,IF(Settings!$F$20&lt;&gt;0,Settings!$F$20/100,0)),PRODUCT(Midterm!AI16,IF(Settings!$F$21&lt;&gt;0,Settings!$F$21/100,0))),"")</f>
        <v/>
      </c>
      <c r="AK16" s="83" t="str">
        <f>Prelim!AJ16</f>
        <v/>
      </c>
      <c r="AL16" s="46" t="str">
        <f>IF(Prelim!AJ16&lt;&gt;"",IF(AJ16&lt;&gt;"",AJ16*0.7+Prelim!AJ16*0.3,""),"")</f>
        <v/>
      </c>
    </row>
    <row r="17" spans="1:38" ht="12" customHeight="1" thickBot="1" x14ac:dyDescent="0.35">
      <c r="A17" s="52"/>
      <c r="B17" s="60"/>
      <c r="C17" s="31"/>
      <c r="D17" s="42" t="str">
        <f>IF(AND(B17&lt;&gt;""),IF($C$9&lt;&gt;0,VLOOKUP(C17/$C$9*100,TRANSMUTATION_TABLE!$A$2:$B$102,2),""),"")</f>
        <v/>
      </c>
      <c r="E17" s="31"/>
      <c r="F17" s="42" t="str">
        <f>IF(AND(B17&lt;&gt;""),IF($E$9&lt;&gt;0,VLOOKUP(E17/$E$9*100,TRANSMUTATION_TABLE!$A$2:$B$102,2),""),"")</f>
        <v/>
      </c>
      <c r="G17" s="31"/>
      <c r="H17" s="42" t="str">
        <f>IF(AND(B17&lt;&gt;""),IF($G$9&lt;&gt;0,VLOOKUP(G17/$G$9*100,TRANSMUTATION_TABLE!$A$2:$B$102,2),""),"")</f>
        <v/>
      </c>
      <c r="I17" s="31"/>
      <c r="J17" s="43" t="str">
        <f>IF(AND(B17&lt;&gt;""),IF($I$9&lt;&gt;0,VLOOKUP(I17/$I$9*100,TRANSMUTATION_TABLE!$A$2:$B$102,2),""),"")</f>
        <v/>
      </c>
      <c r="K17" s="48" t="str">
        <f t="shared" si="0"/>
        <v/>
      </c>
      <c r="L17" s="31"/>
      <c r="M17" s="42" t="str">
        <f>IF(AND(B17&lt;&gt;""),IF($L$9&lt;&gt;0,VLOOKUP(L17/$L$9*100,TRANSMUTATION_TABLE!$A$2:$B$102,2),""),"")</f>
        <v/>
      </c>
      <c r="N17" s="31"/>
      <c r="O17" s="42" t="str">
        <f>IF(AND(B17&lt;&gt;""),IF($N$9&lt;&gt;0,VLOOKUP(N17/$N$9*100,TRANSMUTATION_TABLE!$A$2:$B$102,2),""),"")</f>
        <v/>
      </c>
      <c r="P17" s="31"/>
      <c r="Q17" s="42" t="str">
        <f>IF(AND(B17&lt;&gt;""),IF($P$9&lt;&gt;0,VLOOKUP(P17/$P$9*100,TRANSMUTATION_TABLE!$A$2:$B$102,2),""),"")</f>
        <v/>
      </c>
      <c r="R17" s="31"/>
      <c r="S17" s="43" t="str">
        <f>IF(AND(B17&lt;&gt;""),IF($R$9&lt;&gt;0,VLOOKUP(R17/$R$9*100,TRANSMUTATION_TABLE!$A$2:$B$102,2),""),"")</f>
        <v/>
      </c>
      <c r="T17" s="48" t="str">
        <f t="shared" si="1"/>
        <v/>
      </c>
      <c r="U17" s="31"/>
      <c r="V17" s="42" t="str">
        <f>IF(AND(B17&lt;&gt;""),IF($U$9&lt;&gt;0,VLOOKUP(U17/$U$9*100,TRANSMUTATION_TABLE!$A$2:$B$102,2),""),"")</f>
        <v/>
      </c>
      <c r="W17" s="31"/>
      <c r="X17" s="42" t="str">
        <f>IF(AND(B17&lt;&gt;""),IF($W$9&lt;&gt;0,VLOOKUP(W17/$W$9*100,TRANSMUTATION_TABLE!$A$2:$B$102,2),""),"")</f>
        <v/>
      </c>
      <c r="Y17" s="31"/>
      <c r="Z17" s="42" t="str">
        <f>IF(AND(B17&lt;&gt;""),IF($Y$9&lt;&gt;0,VLOOKUP(Y17/$Y$9*100,TRANSMUTATION_TABLE!$A$2:$B$102,2),""),"")</f>
        <v/>
      </c>
      <c r="AA17" s="31"/>
      <c r="AB17" s="43" t="str">
        <f>IF(AND(B17&lt;&gt;""),IF($AA$9&lt;&gt;0,VLOOKUP(AA17/$AA$9*100,TRANSMUTATION_TABLE!$A$2:$B$102,2),""),"")</f>
        <v/>
      </c>
      <c r="AC17" s="48" t="str">
        <f t="shared" si="2"/>
        <v/>
      </c>
      <c r="AD17" s="216"/>
      <c r="AE17" s="42" t="str">
        <f>IF(AND(B17&lt;&gt;""),IF($AD$9&lt;&gt;0,VLOOKUP(AD17/$AD$9*100,TRANSMUTATION_TABLE!$A$2:$B$102,2),""),"")</f>
        <v/>
      </c>
      <c r="AF17" s="50">
        <f>Attendance!AM14</f>
        <v>0</v>
      </c>
      <c r="AG17" s="42" t="str">
        <f>IF(AND(B17&lt;&gt;""),IF($AF$9&lt;&gt;0,VLOOKUP(AF17/$AF$9*100,TRANSMUTATION_TABLE!$A$2:$B$102,2),""),"")</f>
        <v/>
      </c>
      <c r="AH17" s="31"/>
      <c r="AI17" s="45" t="str">
        <f>IF(AND(B17&lt;&gt;""),IF($AH$9&lt;&gt;0,VLOOKUP(AH17/$AH$9*100,TRANSMUTATION_TABLE!$A$2:$B$102,2),""),"")</f>
        <v/>
      </c>
      <c r="AJ17" s="45" t="str">
        <f>IF(OR(K17&lt;&gt;"",T17&lt;&gt;"",AC17&lt;&gt;"",AI17&lt;&gt;"",AG17&lt;&gt;""),SUM(PRODUCT(K17,IF(Settings!$F$17&lt;&gt;0,Settings!$F$17/100,0)),PRODUCT(Midterm!T17,IF(Settings!$F$18&lt;&gt;0,Settings!$F$18/100,0)),PRODUCT(Midterm!AC17,IF(Settings!$F$19&lt;&gt;0,Settings!$F$19/100,0)),PRODUCT(Midterm!AG17,IF(Settings!$F$20&lt;&gt;0,Settings!$F$20/100,0)),PRODUCT(Midterm!AI17,IF(Settings!$F$21&lt;&gt;0,Settings!$F$21/100,0))),"")</f>
        <v/>
      </c>
      <c r="AK17" s="83" t="str">
        <f>Prelim!AJ17</f>
        <v/>
      </c>
      <c r="AL17" s="46" t="str">
        <f>IF(Prelim!AJ17&lt;&gt;"",IF(AJ17&lt;&gt;"",AJ17*0.7+Prelim!AJ17*0.3,""),"")</f>
        <v/>
      </c>
    </row>
    <row r="18" spans="1:38" ht="12" customHeight="1" thickBot="1" x14ac:dyDescent="0.35">
      <c r="A18" s="52"/>
      <c r="B18" s="60"/>
      <c r="C18" s="31"/>
      <c r="D18" s="42" t="str">
        <f>IF(AND(B18&lt;&gt;""),IF($C$9&lt;&gt;0,VLOOKUP(C18/$C$9*100,TRANSMUTATION_TABLE!$A$2:$B$102,2),""),"")</f>
        <v/>
      </c>
      <c r="E18" s="31"/>
      <c r="F18" s="42" t="str">
        <f>IF(AND(B18&lt;&gt;""),IF($E$9&lt;&gt;0,VLOOKUP(E18/$E$9*100,TRANSMUTATION_TABLE!$A$2:$B$102,2),""),"")</f>
        <v/>
      </c>
      <c r="G18" s="31"/>
      <c r="H18" s="42" t="str">
        <f>IF(AND(B18&lt;&gt;""),IF($G$9&lt;&gt;0,VLOOKUP(G18/$G$9*100,TRANSMUTATION_TABLE!$A$2:$B$102,2),""),"")</f>
        <v/>
      </c>
      <c r="I18" s="31"/>
      <c r="J18" s="43" t="str">
        <f>IF(AND(B18&lt;&gt;""),IF($I$9&lt;&gt;0,VLOOKUP(I18/$I$9*100,TRANSMUTATION_TABLE!$A$2:$B$102,2),""),"")</f>
        <v/>
      </c>
      <c r="K18" s="48" t="str">
        <f t="shared" si="0"/>
        <v/>
      </c>
      <c r="L18" s="31"/>
      <c r="M18" s="42" t="str">
        <f>IF(AND(B18&lt;&gt;""),IF($L$9&lt;&gt;0,VLOOKUP(L18/$L$9*100,TRANSMUTATION_TABLE!$A$2:$B$102,2),""),"")</f>
        <v/>
      </c>
      <c r="N18" s="31"/>
      <c r="O18" s="42" t="str">
        <f>IF(AND(B18&lt;&gt;""),IF($N$9&lt;&gt;0,VLOOKUP(N18/$N$9*100,TRANSMUTATION_TABLE!$A$2:$B$102,2),""),"")</f>
        <v/>
      </c>
      <c r="P18" s="31"/>
      <c r="Q18" s="42" t="str">
        <f>IF(AND(B18&lt;&gt;""),IF($P$9&lt;&gt;0,VLOOKUP(P18/$P$9*100,TRANSMUTATION_TABLE!$A$2:$B$102,2),""),"")</f>
        <v/>
      </c>
      <c r="R18" s="31"/>
      <c r="S18" s="43" t="str">
        <f>IF(AND(B18&lt;&gt;""),IF($R$9&lt;&gt;0,VLOOKUP(R18/$R$9*100,TRANSMUTATION_TABLE!$A$2:$B$102,2),""),"")</f>
        <v/>
      </c>
      <c r="T18" s="48" t="str">
        <f t="shared" si="1"/>
        <v/>
      </c>
      <c r="U18" s="31"/>
      <c r="V18" s="42" t="str">
        <f>IF(AND(B18&lt;&gt;""),IF($U$9&lt;&gt;0,VLOOKUP(U18/$U$9*100,TRANSMUTATION_TABLE!$A$2:$B$102,2),""),"")</f>
        <v/>
      </c>
      <c r="W18" s="31"/>
      <c r="X18" s="42" t="str">
        <f>IF(AND(B18&lt;&gt;""),IF($W$9&lt;&gt;0,VLOOKUP(W18/$W$9*100,TRANSMUTATION_TABLE!$A$2:$B$102,2),""),"")</f>
        <v/>
      </c>
      <c r="Y18" s="31"/>
      <c r="Z18" s="42" t="str">
        <f>IF(AND(B18&lt;&gt;""),IF($Y$9&lt;&gt;0,VLOOKUP(Y18/$Y$9*100,TRANSMUTATION_TABLE!$A$2:$B$102,2),""),"")</f>
        <v/>
      </c>
      <c r="AA18" s="31"/>
      <c r="AB18" s="43" t="str">
        <f>IF(AND(B18&lt;&gt;""),IF($AA$9&lt;&gt;0,VLOOKUP(AA18/$AA$9*100,TRANSMUTATION_TABLE!$A$2:$B$102,2),""),"")</f>
        <v/>
      </c>
      <c r="AC18" s="48" t="str">
        <f t="shared" si="2"/>
        <v/>
      </c>
      <c r="AD18" s="216"/>
      <c r="AE18" s="42" t="str">
        <f>IF(AND(B18&lt;&gt;""),IF($AD$9&lt;&gt;0,VLOOKUP(AD18/$AD$9*100,TRANSMUTATION_TABLE!$A$2:$B$102,2),""),"")</f>
        <v/>
      </c>
      <c r="AF18" s="50">
        <f>Attendance!AM15</f>
        <v>0</v>
      </c>
      <c r="AG18" s="42" t="str">
        <f>IF(AND(B18&lt;&gt;""),IF($AF$9&lt;&gt;0,VLOOKUP(AF18/$AF$9*100,TRANSMUTATION_TABLE!$A$2:$B$102,2),""),"")</f>
        <v/>
      </c>
      <c r="AH18" s="31"/>
      <c r="AI18" s="45" t="str">
        <f>IF(AND(B18&lt;&gt;""),IF($AH$9&lt;&gt;0,VLOOKUP(AH18/$AH$9*100,TRANSMUTATION_TABLE!$A$2:$B$102,2),""),"")</f>
        <v/>
      </c>
      <c r="AJ18" s="45" t="str">
        <f>IF(OR(K18&lt;&gt;"",T18&lt;&gt;"",AC18&lt;&gt;"",AI18&lt;&gt;"",AG18&lt;&gt;""),SUM(PRODUCT(K18,IF(Settings!$F$17&lt;&gt;0,Settings!$F$17/100,0)),PRODUCT(Midterm!T18,IF(Settings!$F$18&lt;&gt;0,Settings!$F$18/100,0)),PRODUCT(Midterm!AC18,IF(Settings!$F$19&lt;&gt;0,Settings!$F$19/100,0)),PRODUCT(Midterm!AG18,IF(Settings!$F$20&lt;&gt;0,Settings!$F$20/100,0)),PRODUCT(Midterm!AI18,IF(Settings!$F$21&lt;&gt;0,Settings!$F$21/100,0))),"")</f>
        <v/>
      </c>
      <c r="AK18" s="83" t="str">
        <f>Prelim!AJ18</f>
        <v/>
      </c>
      <c r="AL18" s="46" t="str">
        <f>IF(Prelim!AJ18&lt;&gt;"",IF(AJ18&lt;&gt;"",AJ18*0.7+Prelim!AJ18*0.3,""),"")</f>
        <v/>
      </c>
    </row>
    <row r="19" spans="1:38" ht="12" customHeight="1" thickBot="1" x14ac:dyDescent="0.35">
      <c r="A19" s="54"/>
      <c r="B19" s="60"/>
      <c r="C19" s="214"/>
      <c r="D19" s="42" t="str">
        <f>IF(AND(B19&lt;&gt;""),IF($C$9&lt;&gt;0,VLOOKUP(C19/$C$9*100,TRANSMUTATION_TABLE!$A$2:$B$102,2),""),"")</f>
        <v/>
      </c>
      <c r="E19" s="214"/>
      <c r="F19" s="42" t="str">
        <f>IF(AND(B19&lt;&gt;""),IF($E$9&lt;&gt;0,VLOOKUP(E19/$E$9*100,TRANSMUTATION_TABLE!$A$2:$B$102,2),""),"")</f>
        <v/>
      </c>
      <c r="G19" s="214"/>
      <c r="H19" s="42" t="str">
        <f>IF(AND(B19&lt;&gt;""),IF($G$9&lt;&gt;0,VLOOKUP(G19/$G$9*100,TRANSMUTATION_TABLE!$A$2:$B$102,2),""),"")</f>
        <v/>
      </c>
      <c r="I19" s="214"/>
      <c r="J19" s="43" t="str">
        <f>IF(AND(B19&lt;&gt;""),IF($I$9&lt;&gt;0,VLOOKUP(I19/$I$9*100,TRANSMUTATION_TABLE!$A$2:$B$102,2),""),"")</f>
        <v/>
      </c>
      <c r="K19" s="48" t="str">
        <f t="shared" si="0"/>
        <v/>
      </c>
      <c r="L19" s="214"/>
      <c r="M19" s="42" t="str">
        <f>IF(AND(B19&lt;&gt;""),IF($L$9&lt;&gt;0,VLOOKUP(L19/$L$9*100,TRANSMUTATION_TABLE!$A$2:$B$102,2),""),"")</f>
        <v/>
      </c>
      <c r="N19" s="214"/>
      <c r="O19" s="42" t="str">
        <f>IF(AND(B19&lt;&gt;""),IF($N$9&lt;&gt;0,VLOOKUP(N19/$N$9*100,TRANSMUTATION_TABLE!$A$2:$B$102,2),""),"")</f>
        <v/>
      </c>
      <c r="P19" s="214"/>
      <c r="Q19" s="42" t="str">
        <f>IF(AND(B19&lt;&gt;""),IF($P$9&lt;&gt;0,VLOOKUP(P19/$P$9*100,TRANSMUTATION_TABLE!$A$2:$B$102,2),""),"")</f>
        <v/>
      </c>
      <c r="R19" s="214"/>
      <c r="S19" s="43" t="str">
        <f>IF(AND(B19&lt;&gt;""),IF($R$9&lt;&gt;0,VLOOKUP(R19/$R$9*100,TRANSMUTATION_TABLE!$A$2:$B$102,2),""),"")</f>
        <v/>
      </c>
      <c r="T19" s="48" t="str">
        <f t="shared" si="1"/>
        <v/>
      </c>
      <c r="U19" s="214"/>
      <c r="V19" s="42" t="str">
        <f>IF(AND(B19&lt;&gt;""),IF($U$9&lt;&gt;0,VLOOKUP(U19/$U$9*100,TRANSMUTATION_TABLE!$A$2:$B$102,2),""),"")</f>
        <v/>
      </c>
      <c r="W19" s="214"/>
      <c r="X19" s="42" t="str">
        <f>IF(AND(B19&lt;&gt;""),IF($W$9&lt;&gt;0,VLOOKUP(W19/$W$9*100,TRANSMUTATION_TABLE!$A$2:$B$102,2),""),"")</f>
        <v/>
      </c>
      <c r="Y19" s="214"/>
      <c r="Z19" s="42" t="str">
        <f>IF(AND(B19&lt;&gt;""),IF($Y$9&lt;&gt;0,VLOOKUP(Y19/$Y$9*100,TRANSMUTATION_TABLE!$A$2:$B$102,2),""),"")</f>
        <v/>
      </c>
      <c r="AA19" s="214"/>
      <c r="AB19" s="43" t="str">
        <f>IF(AND(B19&lt;&gt;""),IF($AA$9&lt;&gt;0,VLOOKUP(AA19/$AA$9*100,TRANSMUTATION_TABLE!$A$2:$B$102,2),""),"")</f>
        <v/>
      </c>
      <c r="AC19" s="48" t="str">
        <f t="shared" si="2"/>
        <v/>
      </c>
      <c r="AD19" s="217"/>
      <c r="AE19" s="42" t="str">
        <f>IF(AND(B19&lt;&gt;""),IF($AD$9&lt;&gt;0,VLOOKUP(AD19/$AD$9*100,TRANSMUTATION_TABLE!$A$2:$B$102,2),""),"")</f>
        <v/>
      </c>
      <c r="AF19" s="50">
        <f>Attendance!AM16</f>
        <v>0</v>
      </c>
      <c r="AG19" s="42" t="str">
        <f>IF(AND(B19&lt;&gt;""),IF($AF$9&lt;&gt;0,VLOOKUP(AF19/$AF$9*100,TRANSMUTATION_TABLE!$A$2:$B$102,2),""),"")</f>
        <v/>
      </c>
      <c r="AH19" s="214"/>
      <c r="AI19" s="45" t="str">
        <f>IF(AND(B19&lt;&gt;""),IF($AH$9&lt;&gt;0,VLOOKUP(AH19/$AH$9*100,TRANSMUTATION_TABLE!$A$2:$B$102,2),""),"")</f>
        <v/>
      </c>
      <c r="AJ19" s="45" t="str">
        <f>IF(OR(K19&lt;&gt;"",T19&lt;&gt;"",AC19&lt;&gt;"",AI19&lt;&gt;"",AG19&lt;&gt;""),SUM(PRODUCT(K19,IF(Settings!$F$17&lt;&gt;0,Settings!$F$17/100,0)),PRODUCT(Midterm!T19,IF(Settings!$F$18&lt;&gt;0,Settings!$F$18/100,0)),PRODUCT(Midterm!AC19,IF(Settings!$F$19&lt;&gt;0,Settings!$F$19/100,0)),PRODUCT(Midterm!AG19,IF(Settings!$F$20&lt;&gt;0,Settings!$F$20/100,0)),PRODUCT(Midterm!AI19,IF(Settings!$F$21&lt;&gt;0,Settings!$F$21/100,0))),"")</f>
        <v/>
      </c>
      <c r="AK19" s="83" t="str">
        <f>Prelim!AJ19</f>
        <v/>
      </c>
      <c r="AL19" s="46" t="str">
        <f>IF(Prelim!AJ19&lt;&gt;"",IF(AJ19&lt;&gt;"",AJ19*0.7+Prelim!AJ19*0.3,""),"")</f>
        <v/>
      </c>
    </row>
    <row r="20" spans="1:38" ht="12" customHeight="1" thickBot="1" x14ac:dyDescent="0.35">
      <c r="A20" s="47"/>
      <c r="B20" s="60"/>
      <c r="C20" s="31"/>
      <c r="D20" s="42" t="str">
        <f>IF(AND(B20&lt;&gt;""),IF($C$9&lt;&gt;0,VLOOKUP(C20/$C$9*100,TRANSMUTATION_TABLE!$A$2:$B$102,2),""),"")</f>
        <v/>
      </c>
      <c r="E20" s="31"/>
      <c r="F20" s="42" t="str">
        <f>IF(AND(B20&lt;&gt;""),IF($E$9&lt;&gt;0,VLOOKUP(E20/$E$9*100,TRANSMUTATION_TABLE!$A$2:$B$102,2),""),"")</f>
        <v/>
      </c>
      <c r="G20" s="31"/>
      <c r="H20" s="42" t="str">
        <f>IF(AND(B20&lt;&gt;""),IF($G$9&lt;&gt;0,VLOOKUP(G20/$G$9*100,TRANSMUTATION_TABLE!$A$2:$B$102,2),""),"")</f>
        <v/>
      </c>
      <c r="I20" s="31"/>
      <c r="J20" s="43" t="str">
        <f>IF(AND(B20&lt;&gt;""),IF($I$9&lt;&gt;0,VLOOKUP(I20/$I$9*100,TRANSMUTATION_TABLE!$A$2:$B$102,2),""),"")</f>
        <v/>
      </c>
      <c r="K20" s="48" t="str">
        <f t="shared" si="0"/>
        <v/>
      </c>
      <c r="L20" s="31"/>
      <c r="M20" s="42" t="str">
        <f>IF(AND(B20&lt;&gt;""),IF($L$9&lt;&gt;0,VLOOKUP(L20/$L$9*100,TRANSMUTATION_TABLE!$A$2:$B$102,2),""),"")</f>
        <v/>
      </c>
      <c r="N20" s="31"/>
      <c r="O20" s="42" t="str">
        <f>IF(AND(B20&lt;&gt;""),IF($N$9&lt;&gt;0,VLOOKUP(N20/$N$9*100,TRANSMUTATION_TABLE!$A$2:$B$102,2),""),"")</f>
        <v/>
      </c>
      <c r="P20" s="31"/>
      <c r="Q20" s="42" t="str">
        <f>IF(AND(B20&lt;&gt;""),IF($P$9&lt;&gt;0,VLOOKUP(P20/$P$9*100,TRANSMUTATION_TABLE!$A$2:$B$102,2),""),"")</f>
        <v/>
      </c>
      <c r="R20" s="31"/>
      <c r="S20" s="43" t="str">
        <f>IF(AND(B20&lt;&gt;""),IF($R$9&lt;&gt;0,VLOOKUP(R20/$R$9*100,TRANSMUTATION_TABLE!$A$2:$B$102,2),""),"")</f>
        <v/>
      </c>
      <c r="T20" s="48" t="str">
        <f t="shared" si="1"/>
        <v/>
      </c>
      <c r="U20" s="31"/>
      <c r="V20" s="42" t="str">
        <f>IF(AND(B20&lt;&gt;""),IF($U$9&lt;&gt;0,VLOOKUP(U20/$U$9*100,TRANSMUTATION_TABLE!$A$2:$B$102,2),""),"")</f>
        <v/>
      </c>
      <c r="W20" s="31"/>
      <c r="X20" s="42" t="str">
        <f>IF(AND(B20&lt;&gt;""),IF($W$9&lt;&gt;0,VLOOKUP(W20/$W$9*100,TRANSMUTATION_TABLE!$A$2:$B$102,2),""),"")</f>
        <v/>
      </c>
      <c r="Y20" s="31"/>
      <c r="Z20" s="42" t="str">
        <f>IF(AND(B20&lt;&gt;""),IF($Y$9&lt;&gt;0,VLOOKUP(Y20/$Y$9*100,TRANSMUTATION_TABLE!$A$2:$B$102,2),""),"")</f>
        <v/>
      </c>
      <c r="AA20" s="31"/>
      <c r="AB20" s="43" t="str">
        <f>IF(AND(B20&lt;&gt;""),IF($AA$9&lt;&gt;0,VLOOKUP(AA20/$AA$9*100,TRANSMUTATION_TABLE!$A$2:$B$102,2),""),"")</f>
        <v/>
      </c>
      <c r="AC20" s="48" t="str">
        <f t="shared" si="2"/>
        <v/>
      </c>
      <c r="AD20" s="218"/>
      <c r="AE20" s="42" t="str">
        <f>IF(AND(B20&lt;&gt;""),IF($AD$9&lt;&gt;0,VLOOKUP(AD20/$AD$9*100,TRANSMUTATION_TABLE!$A$2:$B$102,2),""),"")</f>
        <v/>
      </c>
      <c r="AF20" s="50">
        <f>Attendance!AM17</f>
        <v>0</v>
      </c>
      <c r="AG20" s="42" t="str">
        <f>IF(AND(B20&lt;&gt;""),IF($AF$9&lt;&gt;0,VLOOKUP(AF20/$AF$9*100,TRANSMUTATION_TABLE!$A$2:$B$102,2),""),"")</f>
        <v/>
      </c>
      <c r="AH20" s="31"/>
      <c r="AI20" s="45" t="str">
        <f>IF(AND(B20&lt;&gt;""),IF($AH$9&lt;&gt;0,VLOOKUP(AH20/$AH$9*100,TRANSMUTATION_TABLE!$A$2:$B$102,2),""),"")</f>
        <v/>
      </c>
      <c r="AJ20" s="45" t="str">
        <f>IF(OR(K20&lt;&gt;"",T20&lt;&gt;"",AC20&lt;&gt;"",AI20&lt;&gt;"",AG20&lt;&gt;""),SUM(PRODUCT(K20,IF(Settings!$F$17&lt;&gt;0,Settings!$F$17/100,0)),PRODUCT(Midterm!T20,IF(Settings!$F$18&lt;&gt;0,Settings!$F$18/100,0)),PRODUCT(Midterm!AC20,IF(Settings!$F$19&lt;&gt;0,Settings!$F$19/100,0)),PRODUCT(Midterm!AG20,IF(Settings!$F$20&lt;&gt;0,Settings!$F$20/100,0)),PRODUCT(Midterm!AI20,IF(Settings!$F$21&lt;&gt;0,Settings!$F$21/100,0))),"")</f>
        <v/>
      </c>
      <c r="AK20" s="83" t="str">
        <f>Prelim!AJ20</f>
        <v/>
      </c>
      <c r="AL20" s="46" t="str">
        <f>IF(Prelim!AJ20&lt;&gt;"",IF(AJ20&lt;&gt;"",AJ20*0.7+Prelim!AJ20*0.3,""),"")</f>
        <v/>
      </c>
    </row>
    <row r="21" spans="1:38" ht="12" customHeight="1" thickBot="1" x14ac:dyDescent="0.35">
      <c r="A21" s="52"/>
      <c r="B21" s="60"/>
      <c r="C21" s="31"/>
      <c r="D21" s="42" t="str">
        <f>IF(AND(B21&lt;&gt;""),IF($C$9&lt;&gt;0,VLOOKUP(C21/$C$9*100,TRANSMUTATION_TABLE!$A$2:$B$102,2),""),"")</f>
        <v/>
      </c>
      <c r="E21" s="31"/>
      <c r="F21" s="42" t="str">
        <f>IF(AND(B21&lt;&gt;""),IF($E$9&lt;&gt;0,VLOOKUP(E21/$E$9*100,TRANSMUTATION_TABLE!$A$2:$B$102,2),""),"")</f>
        <v/>
      </c>
      <c r="G21" s="31"/>
      <c r="H21" s="42" t="str">
        <f>IF(AND(B21&lt;&gt;""),IF($G$9&lt;&gt;0,VLOOKUP(G21/$G$9*100,TRANSMUTATION_TABLE!$A$2:$B$102,2),""),"")</f>
        <v/>
      </c>
      <c r="I21" s="31"/>
      <c r="J21" s="43" t="str">
        <f>IF(AND(B21&lt;&gt;""),IF($I$9&lt;&gt;0,VLOOKUP(I21/$I$9*100,TRANSMUTATION_TABLE!$A$2:$B$102,2),""),"")</f>
        <v/>
      </c>
      <c r="K21" s="48" t="str">
        <f t="shared" si="0"/>
        <v/>
      </c>
      <c r="L21" s="31"/>
      <c r="M21" s="42" t="str">
        <f>IF(AND(B21&lt;&gt;""),IF($L$9&lt;&gt;0,VLOOKUP(L21/$L$9*100,TRANSMUTATION_TABLE!$A$2:$B$102,2),""),"")</f>
        <v/>
      </c>
      <c r="N21" s="31"/>
      <c r="O21" s="42" t="str">
        <f>IF(AND(B21&lt;&gt;""),IF($N$9&lt;&gt;0,VLOOKUP(N21/$N$9*100,TRANSMUTATION_TABLE!$A$2:$B$102,2),""),"")</f>
        <v/>
      </c>
      <c r="P21" s="31"/>
      <c r="Q21" s="42" t="str">
        <f>IF(AND(B21&lt;&gt;""),IF($P$9&lt;&gt;0,VLOOKUP(P21/$P$9*100,TRANSMUTATION_TABLE!$A$2:$B$102,2),""),"")</f>
        <v/>
      </c>
      <c r="R21" s="31"/>
      <c r="S21" s="43" t="str">
        <f>IF(AND(B21&lt;&gt;""),IF($R$9&lt;&gt;0,VLOOKUP(R21/$R$9*100,TRANSMUTATION_TABLE!$A$2:$B$102,2),""),"")</f>
        <v/>
      </c>
      <c r="T21" s="48" t="str">
        <f t="shared" si="1"/>
        <v/>
      </c>
      <c r="U21" s="31"/>
      <c r="V21" s="42" t="str">
        <f>IF(AND(B21&lt;&gt;""),IF($U$9&lt;&gt;0,VLOOKUP(U21/$U$9*100,TRANSMUTATION_TABLE!$A$2:$B$102,2),""),"")</f>
        <v/>
      </c>
      <c r="W21" s="31"/>
      <c r="X21" s="42" t="str">
        <f>IF(AND(B21&lt;&gt;""),IF($W$9&lt;&gt;0,VLOOKUP(W21/$W$9*100,TRANSMUTATION_TABLE!$A$2:$B$102,2),""),"")</f>
        <v/>
      </c>
      <c r="Y21" s="31"/>
      <c r="Z21" s="42" t="str">
        <f>IF(AND(B21&lt;&gt;""),IF($Y$9&lt;&gt;0,VLOOKUP(Y21/$Y$9*100,TRANSMUTATION_TABLE!$A$2:$B$102,2),""),"")</f>
        <v/>
      </c>
      <c r="AA21" s="31"/>
      <c r="AB21" s="43" t="str">
        <f>IF(AND(B21&lt;&gt;""),IF($AA$9&lt;&gt;0,VLOOKUP(AA21/$AA$9*100,TRANSMUTATION_TABLE!$A$2:$B$102,2),""),"")</f>
        <v/>
      </c>
      <c r="AC21" s="48" t="str">
        <f t="shared" si="2"/>
        <v/>
      </c>
      <c r="AD21" s="216"/>
      <c r="AE21" s="42" t="str">
        <f>IF(AND(B21&lt;&gt;""),IF($AD$9&lt;&gt;0,VLOOKUP(AD21/$AD$9*100,TRANSMUTATION_TABLE!$A$2:$B$102,2),""),"")</f>
        <v/>
      </c>
      <c r="AF21" s="50">
        <f>Attendance!AM18</f>
        <v>0</v>
      </c>
      <c r="AG21" s="42" t="str">
        <f>IF(AND(B21&lt;&gt;""),IF($AF$9&lt;&gt;0,VLOOKUP(AF21/$AF$9*100,TRANSMUTATION_TABLE!$A$2:$B$102,2),""),"")</f>
        <v/>
      </c>
      <c r="AH21" s="31"/>
      <c r="AI21" s="45" t="str">
        <f>IF(AND(B21&lt;&gt;""),IF($AH$9&lt;&gt;0,VLOOKUP(AH21/$AH$9*100,TRANSMUTATION_TABLE!$A$2:$B$102,2),""),"")</f>
        <v/>
      </c>
      <c r="AJ21" s="45" t="str">
        <f>IF(OR(K21&lt;&gt;"",T21&lt;&gt;"",AC21&lt;&gt;"",AI21&lt;&gt;"",AG21&lt;&gt;""),SUM(PRODUCT(K21,IF(Settings!$F$17&lt;&gt;0,Settings!$F$17/100,0)),PRODUCT(Midterm!T21,IF(Settings!$F$18&lt;&gt;0,Settings!$F$18/100,0)),PRODUCT(Midterm!AC21,IF(Settings!$F$19&lt;&gt;0,Settings!$F$19/100,0)),PRODUCT(Midterm!AG21,IF(Settings!$F$20&lt;&gt;0,Settings!$F$20/100,0)),PRODUCT(Midterm!AI21,IF(Settings!$F$21&lt;&gt;0,Settings!$F$21/100,0))),"")</f>
        <v/>
      </c>
      <c r="AK21" s="83" t="str">
        <f>Prelim!AJ21</f>
        <v/>
      </c>
      <c r="AL21" s="46" t="str">
        <f>IF(Prelim!AJ21&lt;&gt;"",IF(AJ21&lt;&gt;"",AJ21*0.7+Prelim!AJ21*0.3,""),"")</f>
        <v/>
      </c>
    </row>
    <row r="22" spans="1:38" ht="12" customHeight="1" thickBot="1" x14ac:dyDescent="0.35">
      <c r="A22" s="52"/>
      <c r="B22" s="60"/>
      <c r="C22" s="31"/>
      <c r="D22" s="42" t="str">
        <f>IF(AND(B22&lt;&gt;""),IF($C$9&lt;&gt;0,VLOOKUP(C22/$C$9*100,TRANSMUTATION_TABLE!$A$2:$B$102,2),""),"")</f>
        <v/>
      </c>
      <c r="E22" s="31"/>
      <c r="F22" s="42" t="str">
        <f>IF(AND(B22&lt;&gt;""),IF($E$9&lt;&gt;0,VLOOKUP(E22/$E$9*100,TRANSMUTATION_TABLE!$A$2:$B$102,2),""),"")</f>
        <v/>
      </c>
      <c r="G22" s="31"/>
      <c r="H22" s="42" t="str">
        <f>IF(AND(B22&lt;&gt;""),IF($G$9&lt;&gt;0,VLOOKUP(G22/$G$9*100,TRANSMUTATION_TABLE!$A$2:$B$102,2),""),"")</f>
        <v/>
      </c>
      <c r="I22" s="31"/>
      <c r="J22" s="43" t="str">
        <f>IF(AND(B22&lt;&gt;""),IF($I$9&lt;&gt;0,VLOOKUP(I22/$I$9*100,TRANSMUTATION_TABLE!$A$2:$B$102,2),""),"")</f>
        <v/>
      </c>
      <c r="K22" s="48" t="str">
        <f t="shared" si="0"/>
        <v/>
      </c>
      <c r="L22" s="31"/>
      <c r="M22" s="42" t="str">
        <f>IF(AND(B22&lt;&gt;""),IF($L$9&lt;&gt;0,VLOOKUP(L22/$L$9*100,TRANSMUTATION_TABLE!$A$2:$B$102,2),""),"")</f>
        <v/>
      </c>
      <c r="N22" s="31"/>
      <c r="O22" s="42" t="str">
        <f>IF(AND(B22&lt;&gt;""),IF($N$9&lt;&gt;0,VLOOKUP(N22/$N$9*100,TRANSMUTATION_TABLE!$A$2:$B$102,2),""),"")</f>
        <v/>
      </c>
      <c r="P22" s="31"/>
      <c r="Q22" s="42" t="str">
        <f>IF(AND(B22&lt;&gt;""),IF($P$9&lt;&gt;0,VLOOKUP(P22/$P$9*100,TRANSMUTATION_TABLE!$A$2:$B$102,2),""),"")</f>
        <v/>
      </c>
      <c r="R22" s="31"/>
      <c r="S22" s="43" t="str">
        <f>IF(AND(B22&lt;&gt;""),IF($R$9&lt;&gt;0,VLOOKUP(R22/$R$9*100,TRANSMUTATION_TABLE!$A$2:$B$102,2),""),"")</f>
        <v/>
      </c>
      <c r="T22" s="48" t="str">
        <f t="shared" si="1"/>
        <v/>
      </c>
      <c r="U22" s="31"/>
      <c r="V22" s="42" t="str">
        <f>IF(AND(B22&lt;&gt;""),IF($U$9&lt;&gt;0,VLOOKUP(U22/$U$9*100,TRANSMUTATION_TABLE!$A$2:$B$102,2),""),"")</f>
        <v/>
      </c>
      <c r="W22" s="31"/>
      <c r="X22" s="42" t="str">
        <f>IF(AND(B22&lt;&gt;""),IF($W$9&lt;&gt;0,VLOOKUP(W22/$W$9*100,TRANSMUTATION_TABLE!$A$2:$B$102,2),""),"")</f>
        <v/>
      </c>
      <c r="Y22" s="31"/>
      <c r="Z22" s="42" t="str">
        <f>IF(AND(B22&lt;&gt;""),IF($Y$9&lt;&gt;0,VLOOKUP(Y22/$Y$9*100,TRANSMUTATION_TABLE!$A$2:$B$102,2),""),"")</f>
        <v/>
      </c>
      <c r="AA22" s="31"/>
      <c r="AB22" s="43" t="str">
        <f>IF(AND(B22&lt;&gt;""),IF($AA$9&lt;&gt;0,VLOOKUP(AA22/$AA$9*100,TRANSMUTATION_TABLE!$A$2:$B$102,2),""),"")</f>
        <v/>
      </c>
      <c r="AC22" s="48" t="str">
        <f t="shared" si="2"/>
        <v/>
      </c>
      <c r="AD22" s="216"/>
      <c r="AE22" s="42" t="str">
        <f>IF(AND(B22&lt;&gt;""),IF($AD$9&lt;&gt;0,VLOOKUP(AD22/$AD$9*100,TRANSMUTATION_TABLE!$A$2:$B$102,2),""),"")</f>
        <v/>
      </c>
      <c r="AF22" s="50">
        <f>Attendance!AM19</f>
        <v>0</v>
      </c>
      <c r="AG22" s="42" t="str">
        <f>IF(AND(B22&lt;&gt;""),IF($AF$9&lt;&gt;0,VLOOKUP(AF22/$AF$9*100,TRANSMUTATION_TABLE!$A$2:$B$102,2),""),"")</f>
        <v/>
      </c>
      <c r="AH22" s="31"/>
      <c r="AI22" s="45" t="str">
        <f>IF(AND(B22&lt;&gt;""),IF($AH$9&lt;&gt;0,VLOOKUP(AH22/$AH$9*100,TRANSMUTATION_TABLE!$A$2:$B$102,2),""),"")</f>
        <v/>
      </c>
      <c r="AJ22" s="45" t="str">
        <f>IF(OR(K22&lt;&gt;"",T22&lt;&gt;"",AC22&lt;&gt;"",AI22&lt;&gt;"",AG22&lt;&gt;""),SUM(PRODUCT(K22,IF(Settings!$F$17&lt;&gt;0,Settings!$F$17/100,0)),PRODUCT(Midterm!T22,IF(Settings!$F$18&lt;&gt;0,Settings!$F$18/100,0)),PRODUCT(Midterm!AC22,IF(Settings!$F$19&lt;&gt;0,Settings!$F$19/100,0)),PRODUCT(Midterm!AG22,IF(Settings!$F$20&lt;&gt;0,Settings!$F$20/100,0)),PRODUCT(Midterm!AI22,IF(Settings!$F$21&lt;&gt;0,Settings!$F$21/100,0))),"")</f>
        <v/>
      </c>
      <c r="AK22" s="83" t="str">
        <f>Prelim!AJ22</f>
        <v/>
      </c>
      <c r="AL22" s="46" t="str">
        <f>IF(Prelim!AJ22&lt;&gt;"",IF(AJ22&lt;&gt;"",AJ22*0.7+Prelim!AJ22*0.3,""),"")</f>
        <v/>
      </c>
    </row>
    <row r="23" spans="1:38" ht="12" customHeight="1" thickBot="1" x14ac:dyDescent="0.35">
      <c r="A23" s="52"/>
      <c r="B23" s="60"/>
      <c r="C23" s="31"/>
      <c r="D23" s="42" t="str">
        <f>IF(AND(B23&lt;&gt;""),IF($C$9&lt;&gt;0,VLOOKUP(C23/$C$9*100,TRANSMUTATION_TABLE!$A$2:$B$102,2),""),"")</f>
        <v/>
      </c>
      <c r="E23" s="31"/>
      <c r="F23" s="42" t="str">
        <f>IF(AND(B23&lt;&gt;""),IF($E$9&lt;&gt;0,VLOOKUP(E23/$E$9*100,TRANSMUTATION_TABLE!$A$2:$B$102,2),""),"")</f>
        <v/>
      </c>
      <c r="G23" s="31"/>
      <c r="H23" s="42" t="str">
        <f>IF(AND(B23&lt;&gt;""),IF($G$9&lt;&gt;0,VLOOKUP(G23/$G$9*100,TRANSMUTATION_TABLE!$A$2:$B$102,2),""),"")</f>
        <v/>
      </c>
      <c r="I23" s="31"/>
      <c r="J23" s="43" t="str">
        <f>IF(AND(B23&lt;&gt;""),IF($I$9&lt;&gt;0,VLOOKUP(I23/$I$9*100,TRANSMUTATION_TABLE!$A$2:$B$102,2),""),"")</f>
        <v/>
      </c>
      <c r="K23" s="48" t="str">
        <f t="shared" si="0"/>
        <v/>
      </c>
      <c r="L23" s="31"/>
      <c r="M23" s="42" t="str">
        <f>IF(AND(B23&lt;&gt;""),IF($L$9&lt;&gt;0,VLOOKUP(L23/$L$9*100,TRANSMUTATION_TABLE!$A$2:$B$102,2),""),"")</f>
        <v/>
      </c>
      <c r="N23" s="31"/>
      <c r="O23" s="42" t="str">
        <f>IF(AND(B23&lt;&gt;""),IF($N$9&lt;&gt;0,VLOOKUP(N23/$N$9*100,TRANSMUTATION_TABLE!$A$2:$B$102,2),""),"")</f>
        <v/>
      </c>
      <c r="P23" s="31"/>
      <c r="Q23" s="42" t="str">
        <f>IF(AND(B23&lt;&gt;""),IF($P$9&lt;&gt;0,VLOOKUP(P23/$P$9*100,TRANSMUTATION_TABLE!$A$2:$B$102,2),""),"")</f>
        <v/>
      </c>
      <c r="R23" s="31"/>
      <c r="S23" s="43" t="str">
        <f>IF(AND(B23&lt;&gt;""),IF($R$9&lt;&gt;0,VLOOKUP(R23/$R$9*100,TRANSMUTATION_TABLE!$A$2:$B$102,2),""),"")</f>
        <v/>
      </c>
      <c r="T23" s="48" t="str">
        <f t="shared" si="1"/>
        <v/>
      </c>
      <c r="U23" s="31"/>
      <c r="V23" s="42" t="str">
        <f>IF(AND(B23&lt;&gt;""),IF($U$9&lt;&gt;0,VLOOKUP(U23/$U$9*100,TRANSMUTATION_TABLE!$A$2:$B$102,2),""),"")</f>
        <v/>
      </c>
      <c r="W23" s="31"/>
      <c r="X23" s="42" t="str">
        <f>IF(AND(B23&lt;&gt;""),IF($W$9&lt;&gt;0,VLOOKUP(W23/$W$9*100,TRANSMUTATION_TABLE!$A$2:$B$102,2),""),"")</f>
        <v/>
      </c>
      <c r="Y23" s="31"/>
      <c r="Z23" s="42" t="str">
        <f>IF(AND(B23&lt;&gt;""),IF($Y$9&lt;&gt;0,VLOOKUP(Y23/$Y$9*100,TRANSMUTATION_TABLE!$A$2:$B$102,2),""),"")</f>
        <v/>
      </c>
      <c r="AA23" s="31"/>
      <c r="AB23" s="43" t="str">
        <f>IF(AND(B23&lt;&gt;""),IF($AA$9&lt;&gt;0,VLOOKUP(AA23/$AA$9*100,TRANSMUTATION_TABLE!$A$2:$B$102,2),""),"")</f>
        <v/>
      </c>
      <c r="AC23" s="48" t="str">
        <f t="shared" si="2"/>
        <v/>
      </c>
      <c r="AD23" s="216"/>
      <c r="AE23" s="42" t="str">
        <f>IF(AND(B23&lt;&gt;""),IF($AD$9&lt;&gt;0,VLOOKUP(AD23/$AD$9*100,TRANSMUTATION_TABLE!$A$2:$B$102,2),""),"")</f>
        <v/>
      </c>
      <c r="AF23" s="50">
        <f>Attendance!AM20</f>
        <v>0</v>
      </c>
      <c r="AG23" s="42" t="str">
        <f>IF(AND(B23&lt;&gt;""),IF($AF$9&lt;&gt;0,VLOOKUP(AF23/$AF$9*100,TRANSMUTATION_TABLE!$A$2:$B$102,2),""),"")</f>
        <v/>
      </c>
      <c r="AH23" s="31"/>
      <c r="AI23" s="45" t="str">
        <f>IF(AND(B23&lt;&gt;""),IF($AH$9&lt;&gt;0,VLOOKUP(AH23/$AH$9*100,TRANSMUTATION_TABLE!$A$2:$B$102,2),""),"")</f>
        <v/>
      </c>
      <c r="AJ23" s="45" t="str">
        <f>IF(OR(K23&lt;&gt;"",T23&lt;&gt;"",AC23&lt;&gt;"",AI23&lt;&gt;"",AG23&lt;&gt;""),SUM(PRODUCT(K23,IF(Settings!$F$17&lt;&gt;0,Settings!$F$17/100,0)),PRODUCT(Midterm!T23,IF(Settings!$F$18&lt;&gt;0,Settings!$F$18/100,0)),PRODUCT(Midterm!AC23,IF(Settings!$F$19&lt;&gt;0,Settings!$F$19/100,0)),PRODUCT(Midterm!AG23,IF(Settings!$F$20&lt;&gt;0,Settings!$F$20/100,0)),PRODUCT(Midterm!AI23,IF(Settings!$F$21&lt;&gt;0,Settings!$F$21/100,0))),"")</f>
        <v/>
      </c>
      <c r="AK23" s="83" t="str">
        <f>Prelim!AJ23</f>
        <v/>
      </c>
      <c r="AL23" s="46" t="str">
        <f>IF(Prelim!AJ23&lt;&gt;"",IF(AJ23&lt;&gt;"",AJ23*0.7+Prelim!AJ23*0.3,""),"")</f>
        <v/>
      </c>
    </row>
    <row r="24" spans="1:38" ht="12" customHeight="1" thickBot="1" x14ac:dyDescent="0.35">
      <c r="A24" s="54"/>
      <c r="B24" s="60"/>
      <c r="C24" s="214"/>
      <c r="D24" s="42" t="str">
        <f>IF(AND(B24&lt;&gt;""),IF($C$9&lt;&gt;0,VLOOKUP(C24/$C$9*100,TRANSMUTATION_TABLE!$A$2:$B$102,2),""),"")</f>
        <v/>
      </c>
      <c r="E24" s="214"/>
      <c r="F24" s="42" t="str">
        <f>IF(AND(B24&lt;&gt;""),IF($E$9&lt;&gt;0,VLOOKUP(E24/$E$9*100,TRANSMUTATION_TABLE!$A$2:$B$102,2),""),"")</f>
        <v/>
      </c>
      <c r="G24" s="214"/>
      <c r="H24" s="42" t="str">
        <f>IF(AND(B24&lt;&gt;""),IF($G$9&lt;&gt;0,VLOOKUP(G24/$G$9*100,TRANSMUTATION_TABLE!$A$2:$B$102,2),""),"")</f>
        <v/>
      </c>
      <c r="I24" s="214"/>
      <c r="J24" s="43" t="str">
        <f>IF(AND(B24&lt;&gt;""),IF($I$9&lt;&gt;0,VLOOKUP(I24/$I$9*100,TRANSMUTATION_TABLE!$A$2:$B$102,2),""),"")</f>
        <v/>
      </c>
      <c r="K24" s="48" t="str">
        <f t="shared" si="0"/>
        <v/>
      </c>
      <c r="L24" s="214"/>
      <c r="M24" s="42" t="str">
        <f>IF(AND(B24&lt;&gt;""),IF($L$9&lt;&gt;0,VLOOKUP(L24/$L$9*100,TRANSMUTATION_TABLE!$A$2:$B$102,2),""),"")</f>
        <v/>
      </c>
      <c r="N24" s="214"/>
      <c r="O24" s="42" t="str">
        <f>IF(AND(B24&lt;&gt;""),IF($N$9&lt;&gt;0,VLOOKUP(N24/$N$9*100,TRANSMUTATION_TABLE!$A$2:$B$102,2),""),"")</f>
        <v/>
      </c>
      <c r="P24" s="214"/>
      <c r="Q24" s="42" t="str">
        <f>IF(AND(B24&lt;&gt;""),IF($P$9&lt;&gt;0,VLOOKUP(P24/$P$9*100,TRANSMUTATION_TABLE!$A$2:$B$102,2),""),"")</f>
        <v/>
      </c>
      <c r="R24" s="214"/>
      <c r="S24" s="43" t="str">
        <f>IF(AND(B24&lt;&gt;""),IF($R$9&lt;&gt;0,VLOOKUP(R24/$R$9*100,TRANSMUTATION_TABLE!$A$2:$B$102,2),""),"")</f>
        <v/>
      </c>
      <c r="T24" s="48" t="str">
        <f t="shared" si="1"/>
        <v/>
      </c>
      <c r="U24" s="214"/>
      <c r="V24" s="42" t="str">
        <f>IF(AND(B24&lt;&gt;""),IF($U$9&lt;&gt;0,VLOOKUP(U24/$U$9*100,TRANSMUTATION_TABLE!$A$2:$B$102,2),""),"")</f>
        <v/>
      </c>
      <c r="W24" s="214"/>
      <c r="X24" s="42" t="str">
        <f>IF(AND(B24&lt;&gt;""),IF($W$9&lt;&gt;0,VLOOKUP(W24/$W$9*100,TRANSMUTATION_TABLE!$A$2:$B$102,2),""),"")</f>
        <v/>
      </c>
      <c r="Y24" s="214"/>
      <c r="Z24" s="42" t="str">
        <f>IF(AND(B24&lt;&gt;""),IF($Y$9&lt;&gt;0,VLOOKUP(Y24/$Y$9*100,TRANSMUTATION_TABLE!$A$2:$B$102,2),""),"")</f>
        <v/>
      </c>
      <c r="AA24" s="214"/>
      <c r="AB24" s="43" t="str">
        <f>IF(AND(B24&lt;&gt;""),IF($AA$9&lt;&gt;0,VLOOKUP(AA24/$AA$9*100,TRANSMUTATION_TABLE!$A$2:$B$102,2),""),"")</f>
        <v/>
      </c>
      <c r="AC24" s="48" t="str">
        <f t="shared" si="2"/>
        <v/>
      </c>
      <c r="AD24" s="217"/>
      <c r="AE24" s="42" t="str">
        <f>IF(AND(B24&lt;&gt;""),IF($AD$9&lt;&gt;0,VLOOKUP(AD24/$AD$9*100,TRANSMUTATION_TABLE!$A$2:$B$102,2),""),"")</f>
        <v/>
      </c>
      <c r="AF24" s="50">
        <f>Attendance!AM21</f>
        <v>0</v>
      </c>
      <c r="AG24" s="42" t="str">
        <f>IF(AND(B24&lt;&gt;""),IF($AF$9&lt;&gt;0,VLOOKUP(AF24/$AF$9*100,TRANSMUTATION_TABLE!$A$2:$B$102,2),""),"")</f>
        <v/>
      </c>
      <c r="AH24" s="214"/>
      <c r="AI24" s="45" t="str">
        <f>IF(AND(B24&lt;&gt;""),IF($AH$9&lt;&gt;0,VLOOKUP(AH24/$AH$9*100,TRANSMUTATION_TABLE!$A$2:$B$102,2),""),"")</f>
        <v/>
      </c>
      <c r="AJ24" s="45" t="str">
        <f>IF(OR(K24&lt;&gt;"",T24&lt;&gt;"",AC24&lt;&gt;"",AI24&lt;&gt;"",AG24&lt;&gt;""),SUM(PRODUCT(K24,IF(Settings!$F$17&lt;&gt;0,Settings!$F$17/100,0)),PRODUCT(Midterm!T24,IF(Settings!$F$18&lt;&gt;0,Settings!$F$18/100,0)),PRODUCT(Midterm!AC24,IF(Settings!$F$19&lt;&gt;0,Settings!$F$19/100,0)),PRODUCT(Midterm!AG24,IF(Settings!$F$20&lt;&gt;0,Settings!$F$20/100,0)),PRODUCT(Midterm!AI24,IF(Settings!$F$21&lt;&gt;0,Settings!$F$21/100,0))),"")</f>
        <v/>
      </c>
      <c r="AK24" s="83" t="str">
        <f>Prelim!AJ24</f>
        <v/>
      </c>
      <c r="AL24" s="46" t="str">
        <f>IF(Prelim!AJ24&lt;&gt;"",IF(AJ24&lt;&gt;"",AJ24*0.7+Prelim!AJ24*0.3,""),"")</f>
        <v/>
      </c>
    </row>
    <row r="25" spans="1:38" ht="12" customHeight="1" thickBot="1" x14ac:dyDescent="0.35">
      <c r="A25" s="47"/>
      <c r="B25" s="60"/>
      <c r="C25" s="31"/>
      <c r="D25" s="42" t="str">
        <f>IF(AND(B25&lt;&gt;""),IF($C$9&lt;&gt;0,VLOOKUP(C25/$C$9*100,TRANSMUTATION_TABLE!$A$2:$B$102,2),""),"")</f>
        <v/>
      </c>
      <c r="E25" s="31"/>
      <c r="F25" s="42" t="str">
        <f>IF(AND(B25&lt;&gt;""),IF($E$9&lt;&gt;0,VLOOKUP(E25/$E$9*100,TRANSMUTATION_TABLE!$A$2:$B$102,2),""),"")</f>
        <v/>
      </c>
      <c r="G25" s="31"/>
      <c r="H25" s="42" t="str">
        <f>IF(AND(B25&lt;&gt;""),IF($G$9&lt;&gt;0,VLOOKUP(G25/$G$9*100,TRANSMUTATION_TABLE!$A$2:$B$102,2),""),"")</f>
        <v/>
      </c>
      <c r="I25" s="31"/>
      <c r="J25" s="43" t="str">
        <f>IF(AND(B25&lt;&gt;""),IF($I$9&lt;&gt;0,VLOOKUP(I25/$I$9*100,TRANSMUTATION_TABLE!$A$2:$B$102,2),""),"")</f>
        <v/>
      </c>
      <c r="K25" s="48" t="str">
        <f t="shared" si="0"/>
        <v/>
      </c>
      <c r="L25" s="31"/>
      <c r="M25" s="42" t="str">
        <f>IF(AND(B25&lt;&gt;""),IF($L$9&lt;&gt;0,VLOOKUP(L25/$L$9*100,TRANSMUTATION_TABLE!$A$2:$B$102,2),""),"")</f>
        <v/>
      </c>
      <c r="N25" s="31"/>
      <c r="O25" s="42" t="str">
        <f>IF(AND(B25&lt;&gt;""),IF($N$9&lt;&gt;0,VLOOKUP(N25/$N$9*100,TRANSMUTATION_TABLE!$A$2:$B$102,2),""),"")</f>
        <v/>
      </c>
      <c r="P25" s="31"/>
      <c r="Q25" s="42" t="str">
        <f>IF(AND(B25&lt;&gt;""),IF($P$9&lt;&gt;0,VLOOKUP(P25/$P$9*100,TRANSMUTATION_TABLE!$A$2:$B$102,2),""),"")</f>
        <v/>
      </c>
      <c r="R25" s="31"/>
      <c r="S25" s="43" t="str">
        <f>IF(AND(B25&lt;&gt;""),IF($R$9&lt;&gt;0,VLOOKUP(R25/$R$9*100,TRANSMUTATION_TABLE!$A$2:$B$102,2),""),"")</f>
        <v/>
      </c>
      <c r="T25" s="48" t="str">
        <f t="shared" si="1"/>
        <v/>
      </c>
      <c r="U25" s="31"/>
      <c r="V25" s="42" t="str">
        <f>IF(AND(B25&lt;&gt;""),IF($U$9&lt;&gt;0,VLOOKUP(U25/$U$9*100,TRANSMUTATION_TABLE!$A$2:$B$102,2),""),"")</f>
        <v/>
      </c>
      <c r="W25" s="31"/>
      <c r="X25" s="42" t="str">
        <f>IF(AND(B25&lt;&gt;""),IF($W$9&lt;&gt;0,VLOOKUP(W25/$W$9*100,TRANSMUTATION_TABLE!$A$2:$B$102,2),""),"")</f>
        <v/>
      </c>
      <c r="Y25" s="31"/>
      <c r="Z25" s="42" t="str">
        <f>IF(AND(B25&lt;&gt;""),IF($Y$9&lt;&gt;0,VLOOKUP(Y25/$Y$9*100,TRANSMUTATION_TABLE!$A$2:$B$102,2),""),"")</f>
        <v/>
      </c>
      <c r="AA25" s="31"/>
      <c r="AB25" s="43" t="str">
        <f>IF(AND(B25&lt;&gt;""),IF($AA$9&lt;&gt;0,VLOOKUP(AA25/$AA$9*100,TRANSMUTATION_TABLE!$A$2:$B$102,2),""),"")</f>
        <v/>
      </c>
      <c r="AC25" s="48" t="str">
        <f t="shared" si="2"/>
        <v/>
      </c>
      <c r="AD25" s="218"/>
      <c r="AE25" s="42" t="str">
        <f>IF(AND(B25&lt;&gt;""),IF($AD$9&lt;&gt;0,VLOOKUP(AD25/$AD$9*100,TRANSMUTATION_TABLE!$A$2:$B$102,2),""),"")</f>
        <v/>
      </c>
      <c r="AF25" s="50">
        <f>Attendance!AM22</f>
        <v>0</v>
      </c>
      <c r="AG25" s="42" t="str">
        <f>IF(AND(B25&lt;&gt;""),IF($AF$9&lt;&gt;0,VLOOKUP(AF25/$AF$9*100,TRANSMUTATION_TABLE!$A$2:$B$102,2),""),"")</f>
        <v/>
      </c>
      <c r="AH25" s="31"/>
      <c r="AI25" s="45" t="str">
        <f>IF(AND(B25&lt;&gt;""),IF($AH$9&lt;&gt;0,VLOOKUP(AH25/$AH$9*100,TRANSMUTATION_TABLE!$A$2:$B$102,2),""),"")</f>
        <v/>
      </c>
      <c r="AJ25" s="45" t="str">
        <f>IF(OR(K25&lt;&gt;"",T25&lt;&gt;"",AC25&lt;&gt;"",AI25&lt;&gt;"",AG25&lt;&gt;""),SUM(PRODUCT(K25,IF(Settings!$F$17&lt;&gt;0,Settings!$F$17/100,0)),PRODUCT(Midterm!T25,IF(Settings!$F$18&lt;&gt;0,Settings!$F$18/100,0)),PRODUCT(Midterm!AC25,IF(Settings!$F$19&lt;&gt;0,Settings!$F$19/100,0)),PRODUCT(Midterm!AG25,IF(Settings!$F$20&lt;&gt;0,Settings!$F$20/100,0)),PRODUCT(Midterm!AI25,IF(Settings!$F$21&lt;&gt;0,Settings!$F$21/100,0))),"")</f>
        <v/>
      </c>
      <c r="AK25" s="83" t="str">
        <f>Prelim!AJ25</f>
        <v/>
      </c>
      <c r="AL25" s="46" t="str">
        <f>IF(Prelim!AJ25&lt;&gt;"",IF(AJ25&lt;&gt;"",AJ25*0.7+Prelim!AJ25*0.3,""),"")</f>
        <v/>
      </c>
    </row>
    <row r="26" spans="1:38" ht="12" customHeight="1" thickBot="1" x14ac:dyDescent="0.35">
      <c r="A26" s="52"/>
      <c r="B26" s="60"/>
      <c r="C26" s="31"/>
      <c r="D26" s="42" t="str">
        <f>IF(AND(B26&lt;&gt;""),IF($C$9&lt;&gt;0,VLOOKUP(C26/$C$9*100,TRANSMUTATION_TABLE!$A$2:$B$102,2),""),"")</f>
        <v/>
      </c>
      <c r="E26" s="31"/>
      <c r="F26" s="42" t="str">
        <f>IF(AND(B26&lt;&gt;""),IF($E$9&lt;&gt;0,VLOOKUP(E26/$E$9*100,TRANSMUTATION_TABLE!$A$2:$B$102,2),""),"")</f>
        <v/>
      </c>
      <c r="G26" s="31"/>
      <c r="H26" s="42" t="str">
        <f>IF(AND(B26&lt;&gt;""),IF($G$9&lt;&gt;0,VLOOKUP(G26/$G$9*100,TRANSMUTATION_TABLE!$A$2:$B$102,2),""),"")</f>
        <v/>
      </c>
      <c r="I26" s="31"/>
      <c r="J26" s="43" t="str">
        <f>IF(AND(B26&lt;&gt;""),IF($I$9&lt;&gt;0,VLOOKUP(I26/$I$9*100,TRANSMUTATION_TABLE!$A$2:$B$102,2),""),"")</f>
        <v/>
      </c>
      <c r="K26" s="48" t="str">
        <f t="shared" si="0"/>
        <v/>
      </c>
      <c r="L26" s="31"/>
      <c r="M26" s="42" t="str">
        <f>IF(AND(B26&lt;&gt;""),IF($L$9&lt;&gt;0,VLOOKUP(L26/$L$9*100,TRANSMUTATION_TABLE!$A$2:$B$102,2),""),"")</f>
        <v/>
      </c>
      <c r="N26" s="31"/>
      <c r="O26" s="42" t="str">
        <f>IF(AND(B26&lt;&gt;""),IF($N$9&lt;&gt;0,VLOOKUP(N26/$N$9*100,TRANSMUTATION_TABLE!$A$2:$B$102,2),""),"")</f>
        <v/>
      </c>
      <c r="P26" s="31"/>
      <c r="Q26" s="42" t="str">
        <f>IF(AND(B26&lt;&gt;""),IF($P$9&lt;&gt;0,VLOOKUP(P26/$P$9*100,TRANSMUTATION_TABLE!$A$2:$B$102,2),""),"")</f>
        <v/>
      </c>
      <c r="R26" s="31"/>
      <c r="S26" s="43" t="str">
        <f>IF(AND(B26&lt;&gt;""),IF($R$9&lt;&gt;0,VLOOKUP(R26/$R$9*100,TRANSMUTATION_TABLE!$A$2:$B$102,2),""),"")</f>
        <v/>
      </c>
      <c r="T26" s="48" t="str">
        <f t="shared" si="1"/>
        <v/>
      </c>
      <c r="U26" s="31"/>
      <c r="V26" s="42" t="str">
        <f>IF(AND(B26&lt;&gt;""),IF($U$9&lt;&gt;0,VLOOKUP(U26/$U$9*100,TRANSMUTATION_TABLE!$A$2:$B$102,2),""),"")</f>
        <v/>
      </c>
      <c r="W26" s="31"/>
      <c r="X26" s="42" t="str">
        <f>IF(AND(B26&lt;&gt;""),IF($W$9&lt;&gt;0,VLOOKUP(W26/$W$9*100,TRANSMUTATION_TABLE!$A$2:$B$102,2),""),"")</f>
        <v/>
      </c>
      <c r="Y26" s="31"/>
      <c r="Z26" s="42" t="str">
        <f>IF(AND(B26&lt;&gt;""),IF($Y$9&lt;&gt;0,VLOOKUP(Y26/$Y$9*100,TRANSMUTATION_TABLE!$A$2:$B$102,2),""),"")</f>
        <v/>
      </c>
      <c r="AA26" s="31"/>
      <c r="AB26" s="43" t="str">
        <f>IF(AND(B26&lt;&gt;""),IF($AA$9&lt;&gt;0,VLOOKUP(AA26/$AA$9*100,TRANSMUTATION_TABLE!$A$2:$B$102,2),""),"")</f>
        <v/>
      </c>
      <c r="AC26" s="48" t="str">
        <f t="shared" si="2"/>
        <v/>
      </c>
      <c r="AD26" s="216"/>
      <c r="AE26" s="42" t="str">
        <f>IF(AND(B26&lt;&gt;""),IF($AD$9&lt;&gt;0,VLOOKUP(AD26/$AD$9*100,TRANSMUTATION_TABLE!$A$2:$B$102,2),""),"")</f>
        <v/>
      </c>
      <c r="AF26" s="50">
        <f>Attendance!AM23</f>
        <v>0</v>
      </c>
      <c r="AG26" s="42" t="str">
        <f>IF(AND(B26&lt;&gt;""),IF($AF$9&lt;&gt;0,VLOOKUP(AF26/$AF$9*100,TRANSMUTATION_TABLE!$A$2:$B$102,2),""),"")</f>
        <v/>
      </c>
      <c r="AH26" s="31"/>
      <c r="AI26" s="45" t="str">
        <f>IF(AND(B26&lt;&gt;""),IF($AH$9&lt;&gt;0,VLOOKUP(AH26/$AH$9*100,TRANSMUTATION_TABLE!$A$2:$B$102,2),""),"")</f>
        <v/>
      </c>
      <c r="AJ26" s="45" t="str">
        <f>IF(OR(K26&lt;&gt;"",T26&lt;&gt;"",AC26&lt;&gt;"",AI26&lt;&gt;"",AG26&lt;&gt;""),SUM(PRODUCT(K26,IF(Settings!$F$17&lt;&gt;0,Settings!$F$17/100,0)),PRODUCT(Midterm!T26,IF(Settings!$F$18&lt;&gt;0,Settings!$F$18/100,0)),PRODUCT(Midterm!AC26,IF(Settings!$F$19&lt;&gt;0,Settings!$F$19/100,0)),PRODUCT(Midterm!AG26,IF(Settings!$F$20&lt;&gt;0,Settings!$F$20/100,0)),PRODUCT(Midterm!AI26,IF(Settings!$F$21&lt;&gt;0,Settings!$F$21/100,0))),"")</f>
        <v/>
      </c>
      <c r="AK26" s="83" t="str">
        <f>Prelim!AJ26</f>
        <v/>
      </c>
      <c r="AL26" s="46" t="str">
        <f>IF(Prelim!AJ26&lt;&gt;"",IF(AJ26&lt;&gt;"",AJ26*0.7+Prelim!AJ26*0.3,""),"")</f>
        <v/>
      </c>
    </row>
    <row r="27" spans="1:38" ht="12" customHeight="1" thickBot="1" x14ac:dyDescent="0.35">
      <c r="A27" s="52"/>
      <c r="B27" s="60"/>
      <c r="C27" s="31"/>
      <c r="D27" s="42" t="str">
        <f>IF(AND(B27&lt;&gt;""),IF($C$9&lt;&gt;0,VLOOKUP(C27/$C$9*100,TRANSMUTATION_TABLE!$A$2:$B$102,2),""),"")</f>
        <v/>
      </c>
      <c r="E27" s="31"/>
      <c r="F27" s="42" t="str">
        <f>IF(AND(B27&lt;&gt;""),IF($E$9&lt;&gt;0,VLOOKUP(E27/$E$9*100,TRANSMUTATION_TABLE!$A$2:$B$102,2),""),"")</f>
        <v/>
      </c>
      <c r="G27" s="31"/>
      <c r="H27" s="42" t="str">
        <f>IF(AND(B27&lt;&gt;""),IF($G$9&lt;&gt;0,VLOOKUP(G27/$G$9*100,TRANSMUTATION_TABLE!$A$2:$B$102,2),""),"")</f>
        <v/>
      </c>
      <c r="I27" s="31"/>
      <c r="J27" s="43" t="str">
        <f>IF(AND(B27&lt;&gt;""),IF($I$9&lt;&gt;0,VLOOKUP(I27/$I$9*100,TRANSMUTATION_TABLE!$A$2:$B$102,2),""),"")</f>
        <v/>
      </c>
      <c r="K27" s="48" t="str">
        <f t="shared" si="0"/>
        <v/>
      </c>
      <c r="L27" s="31"/>
      <c r="M27" s="42" t="str">
        <f>IF(AND(B27&lt;&gt;""),IF($L$9&lt;&gt;0,VLOOKUP(L27/$L$9*100,TRANSMUTATION_TABLE!$A$2:$B$102,2),""),"")</f>
        <v/>
      </c>
      <c r="N27" s="31"/>
      <c r="O27" s="42" t="str">
        <f>IF(AND(B27&lt;&gt;""),IF($N$9&lt;&gt;0,VLOOKUP(N27/$N$9*100,TRANSMUTATION_TABLE!$A$2:$B$102,2),""),"")</f>
        <v/>
      </c>
      <c r="P27" s="31"/>
      <c r="Q27" s="42" t="str">
        <f>IF(AND(B27&lt;&gt;""),IF($P$9&lt;&gt;0,VLOOKUP(P27/$P$9*100,TRANSMUTATION_TABLE!$A$2:$B$102,2),""),"")</f>
        <v/>
      </c>
      <c r="R27" s="31"/>
      <c r="S27" s="43" t="str">
        <f>IF(AND(B27&lt;&gt;""),IF($R$9&lt;&gt;0,VLOOKUP(R27/$R$9*100,TRANSMUTATION_TABLE!$A$2:$B$102,2),""),"")</f>
        <v/>
      </c>
      <c r="T27" s="48" t="str">
        <f t="shared" si="1"/>
        <v/>
      </c>
      <c r="U27" s="31"/>
      <c r="V27" s="42" t="str">
        <f>IF(AND(B27&lt;&gt;""),IF($U$9&lt;&gt;0,VLOOKUP(U27/$U$9*100,TRANSMUTATION_TABLE!$A$2:$B$102,2),""),"")</f>
        <v/>
      </c>
      <c r="W27" s="31"/>
      <c r="X27" s="42" t="str">
        <f>IF(AND(B27&lt;&gt;""),IF($W$9&lt;&gt;0,VLOOKUP(W27/$W$9*100,TRANSMUTATION_TABLE!$A$2:$B$102,2),""),"")</f>
        <v/>
      </c>
      <c r="Y27" s="31"/>
      <c r="Z27" s="42" t="str">
        <f>IF(AND(B27&lt;&gt;""),IF($Y$9&lt;&gt;0,VLOOKUP(Y27/$Y$9*100,TRANSMUTATION_TABLE!$A$2:$B$102,2),""),"")</f>
        <v/>
      </c>
      <c r="AA27" s="31"/>
      <c r="AB27" s="43" t="str">
        <f>IF(AND(B27&lt;&gt;""),IF($AA$9&lt;&gt;0,VLOOKUP(AA27/$AA$9*100,TRANSMUTATION_TABLE!$A$2:$B$102,2),""),"")</f>
        <v/>
      </c>
      <c r="AC27" s="48" t="str">
        <f t="shared" si="2"/>
        <v/>
      </c>
      <c r="AD27" s="216"/>
      <c r="AE27" s="42" t="str">
        <f>IF(AND(B27&lt;&gt;""),IF($AD$9&lt;&gt;0,VLOOKUP(AD27/$AD$9*100,TRANSMUTATION_TABLE!$A$2:$B$102,2),""),"")</f>
        <v/>
      </c>
      <c r="AF27" s="50">
        <f>Attendance!AM24</f>
        <v>0</v>
      </c>
      <c r="AG27" s="42" t="str">
        <f>IF(AND(B27&lt;&gt;""),IF($AF$9&lt;&gt;0,VLOOKUP(AF27/$AF$9*100,TRANSMUTATION_TABLE!$A$2:$B$102,2),""),"")</f>
        <v/>
      </c>
      <c r="AH27" s="31"/>
      <c r="AI27" s="45" t="str">
        <f>IF(AND(B27&lt;&gt;""),IF($AH$9&lt;&gt;0,VLOOKUP(AH27/$AH$9*100,TRANSMUTATION_TABLE!$A$2:$B$102,2),""),"")</f>
        <v/>
      </c>
      <c r="AJ27" s="45" t="str">
        <f>IF(OR(K27&lt;&gt;"",T27&lt;&gt;"",AC27&lt;&gt;"",AI27&lt;&gt;"",AG27&lt;&gt;""),SUM(PRODUCT(K27,IF(Settings!$F$17&lt;&gt;0,Settings!$F$17/100,0)),PRODUCT(Midterm!T27,IF(Settings!$F$18&lt;&gt;0,Settings!$F$18/100,0)),PRODUCT(Midterm!AC27,IF(Settings!$F$19&lt;&gt;0,Settings!$F$19/100,0)),PRODUCT(Midterm!AG27,IF(Settings!$F$20&lt;&gt;0,Settings!$F$20/100,0)),PRODUCT(Midterm!AI27,IF(Settings!$F$21&lt;&gt;0,Settings!$F$21/100,0))),"")</f>
        <v/>
      </c>
      <c r="AK27" s="83" t="str">
        <f>Prelim!AJ27</f>
        <v/>
      </c>
      <c r="AL27" s="46" t="str">
        <f>IF(Prelim!AJ27&lt;&gt;"",IF(AJ27&lt;&gt;"",AJ27*0.7+Prelim!AJ27*0.3,""),"")</f>
        <v/>
      </c>
    </row>
    <row r="28" spans="1:38" ht="12" customHeight="1" thickBot="1" x14ac:dyDescent="0.35">
      <c r="A28" s="52"/>
      <c r="B28" s="60"/>
      <c r="C28" s="31"/>
      <c r="D28" s="42" t="str">
        <f>IF(AND(B28&lt;&gt;""),IF($C$9&lt;&gt;0,VLOOKUP(C28/$C$9*100,TRANSMUTATION_TABLE!$A$2:$B$102,2),""),"")</f>
        <v/>
      </c>
      <c r="E28" s="31"/>
      <c r="F28" s="42" t="str">
        <f>IF(AND(B28&lt;&gt;""),IF($E$9&lt;&gt;0,VLOOKUP(E28/$E$9*100,TRANSMUTATION_TABLE!$A$2:$B$102,2),""),"")</f>
        <v/>
      </c>
      <c r="G28" s="31"/>
      <c r="H28" s="42" t="str">
        <f>IF(AND(B28&lt;&gt;""),IF($G$9&lt;&gt;0,VLOOKUP(G28/$G$9*100,TRANSMUTATION_TABLE!$A$2:$B$102,2),""),"")</f>
        <v/>
      </c>
      <c r="I28" s="31"/>
      <c r="J28" s="43" t="str">
        <f>IF(AND(B28&lt;&gt;""),IF($I$9&lt;&gt;0,VLOOKUP(I28/$I$9*100,TRANSMUTATION_TABLE!$A$2:$B$102,2),""),"")</f>
        <v/>
      </c>
      <c r="K28" s="48" t="str">
        <f t="shared" si="0"/>
        <v/>
      </c>
      <c r="L28" s="31"/>
      <c r="M28" s="42" t="str">
        <f>IF(AND(B28&lt;&gt;""),IF($L$9&lt;&gt;0,VLOOKUP(L28/$L$9*100,TRANSMUTATION_TABLE!$A$2:$B$102,2),""),"")</f>
        <v/>
      </c>
      <c r="N28" s="31"/>
      <c r="O28" s="42" t="str">
        <f>IF(AND(B28&lt;&gt;""),IF($N$9&lt;&gt;0,VLOOKUP(N28/$N$9*100,TRANSMUTATION_TABLE!$A$2:$B$102,2),""),"")</f>
        <v/>
      </c>
      <c r="P28" s="31"/>
      <c r="Q28" s="42" t="str">
        <f>IF(AND(B28&lt;&gt;""),IF($P$9&lt;&gt;0,VLOOKUP(P28/$P$9*100,TRANSMUTATION_TABLE!$A$2:$B$102,2),""),"")</f>
        <v/>
      </c>
      <c r="R28" s="31"/>
      <c r="S28" s="43" t="str">
        <f>IF(AND(B28&lt;&gt;""),IF($R$9&lt;&gt;0,VLOOKUP(R28/$R$9*100,TRANSMUTATION_TABLE!$A$2:$B$102,2),""),"")</f>
        <v/>
      </c>
      <c r="T28" s="48" t="str">
        <f t="shared" si="1"/>
        <v/>
      </c>
      <c r="U28" s="31"/>
      <c r="V28" s="42" t="str">
        <f>IF(AND(B28&lt;&gt;""),IF($U$9&lt;&gt;0,VLOOKUP(U28/$U$9*100,TRANSMUTATION_TABLE!$A$2:$B$102,2),""),"")</f>
        <v/>
      </c>
      <c r="W28" s="31"/>
      <c r="X28" s="42" t="str">
        <f>IF(AND(B28&lt;&gt;""),IF($W$9&lt;&gt;0,VLOOKUP(W28/$W$9*100,TRANSMUTATION_TABLE!$A$2:$B$102,2),""),"")</f>
        <v/>
      </c>
      <c r="Y28" s="31"/>
      <c r="Z28" s="42" t="str">
        <f>IF(AND(B28&lt;&gt;""),IF($Y$9&lt;&gt;0,VLOOKUP(Y28/$Y$9*100,TRANSMUTATION_TABLE!$A$2:$B$102,2),""),"")</f>
        <v/>
      </c>
      <c r="AA28" s="31"/>
      <c r="AB28" s="43" t="str">
        <f>IF(AND(B28&lt;&gt;""),IF($AA$9&lt;&gt;0,VLOOKUP(AA28/$AA$9*100,TRANSMUTATION_TABLE!$A$2:$B$102,2),""),"")</f>
        <v/>
      </c>
      <c r="AC28" s="48" t="str">
        <f t="shared" si="2"/>
        <v/>
      </c>
      <c r="AD28" s="216"/>
      <c r="AE28" s="42" t="str">
        <f>IF(AND(B28&lt;&gt;""),IF($AD$9&lt;&gt;0,VLOOKUP(AD28/$AD$9*100,TRANSMUTATION_TABLE!$A$2:$B$102,2),""),"")</f>
        <v/>
      </c>
      <c r="AF28" s="50">
        <f>Attendance!AM25</f>
        <v>0</v>
      </c>
      <c r="AG28" s="42" t="str">
        <f>IF(AND(B28&lt;&gt;""),IF($AF$9&lt;&gt;0,VLOOKUP(AF28/$AF$9*100,TRANSMUTATION_TABLE!$A$2:$B$102,2),""),"")</f>
        <v/>
      </c>
      <c r="AH28" s="31"/>
      <c r="AI28" s="45" t="str">
        <f>IF(AND(B28&lt;&gt;""),IF($AH$9&lt;&gt;0,VLOOKUP(AH28/$AH$9*100,TRANSMUTATION_TABLE!$A$2:$B$102,2),""),"")</f>
        <v/>
      </c>
      <c r="AJ28" s="45" t="str">
        <f>IF(OR(K28&lt;&gt;"",T28&lt;&gt;"",AC28&lt;&gt;"",AI28&lt;&gt;"",AG28&lt;&gt;""),SUM(PRODUCT(K28,IF(Settings!$F$17&lt;&gt;0,Settings!$F$17/100,0)),PRODUCT(Midterm!T28,IF(Settings!$F$18&lt;&gt;0,Settings!$F$18/100,0)),PRODUCT(Midterm!AC28,IF(Settings!$F$19&lt;&gt;0,Settings!$F$19/100,0)),PRODUCT(Midterm!AG28,IF(Settings!$F$20&lt;&gt;0,Settings!$F$20/100,0)),PRODUCT(Midterm!AI28,IF(Settings!$F$21&lt;&gt;0,Settings!$F$21/100,0))),"")</f>
        <v/>
      </c>
      <c r="AK28" s="83" t="str">
        <f>Prelim!AJ28</f>
        <v/>
      </c>
      <c r="AL28" s="46" t="str">
        <f>IF(Prelim!AJ28&lt;&gt;"",IF(AJ28&lt;&gt;"",AJ28*0.7+Prelim!AJ28*0.3,""),"")</f>
        <v/>
      </c>
    </row>
    <row r="29" spans="1:38" ht="12" customHeight="1" thickBot="1" x14ac:dyDescent="0.35">
      <c r="A29" s="54"/>
      <c r="B29" s="60"/>
      <c r="C29" s="214"/>
      <c r="D29" s="42" t="str">
        <f>IF(AND(B29&lt;&gt;""),IF($C$9&lt;&gt;0,VLOOKUP(C29/$C$9*100,TRANSMUTATION_TABLE!$A$2:$B$102,2),""),"")</f>
        <v/>
      </c>
      <c r="E29" s="214"/>
      <c r="F29" s="42" t="str">
        <f>IF(AND(B29&lt;&gt;""),IF($E$9&lt;&gt;0,VLOOKUP(E29/$E$9*100,TRANSMUTATION_TABLE!$A$2:$B$102,2),""),"")</f>
        <v/>
      </c>
      <c r="G29" s="214"/>
      <c r="H29" s="42" t="str">
        <f>IF(AND(B29&lt;&gt;""),IF($G$9&lt;&gt;0,VLOOKUP(G29/$G$9*100,TRANSMUTATION_TABLE!$A$2:$B$102,2),""),"")</f>
        <v/>
      </c>
      <c r="I29" s="214"/>
      <c r="J29" s="43" t="str">
        <f>IF(AND(B29&lt;&gt;""),IF($I$9&lt;&gt;0,VLOOKUP(I29/$I$9*100,TRANSMUTATION_TABLE!$A$2:$B$102,2),""),"")</f>
        <v/>
      </c>
      <c r="K29" s="48" t="str">
        <f t="shared" si="0"/>
        <v/>
      </c>
      <c r="L29" s="214"/>
      <c r="M29" s="42" t="str">
        <f>IF(AND(B29&lt;&gt;""),IF($L$9&lt;&gt;0,VLOOKUP(L29/$L$9*100,TRANSMUTATION_TABLE!$A$2:$B$102,2),""),"")</f>
        <v/>
      </c>
      <c r="N29" s="214"/>
      <c r="O29" s="42" t="str">
        <f>IF(AND(B29&lt;&gt;""),IF($N$9&lt;&gt;0,VLOOKUP(N29/$N$9*100,TRANSMUTATION_TABLE!$A$2:$B$102,2),""),"")</f>
        <v/>
      </c>
      <c r="P29" s="214"/>
      <c r="Q29" s="42" t="str">
        <f>IF(AND(B29&lt;&gt;""),IF($P$9&lt;&gt;0,VLOOKUP(P29/$P$9*100,TRANSMUTATION_TABLE!$A$2:$B$102,2),""),"")</f>
        <v/>
      </c>
      <c r="R29" s="214"/>
      <c r="S29" s="43" t="str">
        <f>IF(AND(B29&lt;&gt;""),IF($R$9&lt;&gt;0,VLOOKUP(R29/$R$9*100,TRANSMUTATION_TABLE!$A$2:$B$102,2),""),"")</f>
        <v/>
      </c>
      <c r="T29" s="48" t="str">
        <f t="shared" si="1"/>
        <v/>
      </c>
      <c r="U29" s="214"/>
      <c r="V29" s="42" t="str">
        <f>IF(AND(B29&lt;&gt;""),IF($U$9&lt;&gt;0,VLOOKUP(U29/$U$9*100,TRANSMUTATION_TABLE!$A$2:$B$102,2),""),"")</f>
        <v/>
      </c>
      <c r="W29" s="214"/>
      <c r="X29" s="42" t="str">
        <f>IF(AND(B29&lt;&gt;""),IF($W$9&lt;&gt;0,VLOOKUP(W29/$W$9*100,TRANSMUTATION_TABLE!$A$2:$B$102,2),""),"")</f>
        <v/>
      </c>
      <c r="Y29" s="214"/>
      <c r="Z29" s="42" t="str">
        <f>IF(AND(B29&lt;&gt;""),IF($Y$9&lt;&gt;0,VLOOKUP(Y29/$Y$9*100,TRANSMUTATION_TABLE!$A$2:$B$102,2),""),"")</f>
        <v/>
      </c>
      <c r="AA29" s="214"/>
      <c r="AB29" s="43" t="str">
        <f>IF(AND(B29&lt;&gt;""),IF($AA$9&lt;&gt;0,VLOOKUP(AA29/$AA$9*100,TRANSMUTATION_TABLE!$A$2:$B$102,2),""),"")</f>
        <v/>
      </c>
      <c r="AC29" s="48" t="str">
        <f t="shared" si="2"/>
        <v/>
      </c>
      <c r="AD29" s="217"/>
      <c r="AE29" s="42" t="str">
        <f>IF(AND(B29&lt;&gt;""),IF($AD$9&lt;&gt;0,VLOOKUP(AD29/$AD$9*100,TRANSMUTATION_TABLE!$A$2:$B$102,2),""),"")</f>
        <v/>
      </c>
      <c r="AF29" s="50">
        <f>Attendance!AM26</f>
        <v>0</v>
      </c>
      <c r="AG29" s="42" t="str">
        <f>IF(AND(B29&lt;&gt;""),IF($AF$9&lt;&gt;0,VLOOKUP(AF29/$AF$9*100,TRANSMUTATION_TABLE!$A$2:$B$102,2),""),"")</f>
        <v/>
      </c>
      <c r="AH29" s="214"/>
      <c r="AI29" s="45" t="str">
        <f>IF(AND(B29&lt;&gt;""),IF($AH$9&lt;&gt;0,VLOOKUP(AH29/$AH$9*100,TRANSMUTATION_TABLE!$A$2:$B$102,2),""),"")</f>
        <v/>
      </c>
      <c r="AJ29" s="45" t="str">
        <f>IF(OR(K29&lt;&gt;"",T29&lt;&gt;"",AC29&lt;&gt;"",AI29&lt;&gt;"",AG29&lt;&gt;""),SUM(PRODUCT(K29,IF(Settings!$F$17&lt;&gt;0,Settings!$F$17/100,0)),PRODUCT(Midterm!T29,IF(Settings!$F$18&lt;&gt;0,Settings!$F$18/100,0)),PRODUCT(Midterm!AC29,IF(Settings!$F$19&lt;&gt;0,Settings!$F$19/100,0)),PRODUCT(Midterm!AG29,IF(Settings!$F$20&lt;&gt;0,Settings!$F$20/100,0)),PRODUCT(Midterm!AI29,IF(Settings!$F$21&lt;&gt;0,Settings!$F$21/100,0))),"")</f>
        <v/>
      </c>
      <c r="AK29" s="83" t="str">
        <f>Prelim!AJ29</f>
        <v/>
      </c>
      <c r="AL29" s="46" t="str">
        <f>IF(Prelim!AJ29&lt;&gt;"",IF(AJ29&lt;&gt;"",AJ29*0.7+Prelim!AJ29*0.3,""),"")</f>
        <v/>
      </c>
    </row>
    <row r="30" spans="1:38" ht="12" customHeight="1" thickBot="1" x14ac:dyDescent="0.35">
      <c r="A30" s="47"/>
      <c r="B30" s="60"/>
      <c r="C30" s="31"/>
      <c r="D30" s="42" t="str">
        <f>IF(AND(B30&lt;&gt;""),IF($C$9&lt;&gt;0,VLOOKUP(C30/$C$9*100,TRANSMUTATION_TABLE!$A$2:$B$102,2),""),"")</f>
        <v/>
      </c>
      <c r="E30" s="31"/>
      <c r="F30" s="42" t="str">
        <f>IF(AND(B30&lt;&gt;""),IF($E$9&lt;&gt;0,VLOOKUP(E30/$E$9*100,TRANSMUTATION_TABLE!$A$2:$B$102,2),""),"")</f>
        <v/>
      </c>
      <c r="G30" s="31"/>
      <c r="H30" s="42" t="str">
        <f>IF(AND(B30&lt;&gt;""),IF($G$9&lt;&gt;0,VLOOKUP(G30/$G$9*100,TRANSMUTATION_TABLE!$A$2:$B$102,2),""),"")</f>
        <v/>
      </c>
      <c r="I30" s="31"/>
      <c r="J30" s="43" t="str">
        <f>IF(AND(B30&lt;&gt;""),IF($I$9&lt;&gt;0,VLOOKUP(I30/$I$9*100,TRANSMUTATION_TABLE!$A$2:$B$102,2),""),"")</f>
        <v/>
      </c>
      <c r="K30" s="48" t="str">
        <f t="shared" si="0"/>
        <v/>
      </c>
      <c r="L30" s="31"/>
      <c r="M30" s="42" t="str">
        <f>IF(AND(B30&lt;&gt;""),IF($L$9&lt;&gt;0,VLOOKUP(L30/$L$9*100,TRANSMUTATION_TABLE!$A$2:$B$102,2),""),"")</f>
        <v/>
      </c>
      <c r="N30" s="31"/>
      <c r="O30" s="42" t="str">
        <f>IF(AND(B30&lt;&gt;""),IF($N$9&lt;&gt;0,VLOOKUP(N30/$N$9*100,TRANSMUTATION_TABLE!$A$2:$B$102,2),""),"")</f>
        <v/>
      </c>
      <c r="P30" s="31"/>
      <c r="Q30" s="42" t="str">
        <f>IF(AND(B30&lt;&gt;""),IF($P$9&lt;&gt;0,VLOOKUP(P30/$P$9*100,TRANSMUTATION_TABLE!$A$2:$B$102,2),""),"")</f>
        <v/>
      </c>
      <c r="R30" s="31"/>
      <c r="S30" s="43" t="str">
        <f>IF(AND(B30&lt;&gt;""),IF($R$9&lt;&gt;0,VLOOKUP(R30/$R$9*100,TRANSMUTATION_TABLE!$A$2:$B$102,2),""),"")</f>
        <v/>
      </c>
      <c r="T30" s="48" t="str">
        <f t="shared" si="1"/>
        <v/>
      </c>
      <c r="U30" s="31"/>
      <c r="V30" s="42" t="str">
        <f>IF(AND(B30&lt;&gt;""),IF($U$9&lt;&gt;0,VLOOKUP(U30/$U$9*100,TRANSMUTATION_TABLE!$A$2:$B$102,2),""),"")</f>
        <v/>
      </c>
      <c r="W30" s="31"/>
      <c r="X30" s="42" t="str">
        <f>IF(AND(B30&lt;&gt;""),IF($W$9&lt;&gt;0,VLOOKUP(W30/$W$9*100,TRANSMUTATION_TABLE!$A$2:$B$102,2),""),"")</f>
        <v/>
      </c>
      <c r="Y30" s="31"/>
      <c r="Z30" s="42" t="str">
        <f>IF(AND(B30&lt;&gt;""),IF($Y$9&lt;&gt;0,VLOOKUP(Y30/$Y$9*100,TRANSMUTATION_TABLE!$A$2:$B$102,2),""),"")</f>
        <v/>
      </c>
      <c r="AA30" s="31"/>
      <c r="AB30" s="43" t="str">
        <f>IF(AND(B30&lt;&gt;""),IF($AA$9&lt;&gt;0,VLOOKUP(AA30/$AA$9*100,TRANSMUTATION_TABLE!$A$2:$B$102,2),""),"")</f>
        <v/>
      </c>
      <c r="AC30" s="48" t="str">
        <f t="shared" si="2"/>
        <v/>
      </c>
      <c r="AD30" s="218"/>
      <c r="AE30" s="42" t="str">
        <f>IF(AND(B30&lt;&gt;""),IF($AD$9&lt;&gt;0,VLOOKUP(AD30/$AD$9*100,TRANSMUTATION_TABLE!$A$2:$B$102,2),""),"")</f>
        <v/>
      </c>
      <c r="AF30" s="50">
        <f>Attendance!AM27</f>
        <v>0</v>
      </c>
      <c r="AG30" s="42" t="str">
        <f>IF(AND(B30&lt;&gt;""),IF($AF$9&lt;&gt;0,VLOOKUP(AF30/$AF$9*100,TRANSMUTATION_TABLE!$A$2:$B$102,2),""),"")</f>
        <v/>
      </c>
      <c r="AH30" s="31"/>
      <c r="AI30" s="45" t="str">
        <f>IF(AND(B30&lt;&gt;""),IF($AH$9&lt;&gt;0,VLOOKUP(AH30/$AH$9*100,TRANSMUTATION_TABLE!$A$2:$B$102,2),""),"")</f>
        <v/>
      </c>
      <c r="AJ30" s="45" t="str">
        <f>IF(OR(K30&lt;&gt;"",T30&lt;&gt;"",AC30&lt;&gt;"",AI30&lt;&gt;"",AG30&lt;&gt;""),SUM(PRODUCT(K30,IF(Settings!$F$17&lt;&gt;0,Settings!$F$17/100,0)),PRODUCT(Midterm!T30,IF(Settings!$F$18&lt;&gt;0,Settings!$F$18/100,0)),PRODUCT(Midterm!AC30,IF(Settings!$F$19&lt;&gt;0,Settings!$F$19/100,0)),PRODUCT(Midterm!AG30,IF(Settings!$F$20&lt;&gt;0,Settings!$F$20/100,0)),PRODUCT(Midterm!AI30,IF(Settings!$F$21&lt;&gt;0,Settings!$F$21/100,0))),"")</f>
        <v/>
      </c>
      <c r="AK30" s="83" t="str">
        <f>Prelim!AJ30</f>
        <v/>
      </c>
      <c r="AL30" s="46" t="str">
        <f>IF(Prelim!AJ30&lt;&gt;"",IF(AJ30&lt;&gt;"",AJ30*0.7+Prelim!AJ30*0.3,""),"")</f>
        <v/>
      </c>
    </row>
    <row r="31" spans="1:38" ht="12" customHeight="1" thickBot="1" x14ac:dyDescent="0.35">
      <c r="A31" s="52"/>
      <c r="B31" s="60"/>
      <c r="C31" s="31"/>
      <c r="D31" s="42" t="str">
        <f>IF(AND(B31&lt;&gt;""),IF($C$9&lt;&gt;0,VLOOKUP(C31/$C$9*100,TRANSMUTATION_TABLE!$A$2:$B$102,2),""),"")</f>
        <v/>
      </c>
      <c r="E31" s="31"/>
      <c r="F31" s="42" t="str">
        <f>IF(AND(B31&lt;&gt;""),IF($E$9&lt;&gt;0,VLOOKUP(E31/$E$9*100,TRANSMUTATION_TABLE!$A$2:$B$102,2),""),"")</f>
        <v/>
      </c>
      <c r="G31" s="31"/>
      <c r="H31" s="42" t="str">
        <f>IF(AND(B31&lt;&gt;""),IF($G$9&lt;&gt;0,VLOOKUP(G31/$G$9*100,TRANSMUTATION_TABLE!$A$2:$B$102,2),""),"")</f>
        <v/>
      </c>
      <c r="I31" s="31"/>
      <c r="J31" s="43" t="str">
        <f>IF(AND(B31&lt;&gt;""),IF($I$9&lt;&gt;0,VLOOKUP(I31/$I$9*100,TRANSMUTATION_TABLE!$A$2:$B$102,2),""),"")</f>
        <v/>
      </c>
      <c r="K31" s="48" t="str">
        <f t="shared" si="0"/>
        <v/>
      </c>
      <c r="L31" s="31"/>
      <c r="M31" s="42" t="str">
        <f>IF(AND(B31&lt;&gt;""),IF($L$9&lt;&gt;0,VLOOKUP(L31/$L$9*100,TRANSMUTATION_TABLE!$A$2:$B$102,2),""),"")</f>
        <v/>
      </c>
      <c r="N31" s="31"/>
      <c r="O31" s="42" t="str">
        <f>IF(AND(B31&lt;&gt;""),IF($N$9&lt;&gt;0,VLOOKUP(N31/$N$9*100,TRANSMUTATION_TABLE!$A$2:$B$102,2),""),"")</f>
        <v/>
      </c>
      <c r="P31" s="31"/>
      <c r="Q31" s="42" t="str">
        <f>IF(AND(B31&lt;&gt;""),IF($P$9&lt;&gt;0,VLOOKUP(P31/$P$9*100,TRANSMUTATION_TABLE!$A$2:$B$102,2),""),"")</f>
        <v/>
      </c>
      <c r="R31" s="31"/>
      <c r="S31" s="43" t="str">
        <f>IF(AND(B31&lt;&gt;""),IF($R$9&lt;&gt;0,VLOOKUP(R31/$R$9*100,TRANSMUTATION_TABLE!$A$2:$B$102,2),""),"")</f>
        <v/>
      </c>
      <c r="T31" s="48" t="str">
        <f t="shared" si="1"/>
        <v/>
      </c>
      <c r="U31" s="31"/>
      <c r="V31" s="42" t="str">
        <f>IF(AND(B31&lt;&gt;""),IF($U$9&lt;&gt;0,VLOOKUP(U31/$U$9*100,TRANSMUTATION_TABLE!$A$2:$B$102,2),""),"")</f>
        <v/>
      </c>
      <c r="W31" s="31"/>
      <c r="X31" s="42" t="str">
        <f>IF(AND(B31&lt;&gt;""),IF($W$9&lt;&gt;0,VLOOKUP(W31/$W$9*100,TRANSMUTATION_TABLE!$A$2:$B$102,2),""),"")</f>
        <v/>
      </c>
      <c r="Y31" s="31"/>
      <c r="Z31" s="42" t="str">
        <f>IF(AND(B31&lt;&gt;""),IF($Y$9&lt;&gt;0,VLOOKUP(Y31/$Y$9*100,TRANSMUTATION_TABLE!$A$2:$B$102,2),""),"")</f>
        <v/>
      </c>
      <c r="AA31" s="31"/>
      <c r="AB31" s="43" t="str">
        <f>IF(AND(B31&lt;&gt;""),IF($AA$9&lt;&gt;0,VLOOKUP(AA31/$AA$9*100,TRANSMUTATION_TABLE!$A$2:$B$102,2),""),"")</f>
        <v/>
      </c>
      <c r="AC31" s="48" t="str">
        <f t="shared" si="2"/>
        <v/>
      </c>
      <c r="AD31" s="216"/>
      <c r="AE31" s="42" t="str">
        <f>IF(AND(B31&lt;&gt;""),IF($AD$9&lt;&gt;0,VLOOKUP(AD31/$AD$9*100,TRANSMUTATION_TABLE!$A$2:$B$102,2),""),"")</f>
        <v/>
      </c>
      <c r="AF31" s="50">
        <f>Attendance!AM28</f>
        <v>0</v>
      </c>
      <c r="AG31" s="42" t="str">
        <f>IF(AND(B31&lt;&gt;""),IF($AF$9&lt;&gt;0,VLOOKUP(AF31/$AF$9*100,TRANSMUTATION_TABLE!$A$2:$B$102,2),""),"")</f>
        <v/>
      </c>
      <c r="AH31" s="31"/>
      <c r="AI31" s="45" t="str">
        <f>IF(AND(B31&lt;&gt;""),IF($AH$9&lt;&gt;0,VLOOKUP(AH31/$AH$9*100,TRANSMUTATION_TABLE!$A$2:$B$102,2),""),"")</f>
        <v/>
      </c>
      <c r="AJ31" s="45" t="str">
        <f>IF(OR(K31&lt;&gt;"",T31&lt;&gt;"",AC31&lt;&gt;"",AI31&lt;&gt;"",AG31&lt;&gt;""),SUM(PRODUCT(K31,IF(Settings!$F$17&lt;&gt;0,Settings!$F$17/100,0)),PRODUCT(Midterm!T31,IF(Settings!$F$18&lt;&gt;0,Settings!$F$18/100,0)),PRODUCT(Midterm!AC31,IF(Settings!$F$19&lt;&gt;0,Settings!$F$19/100,0)),PRODUCT(Midterm!AG31,IF(Settings!$F$20&lt;&gt;0,Settings!$F$20/100,0)),PRODUCT(Midterm!AI31,IF(Settings!$F$21&lt;&gt;0,Settings!$F$21/100,0))),"")</f>
        <v/>
      </c>
      <c r="AK31" s="83" t="str">
        <f>Prelim!AJ31</f>
        <v/>
      </c>
      <c r="AL31" s="46" t="str">
        <f>IF(Prelim!AJ31&lt;&gt;"",IF(AJ31&lt;&gt;"",AJ31*0.7+Prelim!AJ31*0.3,""),"")</f>
        <v/>
      </c>
    </row>
    <row r="32" spans="1:38" ht="12" customHeight="1" thickBot="1" x14ac:dyDescent="0.35">
      <c r="A32" s="52"/>
      <c r="B32" s="60"/>
      <c r="C32" s="31"/>
      <c r="D32" s="42" t="str">
        <f>IF(AND(B32&lt;&gt;""),IF($C$9&lt;&gt;0,VLOOKUP(C32/$C$9*100,TRANSMUTATION_TABLE!$A$2:$B$102,2),""),"")</f>
        <v/>
      </c>
      <c r="E32" s="31"/>
      <c r="F32" s="42" t="str">
        <f>IF(AND(B32&lt;&gt;""),IF($E$9&lt;&gt;0,VLOOKUP(E32/$E$9*100,TRANSMUTATION_TABLE!$A$2:$B$102,2),""),"")</f>
        <v/>
      </c>
      <c r="G32" s="31"/>
      <c r="H32" s="42" t="str">
        <f>IF(AND(B32&lt;&gt;""),IF($G$9&lt;&gt;0,VLOOKUP(G32/$G$9*100,TRANSMUTATION_TABLE!$A$2:$B$102,2),""),"")</f>
        <v/>
      </c>
      <c r="I32" s="31"/>
      <c r="J32" s="43" t="str">
        <f>IF(AND(B32&lt;&gt;""),IF($I$9&lt;&gt;0,VLOOKUP(I32/$I$9*100,TRANSMUTATION_TABLE!$A$2:$B$102,2),""),"")</f>
        <v/>
      </c>
      <c r="K32" s="48" t="str">
        <f t="shared" si="0"/>
        <v/>
      </c>
      <c r="L32" s="31"/>
      <c r="M32" s="42" t="str">
        <f>IF(AND(B32&lt;&gt;""),IF($L$9&lt;&gt;0,VLOOKUP(L32/$L$9*100,TRANSMUTATION_TABLE!$A$2:$B$102,2),""),"")</f>
        <v/>
      </c>
      <c r="N32" s="31"/>
      <c r="O32" s="42" t="str">
        <f>IF(AND(B32&lt;&gt;""),IF($N$9&lt;&gt;0,VLOOKUP(N32/$N$9*100,TRANSMUTATION_TABLE!$A$2:$B$102,2),""),"")</f>
        <v/>
      </c>
      <c r="P32" s="31"/>
      <c r="Q32" s="42" t="str">
        <f>IF(AND(B32&lt;&gt;""),IF($P$9&lt;&gt;0,VLOOKUP(P32/$P$9*100,TRANSMUTATION_TABLE!$A$2:$B$102,2),""),"")</f>
        <v/>
      </c>
      <c r="R32" s="31"/>
      <c r="S32" s="43" t="str">
        <f>IF(AND(B32&lt;&gt;""),IF($R$9&lt;&gt;0,VLOOKUP(R32/$R$9*100,TRANSMUTATION_TABLE!$A$2:$B$102,2),""),"")</f>
        <v/>
      </c>
      <c r="T32" s="48" t="str">
        <f t="shared" si="1"/>
        <v/>
      </c>
      <c r="U32" s="31"/>
      <c r="V32" s="42" t="str">
        <f>IF(AND(B32&lt;&gt;""),IF($U$9&lt;&gt;0,VLOOKUP(U32/$U$9*100,TRANSMUTATION_TABLE!$A$2:$B$102,2),""),"")</f>
        <v/>
      </c>
      <c r="W32" s="31"/>
      <c r="X32" s="42" t="str">
        <f>IF(AND(B32&lt;&gt;""),IF($W$9&lt;&gt;0,VLOOKUP(W32/$W$9*100,TRANSMUTATION_TABLE!$A$2:$B$102,2),""),"")</f>
        <v/>
      </c>
      <c r="Y32" s="31"/>
      <c r="Z32" s="42" t="str">
        <f>IF(AND(B32&lt;&gt;""),IF($Y$9&lt;&gt;0,VLOOKUP(Y32/$Y$9*100,TRANSMUTATION_TABLE!$A$2:$B$102,2),""),"")</f>
        <v/>
      </c>
      <c r="AA32" s="31"/>
      <c r="AB32" s="43" t="str">
        <f>IF(AND(B32&lt;&gt;""),IF($AA$9&lt;&gt;0,VLOOKUP(AA32/$AA$9*100,TRANSMUTATION_TABLE!$A$2:$B$102,2),""),"")</f>
        <v/>
      </c>
      <c r="AC32" s="48" t="str">
        <f t="shared" si="2"/>
        <v/>
      </c>
      <c r="AD32" s="216"/>
      <c r="AE32" s="42" t="str">
        <f>IF(AND(B32&lt;&gt;""),IF($AD$9&lt;&gt;0,VLOOKUP(AD32/$AD$9*100,TRANSMUTATION_TABLE!$A$2:$B$102,2),""),"")</f>
        <v/>
      </c>
      <c r="AF32" s="50">
        <f>Attendance!AM29</f>
        <v>0</v>
      </c>
      <c r="AG32" s="42" t="str">
        <f>IF(AND(B32&lt;&gt;""),IF($AF$9&lt;&gt;0,VLOOKUP(AF32/$AF$9*100,TRANSMUTATION_TABLE!$A$2:$B$102,2),""),"")</f>
        <v/>
      </c>
      <c r="AH32" s="31"/>
      <c r="AI32" s="45" t="str">
        <f>IF(AND(B32&lt;&gt;""),IF($AH$9&lt;&gt;0,VLOOKUP(AH32/$AH$9*100,TRANSMUTATION_TABLE!$A$2:$B$102,2),""),"")</f>
        <v/>
      </c>
      <c r="AJ32" s="45" t="str">
        <f>IF(OR(K32&lt;&gt;"",T32&lt;&gt;"",AC32&lt;&gt;"",AI32&lt;&gt;"",AG32&lt;&gt;""),SUM(PRODUCT(K32,IF(Settings!$F$17&lt;&gt;0,Settings!$F$17/100,0)),PRODUCT(Midterm!T32,IF(Settings!$F$18&lt;&gt;0,Settings!$F$18/100,0)),PRODUCT(Midterm!AC32,IF(Settings!$F$19&lt;&gt;0,Settings!$F$19/100,0)),PRODUCT(Midterm!AG32,IF(Settings!$F$20&lt;&gt;0,Settings!$F$20/100,0)),PRODUCT(Midterm!AI32,IF(Settings!$F$21&lt;&gt;0,Settings!$F$21/100,0))),"")</f>
        <v/>
      </c>
      <c r="AK32" s="83" t="str">
        <f>Prelim!AJ32</f>
        <v/>
      </c>
      <c r="AL32" s="46" t="str">
        <f>IF(Prelim!AJ32&lt;&gt;"",IF(AJ32&lt;&gt;"",AJ32*0.7+Prelim!AJ32*0.3,""),"")</f>
        <v/>
      </c>
    </row>
    <row r="33" spans="1:38" ht="12" customHeight="1" thickBot="1" x14ac:dyDescent="0.35">
      <c r="A33" s="52"/>
      <c r="B33" s="60"/>
      <c r="C33" s="31"/>
      <c r="D33" s="42" t="str">
        <f>IF(AND(B33&lt;&gt;""),IF($C$9&lt;&gt;0,VLOOKUP(C33/$C$9*100,TRANSMUTATION_TABLE!$A$2:$B$102,2),""),"")</f>
        <v/>
      </c>
      <c r="E33" s="31"/>
      <c r="F33" s="42" t="str">
        <f>IF(AND(B33&lt;&gt;""),IF($E$9&lt;&gt;0,VLOOKUP(E33/$E$9*100,TRANSMUTATION_TABLE!$A$2:$B$102,2),""),"")</f>
        <v/>
      </c>
      <c r="G33" s="31"/>
      <c r="H33" s="42" t="str">
        <f>IF(AND(B33&lt;&gt;""),IF($G$9&lt;&gt;0,VLOOKUP(G33/$G$9*100,TRANSMUTATION_TABLE!$A$2:$B$102,2),""),"")</f>
        <v/>
      </c>
      <c r="I33" s="31"/>
      <c r="J33" s="43" t="str">
        <f>IF(AND(B33&lt;&gt;""),IF($I$9&lt;&gt;0,VLOOKUP(I33/$I$9*100,TRANSMUTATION_TABLE!$A$2:$B$102,2),""),"")</f>
        <v/>
      </c>
      <c r="K33" s="48" t="str">
        <f t="shared" si="0"/>
        <v/>
      </c>
      <c r="L33" s="31"/>
      <c r="M33" s="42" t="str">
        <f>IF(AND(B33&lt;&gt;""),IF($L$9&lt;&gt;0,VLOOKUP(L33/$L$9*100,TRANSMUTATION_TABLE!$A$2:$B$102,2),""),"")</f>
        <v/>
      </c>
      <c r="N33" s="31"/>
      <c r="O33" s="42" t="str">
        <f>IF(AND(B33&lt;&gt;""),IF($N$9&lt;&gt;0,VLOOKUP(N33/$N$9*100,TRANSMUTATION_TABLE!$A$2:$B$102,2),""),"")</f>
        <v/>
      </c>
      <c r="P33" s="31"/>
      <c r="Q33" s="42" t="str">
        <f>IF(AND(B33&lt;&gt;""),IF($P$9&lt;&gt;0,VLOOKUP(P33/$P$9*100,TRANSMUTATION_TABLE!$A$2:$B$102,2),""),"")</f>
        <v/>
      </c>
      <c r="R33" s="31"/>
      <c r="S33" s="43" t="str">
        <f>IF(AND(B33&lt;&gt;""),IF($R$9&lt;&gt;0,VLOOKUP(R33/$R$9*100,TRANSMUTATION_TABLE!$A$2:$B$102,2),""),"")</f>
        <v/>
      </c>
      <c r="T33" s="48" t="str">
        <f t="shared" si="1"/>
        <v/>
      </c>
      <c r="U33" s="31"/>
      <c r="V33" s="42" t="str">
        <f>IF(AND(B33&lt;&gt;""),IF($U$9&lt;&gt;0,VLOOKUP(U33/$U$9*100,TRANSMUTATION_TABLE!$A$2:$B$102,2),""),"")</f>
        <v/>
      </c>
      <c r="W33" s="31"/>
      <c r="X33" s="42" t="str">
        <f>IF(AND(B33&lt;&gt;""),IF($W$9&lt;&gt;0,VLOOKUP(W33/$W$9*100,TRANSMUTATION_TABLE!$A$2:$B$102,2),""),"")</f>
        <v/>
      </c>
      <c r="Y33" s="31"/>
      <c r="Z33" s="42" t="str">
        <f>IF(AND(B33&lt;&gt;""),IF($Y$9&lt;&gt;0,VLOOKUP(Y33/$Y$9*100,TRANSMUTATION_TABLE!$A$2:$B$102,2),""),"")</f>
        <v/>
      </c>
      <c r="AA33" s="31"/>
      <c r="AB33" s="43" t="str">
        <f>IF(AND(B33&lt;&gt;""),IF($AA$9&lt;&gt;0,VLOOKUP(AA33/$AA$9*100,TRANSMUTATION_TABLE!$A$2:$B$102,2),""),"")</f>
        <v/>
      </c>
      <c r="AC33" s="48" t="str">
        <f t="shared" si="2"/>
        <v/>
      </c>
      <c r="AD33" s="216"/>
      <c r="AE33" s="42" t="str">
        <f>IF(AND(B33&lt;&gt;""),IF($AD$9&lt;&gt;0,VLOOKUP(AD33/$AD$9*100,TRANSMUTATION_TABLE!$A$2:$B$102,2),""),"")</f>
        <v/>
      </c>
      <c r="AF33" s="50">
        <f>Attendance!AM30</f>
        <v>0</v>
      </c>
      <c r="AG33" s="42" t="str">
        <f>IF(AND(B33&lt;&gt;""),IF($AF$9&lt;&gt;0,VLOOKUP(AF33/$AF$9*100,TRANSMUTATION_TABLE!$A$2:$B$102,2),""),"")</f>
        <v/>
      </c>
      <c r="AH33" s="31"/>
      <c r="AI33" s="45" t="str">
        <f>IF(AND(B33&lt;&gt;""),IF($AH$9&lt;&gt;0,VLOOKUP(AH33/$AH$9*100,TRANSMUTATION_TABLE!$A$2:$B$102,2),""),"")</f>
        <v/>
      </c>
      <c r="AJ33" s="45" t="str">
        <f>IF(OR(K33&lt;&gt;"",T33&lt;&gt;"",AC33&lt;&gt;"",AI33&lt;&gt;"",AG33&lt;&gt;""),SUM(PRODUCT(K33,IF(Settings!$F$17&lt;&gt;0,Settings!$F$17/100,0)),PRODUCT(Midterm!T33,IF(Settings!$F$18&lt;&gt;0,Settings!$F$18/100,0)),PRODUCT(Midterm!AC33,IF(Settings!$F$19&lt;&gt;0,Settings!$F$19/100,0)),PRODUCT(Midterm!AG33,IF(Settings!$F$20&lt;&gt;0,Settings!$F$20/100,0)),PRODUCT(Midterm!AI33,IF(Settings!$F$21&lt;&gt;0,Settings!$F$21/100,0))),"")</f>
        <v/>
      </c>
      <c r="AK33" s="83" t="str">
        <f>Prelim!AJ33</f>
        <v/>
      </c>
      <c r="AL33" s="46" t="str">
        <f>IF(Prelim!AJ33&lt;&gt;"",IF(AJ33&lt;&gt;"",AJ33*0.7+Prelim!AJ33*0.3,""),"")</f>
        <v/>
      </c>
    </row>
    <row r="34" spans="1:38" ht="12" customHeight="1" thickBot="1" x14ac:dyDescent="0.35">
      <c r="A34" s="54"/>
      <c r="B34" s="60"/>
      <c r="C34" s="214"/>
      <c r="D34" s="42" t="str">
        <f>IF(AND(B34&lt;&gt;""),IF($C$9&lt;&gt;0,VLOOKUP(C34/$C$9*100,TRANSMUTATION_TABLE!$A$2:$B$102,2),""),"")</f>
        <v/>
      </c>
      <c r="E34" s="214"/>
      <c r="F34" s="42" t="str">
        <f>IF(AND(B34&lt;&gt;""),IF($E$9&lt;&gt;0,VLOOKUP(E34/$E$9*100,TRANSMUTATION_TABLE!$A$2:$B$102,2),""),"")</f>
        <v/>
      </c>
      <c r="G34" s="214"/>
      <c r="H34" s="42" t="str">
        <f>IF(AND(B34&lt;&gt;""),IF($G$9&lt;&gt;0,VLOOKUP(G34/$G$9*100,TRANSMUTATION_TABLE!$A$2:$B$102,2),""),"")</f>
        <v/>
      </c>
      <c r="I34" s="214"/>
      <c r="J34" s="43" t="str">
        <f>IF(AND(B34&lt;&gt;""),IF($I$9&lt;&gt;0,VLOOKUP(I34/$I$9*100,TRANSMUTATION_TABLE!$A$2:$B$102,2),""),"")</f>
        <v/>
      </c>
      <c r="K34" s="48" t="str">
        <f t="shared" si="0"/>
        <v/>
      </c>
      <c r="L34" s="214"/>
      <c r="M34" s="42" t="str">
        <f>IF(AND(B34&lt;&gt;""),IF($L$9&lt;&gt;0,VLOOKUP(L34/$L$9*100,TRANSMUTATION_TABLE!$A$2:$B$102,2),""),"")</f>
        <v/>
      </c>
      <c r="N34" s="214"/>
      <c r="O34" s="42" t="str">
        <f>IF(AND(B34&lt;&gt;""),IF($N$9&lt;&gt;0,VLOOKUP(N34/$N$9*100,TRANSMUTATION_TABLE!$A$2:$B$102,2),""),"")</f>
        <v/>
      </c>
      <c r="P34" s="214"/>
      <c r="Q34" s="42" t="str">
        <f>IF(AND(B34&lt;&gt;""),IF($P$9&lt;&gt;0,VLOOKUP(P34/$P$9*100,TRANSMUTATION_TABLE!$A$2:$B$102,2),""),"")</f>
        <v/>
      </c>
      <c r="R34" s="214"/>
      <c r="S34" s="43" t="str">
        <f>IF(AND(B34&lt;&gt;""),IF($R$9&lt;&gt;0,VLOOKUP(R34/$R$9*100,TRANSMUTATION_TABLE!$A$2:$B$102,2),""),"")</f>
        <v/>
      </c>
      <c r="T34" s="48" t="str">
        <f t="shared" si="1"/>
        <v/>
      </c>
      <c r="U34" s="214"/>
      <c r="V34" s="42" t="str">
        <f>IF(AND(B34&lt;&gt;""),IF($U$9&lt;&gt;0,VLOOKUP(U34/$U$9*100,TRANSMUTATION_TABLE!$A$2:$B$102,2),""),"")</f>
        <v/>
      </c>
      <c r="W34" s="214"/>
      <c r="X34" s="42" t="str">
        <f>IF(AND(B34&lt;&gt;""),IF($W$9&lt;&gt;0,VLOOKUP(W34/$W$9*100,TRANSMUTATION_TABLE!$A$2:$B$102,2),""),"")</f>
        <v/>
      </c>
      <c r="Y34" s="214"/>
      <c r="Z34" s="42" t="str">
        <f>IF(AND(B34&lt;&gt;""),IF($Y$9&lt;&gt;0,VLOOKUP(Y34/$Y$9*100,TRANSMUTATION_TABLE!$A$2:$B$102,2),""),"")</f>
        <v/>
      </c>
      <c r="AA34" s="214"/>
      <c r="AB34" s="43" t="str">
        <f>IF(AND(B34&lt;&gt;""),IF($AA$9&lt;&gt;0,VLOOKUP(AA34/$AA$9*100,TRANSMUTATION_TABLE!$A$2:$B$102,2),""),"")</f>
        <v/>
      </c>
      <c r="AC34" s="48" t="str">
        <f t="shared" si="2"/>
        <v/>
      </c>
      <c r="AD34" s="217"/>
      <c r="AE34" s="42" t="str">
        <f>IF(AND(B34&lt;&gt;""),IF($AD$9&lt;&gt;0,VLOOKUP(AD34/$AD$9*100,TRANSMUTATION_TABLE!$A$2:$B$102,2),""),"")</f>
        <v/>
      </c>
      <c r="AF34" s="50">
        <f>Attendance!AM31</f>
        <v>0</v>
      </c>
      <c r="AG34" s="42" t="str">
        <f>IF(AND(B34&lt;&gt;""),IF($AF$9&lt;&gt;0,VLOOKUP(AF34/$AF$9*100,TRANSMUTATION_TABLE!$A$2:$B$102,2),""),"")</f>
        <v/>
      </c>
      <c r="AH34" s="214"/>
      <c r="AI34" s="45" t="str">
        <f>IF(AND(B34&lt;&gt;""),IF($AH$9&lt;&gt;0,VLOOKUP(AH34/$AH$9*100,TRANSMUTATION_TABLE!$A$2:$B$102,2),""),"")</f>
        <v/>
      </c>
      <c r="AJ34" s="45" t="str">
        <f>IF(OR(K34&lt;&gt;"",T34&lt;&gt;"",AC34&lt;&gt;"",AI34&lt;&gt;"",AG34&lt;&gt;""),SUM(PRODUCT(K34,IF(Settings!$F$17&lt;&gt;0,Settings!$F$17/100,0)),PRODUCT(Midterm!T34,IF(Settings!$F$18&lt;&gt;0,Settings!$F$18/100,0)),PRODUCT(Midterm!AC34,IF(Settings!$F$19&lt;&gt;0,Settings!$F$19/100,0)),PRODUCT(Midterm!AG34,IF(Settings!$F$20&lt;&gt;0,Settings!$F$20/100,0)),PRODUCT(Midterm!AI34,IF(Settings!$F$21&lt;&gt;0,Settings!$F$21/100,0))),"")</f>
        <v/>
      </c>
      <c r="AK34" s="83" t="str">
        <f>Prelim!AJ34</f>
        <v/>
      </c>
      <c r="AL34" s="46" t="str">
        <f>IF(Prelim!AJ34&lt;&gt;"",IF(AJ34&lt;&gt;"",AJ34*0.7+Prelim!AJ34*0.3,""),"")</f>
        <v/>
      </c>
    </row>
    <row r="35" spans="1:38" ht="12" customHeight="1" thickBot="1" x14ac:dyDescent="0.35">
      <c r="A35" s="47"/>
      <c r="B35" s="60"/>
      <c r="C35" s="31"/>
      <c r="D35" s="42" t="str">
        <f>IF(AND(B35&lt;&gt;""),IF($C$9&lt;&gt;0,VLOOKUP(C35/$C$9*100,TRANSMUTATION_TABLE!$A$2:$B$102,2),""),"")</f>
        <v/>
      </c>
      <c r="E35" s="31"/>
      <c r="F35" s="42" t="str">
        <f>IF(AND(B35&lt;&gt;""),IF($E$9&lt;&gt;0,VLOOKUP(E35/$E$9*100,TRANSMUTATION_TABLE!$A$2:$B$102,2),""),"")</f>
        <v/>
      </c>
      <c r="G35" s="31"/>
      <c r="H35" s="42" t="str">
        <f>IF(AND(B35&lt;&gt;""),IF($G$9&lt;&gt;0,VLOOKUP(G35/$G$9*100,TRANSMUTATION_TABLE!$A$2:$B$102,2),""),"")</f>
        <v/>
      </c>
      <c r="I35" s="31"/>
      <c r="J35" s="43" t="str">
        <f>IF(AND(B35&lt;&gt;""),IF($I$9&lt;&gt;0,VLOOKUP(I35/$I$9*100,TRANSMUTATION_TABLE!$A$2:$B$102,2),""),"")</f>
        <v/>
      </c>
      <c r="K35" s="48" t="str">
        <f t="shared" si="0"/>
        <v/>
      </c>
      <c r="L35" s="31"/>
      <c r="M35" s="42" t="str">
        <f>IF(AND(B35&lt;&gt;""),IF($L$9&lt;&gt;0,VLOOKUP(L35/$L$9*100,TRANSMUTATION_TABLE!$A$2:$B$102,2),""),"")</f>
        <v/>
      </c>
      <c r="N35" s="31"/>
      <c r="O35" s="42" t="str">
        <f>IF(AND(B35&lt;&gt;""),IF($N$9&lt;&gt;0,VLOOKUP(N35/$N$9*100,TRANSMUTATION_TABLE!$A$2:$B$102,2),""),"")</f>
        <v/>
      </c>
      <c r="P35" s="31"/>
      <c r="Q35" s="42" t="str">
        <f>IF(AND(B35&lt;&gt;""),IF($P$9&lt;&gt;0,VLOOKUP(P35/$P$9*100,TRANSMUTATION_TABLE!$A$2:$B$102,2),""),"")</f>
        <v/>
      </c>
      <c r="R35" s="31"/>
      <c r="S35" s="43" t="str">
        <f>IF(AND(B35&lt;&gt;""),IF($R$9&lt;&gt;0,VLOOKUP(R35/$R$9*100,TRANSMUTATION_TABLE!$A$2:$B$102,2),""),"")</f>
        <v/>
      </c>
      <c r="T35" s="48" t="str">
        <f t="shared" si="1"/>
        <v/>
      </c>
      <c r="U35" s="31"/>
      <c r="V35" s="42" t="str">
        <f>IF(AND(B35&lt;&gt;""),IF($U$9&lt;&gt;0,VLOOKUP(U35/$U$9*100,TRANSMUTATION_TABLE!$A$2:$B$102,2),""),"")</f>
        <v/>
      </c>
      <c r="W35" s="31"/>
      <c r="X35" s="42" t="str">
        <f>IF(AND(B35&lt;&gt;""),IF($W$9&lt;&gt;0,VLOOKUP(W35/$W$9*100,TRANSMUTATION_TABLE!$A$2:$B$102,2),""),"")</f>
        <v/>
      </c>
      <c r="Y35" s="31"/>
      <c r="Z35" s="42" t="str">
        <f>IF(AND(B35&lt;&gt;""),IF($Y$9&lt;&gt;0,VLOOKUP(Y35/$Y$9*100,TRANSMUTATION_TABLE!$A$2:$B$102,2),""),"")</f>
        <v/>
      </c>
      <c r="AA35" s="31"/>
      <c r="AB35" s="43" t="str">
        <f>IF(AND(B35&lt;&gt;""),IF($AA$9&lt;&gt;0,VLOOKUP(AA35/$AA$9*100,TRANSMUTATION_TABLE!$A$2:$B$102,2),""),"")</f>
        <v/>
      </c>
      <c r="AC35" s="48" t="str">
        <f t="shared" si="2"/>
        <v/>
      </c>
      <c r="AD35" s="218"/>
      <c r="AE35" s="42" t="str">
        <f>IF(AND(B35&lt;&gt;""),IF($AD$9&lt;&gt;0,VLOOKUP(AD35/$AD$9*100,TRANSMUTATION_TABLE!$A$2:$B$102,2),""),"")</f>
        <v/>
      </c>
      <c r="AF35" s="50">
        <f>Attendance!AM32</f>
        <v>0</v>
      </c>
      <c r="AG35" s="42" t="str">
        <f>IF(AND(B35&lt;&gt;""),IF($AF$9&lt;&gt;0,VLOOKUP(AF35/$AF$9*100,TRANSMUTATION_TABLE!$A$2:$B$102,2),""),"")</f>
        <v/>
      </c>
      <c r="AH35" s="31"/>
      <c r="AI35" s="45" t="str">
        <f>IF(AND(B35&lt;&gt;""),IF($AH$9&lt;&gt;0,VLOOKUP(AH35/$AH$9*100,TRANSMUTATION_TABLE!$A$2:$B$102,2),""),"")</f>
        <v/>
      </c>
      <c r="AJ35" s="45" t="str">
        <f>IF(OR(K35&lt;&gt;"",T35&lt;&gt;"",AC35&lt;&gt;"",AI35&lt;&gt;"",AG35&lt;&gt;""),SUM(PRODUCT(K35,IF(Settings!$F$17&lt;&gt;0,Settings!$F$17/100,0)),PRODUCT(Midterm!T35,IF(Settings!$F$18&lt;&gt;0,Settings!$F$18/100,0)),PRODUCT(Midterm!AC35,IF(Settings!$F$19&lt;&gt;0,Settings!$F$19/100,0)),PRODUCT(Midterm!AG35,IF(Settings!$F$20&lt;&gt;0,Settings!$F$20/100,0)),PRODUCT(Midterm!AI35,IF(Settings!$F$21&lt;&gt;0,Settings!$F$21/100,0))),"")</f>
        <v/>
      </c>
      <c r="AK35" s="83" t="str">
        <f>Prelim!AJ35</f>
        <v/>
      </c>
      <c r="AL35" s="46" t="str">
        <f>IF(Prelim!AJ35&lt;&gt;"",IF(AJ35&lt;&gt;"",AJ35*0.7+Prelim!AJ35*0.3,""),"")</f>
        <v/>
      </c>
    </row>
    <row r="36" spans="1:38" ht="12" customHeight="1" thickBot="1" x14ac:dyDescent="0.35">
      <c r="A36" s="52"/>
      <c r="B36" s="60"/>
      <c r="C36" s="31"/>
      <c r="D36" s="42" t="str">
        <f>IF(AND(B36&lt;&gt;""),IF($C$9&lt;&gt;0,VLOOKUP(C36/$C$9*100,TRANSMUTATION_TABLE!$A$2:$B$102,2),""),"")</f>
        <v/>
      </c>
      <c r="E36" s="31"/>
      <c r="F36" s="42" t="str">
        <f>IF(AND(B36&lt;&gt;""),IF($E$9&lt;&gt;0,VLOOKUP(E36/$E$9*100,TRANSMUTATION_TABLE!$A$2:$B$102,2),""),"")</f>
        <v/>
      </c>
      <c r="G36" s="31"/>
      <c r="H36" s="42" t="str">
        <f>IF(AND(B36&lt;&gt;""),IF($G$9&lt;&gt;0,VLOOKUP(G36/$G$9*100,TRANSMUTATION_TABLE!$A$2:$B$102,2),""),"")</f>
        <v/>
      </c>
      <c r="I36" s="31"/>
      <c r="J36" s="43" t="str">
        <f>IF(AND(B36&lt;&gt;""),IF($I$9&lt;&gt;0,VLOOKUP(I36/$I$9*100,TRANSMUTATION_TABLE!$A$2:$B$102,2),""),"")</f>
        <v/>
      </c>
      <c r="K36" s="48" t="str">
        <f t="shared" si="0"/>
        <v/>
      </c>
      <c r="L36" s="31"/>
      <c r="M36" s="42" t="str">
        <f>IF(AND(B36&lt;&gt;""),IF($L$9&lt;&gt;0,VLOOKUP(L36/$L$9*100,TRANSMUTATION_TABLE!$A$2:$B$102,2),""),"")</f>
        <v/>
      </c>
      <c r="N36" s="31"/>
      <c r="O36" s="42" t="str">
        <f>IF(AND(B36&lt;&gt;""),IF($N$9&lt;&gt;0,VLOOKUP(N36/$N$9*100,TRANSMUTATION_TABLE!$A$2:$B$102,2),""),"")</f>
        <v/>
      </c>
      <c r="P36" s="31"/>
      <c r="Q36" s="42" t="str">
        <f>IF(AND(B36&lt;&gt;""),IF($P$9&lt;&gt;0,VLOOKUP(P36/$P$9*100,TRANSMUTATION_TABLE!$A$2:$B$102,2),""),"")</f>
        <v/>
      </c>
      <c r="R36" s="31"/>
      <c r="S36" s="43" t="str">
        <f>IF(AND(B36&lt;&gt;""),IF($R$9&lt;&gt;0,VLOOKUP(R36/$R$9*100,TRANSMUTATION_TABLE!$A$2:$B$102,2),""),"")</f>
        <v/>
      </c>
      <c r="T36" s="48" t="str">
        <f t="shared" si="1"/>
        <v/>
      </c>
      <c r="U36" s="31"/>
      <c r="V36" s="42" t="str">
        <f>IF(AND(B36&lt;&gt;""),IF($U$9&lt;&gt;0,VLOOKUP(U36/$U$9*100,TRANSMUTATION_TABLE!$A$2:$B$102,2),""),"")</f>
        <v/>
      </c>
      <c r="W36" s="31"/>
      <c r="X36" s="42" t="str">
        <f>IF(AND(B36&lt;&gt;""),IF($W$9&lt;&gt;0,VLOOKUP(W36/$W$9*100,TRANSMUTATION_TABLE!$A$2:$B$102,2),""),"")</f>
        <v/>
      </c>
      <c r="Y36" s="31"/>
      <c r="Z36" s="42" t="str">
        <f>IF(AND(B36&lt;&gt;""),IF($Y$9&lt;&gt;0,VLOOKUP(Y36/$Y$9*100,TRANSMUTATION_TABLE!$A$2:$B$102,2),""),"")</f>
        <v/>
      </c>
      <c r="AA36" s="31"/>
      <c r="AB36" s="43" t="str">
        <f>IF(AND(B36&lt;&gt;""),IF($AA$9&lt;&gt;0,VLOOKUP(AA36/$AA$9*100,TRANSMUTATION_TABLE!$A$2:$B$102,2),""),"")</f>
        <v/>
      </c>
      <c r="AC36" s="48" t="str">
        <f t="shared" si="2"/>
        <v/>
      </c>
      <c r="AD36" s="216"/>
      <c r="AE36" s="42" t="str">
        <f>IF(AND(B36&lt;&gt;""),IF($AD$9&lt;&gt;0,VLOOKUP(AD36/$AD$9*100,TRANSMUTATION_TABLE!$A$2:$B$102,2),""),"")</f>
        <v/>
      </c>
      <c r="AF36" s="50">
        <f>Attendance!AM33</f>
        <v>0</v>
      </c>
      <c r="AG36" s="42" t="str">
        <f>IF(AND(B36&lt;&gt;""),IF($AF$9&lt;&gt;0,VLOOKUP(AF36/$AF$9*100,TRANSMUTATION_TABLE!$A$2:$B$102,2),""),"")</f>
        <v/>
      </c>
      <c r="AH36" s="31"/>
      <c r="AI36" s="45" t="str">
        <f>IF(AND(B36&lt;&gt;""),IF($AH$9&lt;&gt;0,VLOOKUP(AH36/$AH$9*100,TRANSMUTATION_TABLE!$A$2:$B$102,2),""),"")</f>
        <v/>
      </c>
      <c r="AJ36" s="45" t="str">
        <f>IF(OR(K36&lt;&gt;"",T36&lt;&gt;"",AC36&lt;&gt;"",AI36&lt;&gt;"",AG36&lt;&gt;""),SUM(PRODUCT(K36,IF(Settings!$F$17&lt;&gt;0,Settings!$F$17/100,0)),PRODUCT(Midterm!T36,IF(Settings!$F$18&lt;&gt;0,Settings!$F$18/100,0)),PRODUCT(Midterm!AC36,IF(Settings!$F$19&lt;&gt;0,Settings!$F$19/100,0)),PRODUCT(Midterm!AG36,IF(Settings!$F$20&lt;&gt;0,Settings!$F$20/100,0)),PRODUCT(Midterm!AI36,IF(Settings!$F$21&lt;&gt;0,Settings!$F$21/100,0))),"")</f>
        <v/>
      </c>
      <c r="AK36" s="83" t="str">
        <f>Prelim!AJ36</f>
        <v/>
      </c>
      <c r="AL36" s="46" t="str">
        <f>IF(Prelim!AJ36&lt;&gt;"",IF(AJ36&lt;&gt;"",AJ36*0.7+Prelim!AJ36*0.3,""),"")</f>
        <v/>
      </c>
    </row>
    <row r="37" spans="1:38" ht="12" customHeight="1" thickBot="1" x14ac:dyDescent="0.35">
      <c r="A37" s="52"/>
      <c r="B37" s="60"/>
      <c r="C37" s="31"/>
      <c r="D37" s="42" t="str">
        <f>IF(AND(B37&lt;&gt;""),IF($C$9&lt;&gt;0,VLOOKUP(C37/$C$9*100,TRANSMUTATION_TABLE!$A$2:$B$102,2),""),"")</f>
        <v/>
      </c>
      <c r="E37" s="31"/>
      <c r="F37" s="42" t="str">
        <f>IF(AND(B37&lt;&gt;""),IF($E$9&lt;&gt;0,VLOOKUP(E37/$E$9*100,TRANSMUTATION_TABLE!$A$2:$B$102,2),""),"")</f>
        <v/>
      </c>
      <c r="G37" s="31"/>
      <c r="H37" s="42" t="str">
        <f>IF(AND(B37&lt;&gt;""),IF($G$9&lt;&gt;0,VLOOKUP(G37/$G$9*100,TRANSMUTATION_TABLE!$A$2:$B$102,2),""),"")</f>
        <v/>
      </c>
      <c r="I37" s="31"/>
      <c r="J37" s="43" t="str">
        <f>IF(AND(B37&lt;&gt;""),IF($I$9&lt;&gt;0,VLOOKUP(I37/$I$9*100,TRANSMUTATION_TABLE!$A$2:$B$102,2),""),"")</f>
        <v/>
      </c>
      <c r="K37" s="48" t="str">
        <f t="shared" si="0"/>
        <v/>
      </c>
      <c r="L37" s="31"/>
      <c r="M37" s="42" t="str">
        <f>IF(AND(B37&lt;&gt;""),IF($L$9&lt;&gt;0,VLOOKUP(L37/$L$9*100,TRANSMUTATION_TABLE!$A$2:$B$102,2),""),"")</f>
        <v/>
      </c>
      <c r="N37" s="31"/>
      <c r="O37" s="42" t="str">
        <f>IF(AND(B37&lt;&gt;""),IF($N$9&lt;&gt;0,VLOOKUP(N37/$N$9*100,TRANSMUTATION_TABLE!$A$2:$B$102,2),""),"")</f>
        <v/>
      </c>
      <c r="P37" s="31"/>
      <c r="Q37" s="42" t="str">
        <f>IF(AND(B37&lt;&gt;""),IF($P$9&lt;&gt;0,VLOOKUP(P37/$P$9*100,TRANSMUTATION_TABLE!$A$2:$B$102,2),""),"")</f>
        <v/>
      </c>
      <c r="R37" s="31"/>
      <c r="S37" s="43" t="str">
        <f>IF(AND(B37&lt;&gt;""),IF($R$9&lt;&gt;0,VLOOKUP(R37/$R$9*100,TRANSMUTATION_TABLE!$A$2:$B$102,2),""),"")</f>
        <v/>
      </c>
      <c r="T37" s="48" t="str">
        <f t="shared" si="1"/>
        <v/>
      </c>
      <c r="U37" s="31"/>
      <c r="V37" s="42" t="str">
        <f>IF(AND(B37&lt;&gt;""),IF($U$9&lt;&gt;0,VLOOKUP(U37/$U$9*100,TRANSMUTATION_TABLE!$A$2:$B$102,2),""),"")</f>
        <v/>
      </c>
      <c r="W37" s="31"/>
      <c r="X37" s="42" t="str">
        <f>IF(AND(B37&lt;&gt;""),IF($W$9&lt;&gt;0,VLOOKUP(W37/$W$9*100,TRANSMUTATION_TABLE!$A$2:$B$102,2),""),"")</f>
        <v/>
      </c>
      <c r="Y37" s="31"/>
      <c r="Z37" s="42" t="str">
        <f>IF(AND(B37&lt;&gt;""),IF($Y$9&lt;&gt;0,VLOOKUP(Y37/$Y$9*100,TRANSMUTATION_TABLE!$A$2:$B$102,2),""),"")</f>
        <v/>
      </c>
      <c r="AA37" s="31"/>
      <c r="AB37" s="43" t="str">
        <f>IF(AND(B37&lt;&gt;""),IF($AA$9&lt;&gt;0,VLOOKUP(AA37/$AA$9*100,TRANSMUTATION_TABLE!$A$2:$B$102,2),""),"")</f>
        <v/>
      </c>
      <c r="AC37" s="48" t="str">
        <f t="shared" si="2"/>
        <v/>
      </c>
      <c r="AD37" s="216"/>
      <c r="AE37" s="42" t="str">
        <f>IF(AND(B37&lt;&gt;""),IF($AD$9&lt;&gt;0,VLOOKUP(AD37/$AD$9*100,TRANSMUTATION_TABLE!$A$2:$B$102,2),""),"")</f>
        <v/>
      </c>
      <c r="AF37" s="50">
        <f>Attendance!AM34</f>
        <v>0</v>
      </c>
      <c r="AG37" s="42" t="str">
        <f>IF(AND(B37&lt;&gt;""),IF($AF$9&lt;&gt;0,VLOOKUP(AF37/$AF$9*100,TRANSMUTATION_TABLE!$A$2:$B$102,2),""),"")</f>
        <v/>
      </c>
      <c r="AH37" s="31"/>
      <c r="AI37" s="45" t="str">
        <f>IF(AND(B37&lt;&gt;""),IF($AH$9&lt;&gt;0,VLOOKUP(AH37/$AH$9*100,TRANSMUTATION_TABLE!$A$2:$B$102,2),""),"")</f>
        <v/>
      </c>
      <c r="AJ37" s="45" t="str">
        <f>IF(OR(K37&lt;&gt;"",T37&lt;&gt;"",AC37&lt;&gt;"",AI37&lt;&gt;"",AG37&lt;&gt;""),SUM(PRODUCT(K37,IF(Settings!$F$17&lt;&gt;0,Settings!$F$17/100,0)),PRODUCT(Midterm!T37,IF(Settings!$F$18&lt;&gt;0,Settings!$F$18/100,0)),PRODUCT(Midterm!AC37,IF(Settings!$F$19&lt;&gt;0,Settings!$F$19/100,0)),PRODUCT(Midterm!AG37,IF(Settings!$F$20&lt;&gt;0,Settings!$F$20/100,0)),PRODUCT(Midterm!AI37,IF(Settings!$F$21&lt;&gt;0,Settings!$F$21/100,0))),"")</f>
        <v/>
      </c>
      <c r="AK37" s="83" t="str">
        <f>Prelim!AJ37</f>
        <v/>
      </c>
      <c r="AL37" s="46" t="str">
        <f>IF(Prelim!AJ37&lt;&gt;"",IF(AJ37&lt;&gt;"",AJ37*0.7+Prelim!AJ37*0.3,""),"")</f>
        <v/>
      </c>
    </row>
    <row r="38" spans="1:38" ht="12" customHeight="1" thickBot="1" x14ac:dyDescent="0.35">
      <c r="A38" s="52"/>
      <c r="B38" s="60"/>
      <c r="C38" s="31"/>
      <c r="D38" s="42" t="str">
        <f>IF(AND(B38&lt;&gt;""),IF($C$9&lt;&gt;0,VLOOKUP(C38/$C$9*100,TRANSMUTATION_TABLE!$A$2:$B$102,2),""),"")</f>
        <v/>
      </c>
      <c r="E38" s="31"/>
      <c r="F38" s="42" t="str">
        <f>IF(AND(B38&lt;&gt;""),IF($E$9&lt;&gt;0,VLOOKUP(E38/$E$9*100,TRANSMUTATION_TABLE!$A$2:$B$102,2),""),"")</f>
        <v/>
      </c>
      <c r="G38" s="31"/>
      <c r="H38" s="42" t="str">
        <f>IF(AND(B38&lt;&gt;""),IF($G$9&lt;&gt;0,VLOOKUP(G38/$G$9*100,TRANSMUTATION_TABLE!$A$2:$B$102,2),""),"")</f>
        <v/>
      </c>
      <c r="I38" s="31"/>
      <c r="J38" s="43" t="str">
        <f>IF(AND(B38&lt;&gt;""),IF($I$9&lt;&gt;0,VLOOKUP(I38/$I$9*100,TRANSMUTATION_TABLE!$A$2:$B$102,2),""),"")</f>
        <v/>
      </c>
      <c r="K38" s="48" t="str">
        <f t="shared" si="0"/>
        <v/>
      </c>
      <c r="L38" s="31"/>
      <c r="M38" s="42" t="str">
        <f>IF(AND(B38&lt;&gt;""),IF($L$9&lt;&gt;0,VLOOKUP(L38/$L$9*100,TRANSMUTATION_TABLE!$A$2:$B$102,2),""),"")</f>
        <v/>
      </c>
      <c r="N38" s="31"/>
      <c r="O38" s="42" t="str">
        <f>IF(AND(B38&lt;&gt;""),IF($N$9&lt;&gt;0,VLOOKUP(N38/$N$9*100,TRANSMUTATION_TABLE!$A$2:$B$102,2),""),"")</f>
        <v/>
      </c>
      <c r="P38" s="31"/>
      <c r="Q38" s="42" t="str">
        <f>IF(AND(B38&lt;&gt;""),IF($P$9&lt;&gt;0,VLOOKUP(P38/$P$9*100,TRANSMUTATION_TABLE!$A$2:$B$102,2),""),"")</f>
        <v/>
      </c>
      <c r="R38" s="31"/>
      <c r="S38" s="43" t="str">
        <f>IF(AND(B38&lt;&gt;""),IF($R$9&lt;&gt;0,VLOOKUP(R38/$R$9*100,TRANSMUTATION_TABLE!$A$2:$B$102,2),""),"")</f>
        <v/>
      </c>
      <c r="T38" s="48" t="str">
        <f t="shared" si="1"/>
        <v/>
      </c>
      <c r="U38" s="31"/>
      <c r="V38" s="42" t="str">
        <f>IF(AND(B38&lt;&gt;""),IF($U$9&lt;&gt;0,VLOOKUP(U38/$U$9*100,TRANSMUTATION_TABLE!$A$2:$B$102,2),""),"")</f>
        <v/>
      </c>
      <c r="W38" s="31"/>
      <c r="X38" s="42" t="str">
        <f>IF(AND(B38&lt;&gt;""),IF($W$9&lt;&gt;0,VLOOKUP(W38/$W$9*100,TRANSMUTATION_TABLE!$A$2:$B$102,2),""),"")</f>
        <v/>
      </c>
      <c r="Y38" s="31"/>
      <c r="Z38" s="42" t="str">
        <f>IF(AND(B38&lt;&gt;""),IF($Y$9&lt;&gt;0,VLOOKUP(Y38/$Y$9*100,TRANSMUTATION_TABLE!$A$2:$B$102,2),""),"")</f>
        <v/>
      </c>
      <c r="AA38" s="31"/>
      <c r="AB38" s="43" t="str">
        <f>IF(AND(B38&lt;&gt;""),IF($AA$9&lt;&gt;0,VLOOKUP(AA38/$AA$9*100,TRANSMUTATION_TABLE!$A$2:$B$102,2),""),"")</f>
        <v/>
      </c>
      <c r="AC38" s="48" t="str">
        <f t="shared" si="2"/>
        <v/>
      </c>
      <c r="AD38" s="216"/>
      <c r="AE38" s="42" t="str">
        <f>IF(AND(B38&lt;&gt;""),IF($AD$9&lt;&gt;0,VLOOKUP(AD38/$AD$9*100,TRANSMUTATION_TABLE!$A$2:$B$102,2),""),"")</f>
        <v/>
      </c>
      <c r="AF38" s="50">
        <f>Attendance!AM35</f>
        <v>0</v>
      </c>
      <c r="AG38" s="42" t="str">
        <f>IF(AND(B38&lt;&gt;""),IF($AF$9&lt;&gt;0,VLOOKUP(AF38/$AF$9*100,TRANSMUTATION_TABLE!$A$2:$B$102,2),""),"")</f>
        <v/>
      </c>
      <c r="AH38" s="31"/>
      <c r="AI38" s="45" t="str">
        <f>IF(AND(B38&lt;&gt;""),IF($AH$9&lt;&gt;0,VLOOKUP(AH38/$AH$9*100,TRANSMUTATION_TABLE!$A$2:$B$102,2),""),"")</f>
        <v/>
      </c>
      <c r="AJ38" s="45" t="str">
        <f>IF(OR(K38&lt;&gt;"",T38&lt;&gt;"",AC38&lt;&gt;"",AI38&lt;&gt;"",AG38&lt;&gt;""),SUM(PRODUCT(K38,IF(Settings!$F$17&lt;&gt;0,Settings!$F$17/100,0)),PRODUCT(Midterm!T38,IF(Settings!$F$18&lt;&gt;0,Settings!$F$18/100,0)),PRODUCT(Midterm!AC38,IF(Settings!$F$19&lt;&gt;0,Settings!$F$19/100,0)),PRODUCT(Midterm!AG38,IF(Settings!$F$20&lt;&gt;0,Settings!$F$20/100,0)),PRODUCT(Midterm!AI38,IF(Settings!$F$21&lt;&gt;0,Settings!$F$21/100,0))),"")</f>
        <v/>
      </c>
      <c r="AK38" s="83" t="str">
        <f>Prelim!AJ38</f>
        <v/>
      </c>
      <c r="AL38" s="46" t="str">
        <f>IF(Prelim!AJ38&lt;&gt;"",IF(AJ38&lt;&gt;"",AJ38*0.7+Prelim!AJ38*0.3,""),"")</f>
        <v/>
      </c>
    </row>
    <row r="39" spans="1:38" ht="12" customHeight="1" thickBot="1" x14ac:dyDescent="0.35">
      <c r="A39" s="54"/>
      <c r="B39" s="60"/>
      <c r="C39" s="214"/>
      <c r="D39" s="42" t="str">
        <f>IF(AND(B39&lt;&gt;""),IF($C$9&lt;&gt;0,VLOOKUP(C39/$C$9*100,TRANSMUTATION_TABLE!$A$2:$B$102,2),""),"")</f>
        <v/>
      </c>
      <c r="E39" s="214"/>
      <c r="F39" s="42" t="str">
        <f>IF(AND(B39&lt;&gt;""),IF($E$9&lt;&gt;0,VLOOKUP(E39/$E$9*100,TRANSMUTATION_TABLE!$A$2:$B$102,2),""),"")</f>
        <v/>
      </c>
      <c r="G39" s="214"/>
      <c r="H39" s="42" t="str">
        <f>IF(AND(B39&lt;&gt;""),IF($G$9&lt;&gt;0,VLOOKUP(G39/$G$9*100,TRANSMUTATION_TABLE!$A$2:$B$102,2),""),"")</f>
        <v/>
      </c>
      <c r="I39" s="214"/>
      <c r="J39" s="43" t="str">
        <f>IF(AND(B39&lt;&gt;""),IF($I$9&lt;&gt;0,VLOOKUP(I39/$I$9*100,TRANSMUTATION_TABLE!$A$2:$B$102,2),""),"")</f>
        <v/>
      </c>
      <c r="K39" s="48" t="str">
        <f t="shared" si="0"/>
        <v/>
      </c>
      <c r="L39" s="214"/>
      <c r="M39" s="42" t="str">
        <f>IF(AND(B39&lt;&gt;""),IF($L$9&lt;&gt;0,VLOOKUP(L39/$L$9*100,TRANSMUTATION_TABLE!$A$2:$B$102,2),""),"")</f>
        <v/>
      </c>
      <c r="N39" s="214"/>
      <c r="O39" s="42" t="str">
        <f>IF(AND(B39&lt;&gt;""),IF($N$9&lt;&gt;0,VLOOKUP(N39/$N$9*100,TRANSMUTATION_TABLE!$A$2:$B$102,2),""),"")</f>
        <v/>
      </c>
      <c r="P39" s="214"/>
      <c r="Q39" s="42" t="str">
        <f>IF(AND(B39&lt;&gt;""),IF($P$9&lt;&gt;0,VLOOKUP(P39/$P$9*100,TRANSMUTATION_TABLE!$A$2:$B$102,2),""),"")</f>
        <v/>
      </c>
      <c r="R39" s="214"/>
      <c r="S39" s="43" t="str">
        <f>IF(AND(B39&lt;&gt;""),IF($R$9&lt;&gt;0,VLOOKUP(R39/$R$9*100,TRANSMUTATION_TABLE!$A$2:$B$102,2),""),"")</f>
        <v/>
      </c>
      <c r="T39" s="48" t="str">
        <f t="shared" si="1"/>
        <v/>
      </c>
      <c r="U39" s="214"/>
      <c r="V39" s="42" t="str">
        <f>IF(AND(B39&lt;&gt;""),IF($U$9&lt;&gt;0,VLOOKUP(U39/$U$9*100,TRANSMUTATION_TABLE!$A$2:$B$102,2),""),"")</f>
        <v/>
      </c>
      <c r="W39" s="214"/>
      <c r="X39" s="42" t="str">
        <f>IF(AND(B39&lt;&gt;""),IF($W$9&lt;&gt;0,VLOOKUP(W39/$W$9*100,TRANSMUTATION_TABLE!$A$2:$B$102,2),""),"")</f>
        <v/>
      </c>
      <c r="Y39" s="214"/>
      <c r="Z39" s="42" t="str">
        <f>IF(AND(B39&lt;&gt;""),IF($Y$9&lt;&gt;0,VLOOKUP(Y39/$Y$9*100,TRANSMUTATION_TABLE!$A$2:$B$102,2),""),"")</f>
        <v/>
      </c>
      <c r="AA39" s="214"/>
      <c r="AB39" s="43" t="str">
        <f>IF(AND(B39&lt;&gt;""),IF($AA$9&lt;&gt;0,VLOOKUP(AA39/$AA$9*100,TRANSMUTATION_TABLE!$A$2:$B$102,2),""),"")</f>
        <v/>
      </c>
      <c r="AC39" s="48" t="str">
        <f t="shared" si="2"/>
        <v/>
      </c>
      <c r="AD39" s="217"/>
      <c r="AE39" s="42" t="str">
        <f>IF(AND(B39&lt;&gt;""),IF($AD$9&lt;&gt;0,VLOOKUP(AD39/$AD$9*100,TRANSMUTATION_TABLE!$A$2:$B$102,2),""),"")</f>
        <v/>
      </c>
      <c r="AF39" s="50">
        <f>Attendance!AM36</f>
        <v>0</v>
      </c>
      <c r="AG39" s="42" t="str">
        <f>IF(AND(B39&lt;&gt;""),IF($AF$9&lt;&gt;0,VLOOKUP(AF39/$AF$9*100,TRANSMUTATION_TABLE!$A$2:$B$102,2),""),"")</f>
        <v/>
      </c>
      <c r="AH39" s="214"/>
      <c r="AI39" s="45" t="str">
        <f>IF(AND(B39&lt;&gt;""),IF($AH$9&lt;&gt;0,VLOOKUP(AH39/$AH$9*100,TRANSMUTATION_TABLE!$A$2:$B$102,2),""),"")</f>
        <v/>
      </c>
      <c r="AJ39" s="45" t="str">
        <f>IF(OR(K39&lt;&gt;"",T39&lt;&gt;"",AC39&lt;&gt;"",AI39&lt;&gt;"",AG39&lt;&gt;""),SUM(PRODUCT(K39,IF(Settings!$F$17&lt;&gt;0,Settings!$F$17/100,0)),PRODUCT(Midterm!T39,IF(Settings!$F$18&lt;&gt;0,Settings!$F$18/100,0)),PRODUCT(Midterm!AC39,IF(Settings!$F$19&lt;&gt;0,Settings!$F$19/100,0)),PRODUCT(Midterm!AG39,IF(Settings!$F$20&lt;&gt;0,Settings!$F$20/100,0)),PRODUCT(Midterm!AI39,IF(Settings!$F$21&lt;&gt;0,Settings!$F$21/100,0))),"")</f>
        <v/>
      </c>
      <c r="AK39" s="83" t="str">
        <f>Prelim!AJ39</f>
        <v/>
      </c>
      <c r="AL39" s="46" t="str">
        <f>IF(Prelim!AJ39&lt;&gt;"",IF(AJ39&lt;&gt;"",AJ39*0.7+Prelim!AJ39*0.3,""),"")</f>
        <v/>
      </c>
    </row>
    <row r="40" spans="1:38" ht="12" customHeight="1" thickBot="1" x14ac:dyDescent="0.35">
      <c r="A40" s="47"/>
      <c r="B40" s="60"/>
      <c r="C40" s="31"/>
      <c r="D40" s="42" t="str">
        <f>IF(AND(B40&lt;&gt;""),IF($C$9&lt;&gt;0,VLOOKUP(C40/$C$9*100,TRANSMUTATION_TABLE!$A$2:$B$102,2),""),"")</f>
        <v/>
      </c>
      <c r="E40" s="31"/>
      <c r="F40" s="42" t="str">
        <f>IF(AND(B40&lt;&gt;""),IF($E$9&lt;&gt;0,VLOOKUP(E40/$E$9*100,TRANSMUTATION_TABLE!$A$2:$B$102,2),""),"")</f>
        <v/>
      </c>
      <c r="G40" s="31"/>
      <c r="H40" s="42" t="str">
        <f>IF(AND(B40&lt;&gt;""),IF($G$9&lt;&gt;0,VLOOKUP(G40/$G$9*100,TRANSMUTATION_TABLE!$A$2:$B$102,2),""),"")</f>
        <v/>
      </c>
      <c r="I40" s="31"/>
      <c r="J40" s="43" t="str">
        <f>IF(AND(B40&lt;&gt;""),IF($I$9&lt;&gt;0,VLOOKUP(I40/$I$9*100,TRANSMUTATION_TABLE!$A$2:$B$102,2),""),"")</f>
        <v/>
      </c>
      <c r="K40" s="48" t="str">
        <f t="shared" si="0"/>
        <v/>
      </c>
      <c r="L40" s="31"/>
      <c r="M40" s="42" t="str">
        <f>IF(AND(B40&lt;&gt;""),IF($L$9&lt;&gt;0,VLOOKUP(L40/$L$9*100,TRANSMUTATION_TABLE!$A$2:$B$102,2),""),"")</f>
        <v/>
      </c>
      <c r="N40" s="31"/>
      <c r="O40" s="42" t="str">
        <f>IF(AND(B40&lt;&gt;""),IF($N$9&lt;&gt;0,VLOOKUP(N40/$N$9*100,TRANSMUTATION_TABLE!$A$2:$B$102,2),""),"")</f>
        <v/>
      </c>
      <c r="P40" s="31"/>
      <c r="Q40" s="42" t="str">
        <f>IF(AND(B40&lt;&gt;""),IF($P$9&lt;&gt;0,VLOOKUP(P40/$P$9*100,TRANSMUTATION_TABLE!$A$2:$B$102,2),""),"")</f>
        <v/>
      </c>
      <c r="R40" s="31"/>
      <c r="S40" s="43" t="str">
        <f>IF(AND(B40&lt;&gt;""),IF($R$9&lt;&gt;0,VLOOKUP(R40/$R$9*100,TRANSMUTATION_TABLE!$A$2:$B$102,2),""),"")</f>
        <v/>
      </c>
      <c r="T40" s="48" t="str">
        <f t="shared" si="1"/>
        <v/>
      </c>
      <c r="U40" s="31"/>
      <c r="V40" s="42" t="str">
        <f>IF(AND(B40&lt;&gt;""),IF($U$9&lt;&gt;0,VLOOKUP(U40/$U$9*100,TRANSMUTATION_TABLE!$A$2:$B$102,2),""),"")</f>
        <v/>
      </c>
      <c r="W40" s="31"/>
      <c r="X40" s="42" t="str">
        <f>IF(AND(B40&lt;&gt;""),IF($W$9&lt;&gt;0,VLOOKUP(W40/$W$9*100,TRANSMUTATION_TABLE!$A$2:$B$102,2),""),"")</f>
        <v/>
      </c>
      <c r="Y40" s="31"/>
      <c r="Z40" s="42" t="str">
        <f>IF(AND(B40&lt;&gt;""),IF($Y$9&lt;&gt;0,VLOOKUP(Y40/$Y$9*100,TRANSMUTATION_TABLE!$A$2:$B$102,2),""),"")</f>
        <v/>
      </c>
      <c r="AA40" s="31"/>
      <c r="AB40" s="43" t="str">
        <f>IF(AND(B40&lt;&gt;""),IF($AA$9&lt;&gt;0,VLOOKUP(AA40/$AA$9*100,TRANSMUTATION_TABLE!$A$2:$B$102,2),""),"")</f>
        <v/>
      </c>
      <c r="AC40" s="48" t="str">
        <f t="shared" si="2"/>
        <v/>
      </c>
      <c r="AD40" s="218"/>
      <c r="AE40" s="42" t="str">
        <f>IF(AND(B40&lt;&gt;""),IF($AD$9&lt;&gt;0,VLOOKUP(AD40/$AD$9*100,TRANSMUTATION_TABLE!$A$2:$B$102,2),""),"")</f>
        <v/>
      </c>
      <c r="AF40" s="50">
        <f>Attendance!AM37</f>
        <v>0</v>
      </c>
      <c r="AG40" s="42" t="str">
        <f>IF(AND(B40&lt;&gt;""),IF($AF$9&lt;&gt;0,VLOOKUP(AF40/$AF$9*100,TRANSMUTATION_TABLE!$A$2:$B$102,2),""),"")</f>
        <v/>
      </c>
      <c r="AH40" s="31"/>
      <c r="AI40" s="45" t="str">
        <f>IF(AND(B40&lt;&gt;""),IF($AH$9&lt;&gt;0,VLOOKUP(AH40/$AH$9*100,TRANSMUTATION_TABLE!$A$2:$B$102,2),""),"")</f>
        <v/>
      </c>
      <c r="AJ40" s="45" t="str">
        <f>IF(OR(K40&lt;&gt;"",T40&lt;&gt;"",AC40&lt;&gt;"",AI40&lt;&gt;"",AG40&lt;&gt;""),SUM(PRODUCT(K40,IF(Settings!$F$17&lt;&gt;0,Settings!$F$17/100,0)),PRODUCT(Midterm!T40,IF(Settings!$F$18&lt;&gt;0,Settings!$F$18/100,0)),PRODUCT(Midterm!AC40,IF(Settings!$F$19&lt;&gt;0,Settings!$F$19/100,0)),PRODUCT(Midterm!AG40,IF(Settings!$F$20&lt;&gt;0,Settings!$F$20/100,0)),PRODUCT(Midterm!AI40,IF(Settings!$F$21&lt;&gt;0,Settings!$F$21/100,0))),"")</f>
        <v/>
      </c>
      <c r="AK40" s="83" t="str">
        <f>Prelim!AJ40</f>
        <v/>
      </c>
      <c r="AL40" s="46" t="str">
        <f>IF(Prelim!AJ40&lt;&gt;"",IF(AJ40&lt;&gt;"",AJ40*0.7+Prelim!AJ40*0.3,""),"")</f>
        <v/>
      </c>
    </row>
    <row r="41" spans="1:38" ht="12" customHeight="1" thickBot="1" x14ac:dyDescent="0.35">
      <c r="A41" s="52"/>
      <c r="B41" s="60"/>
      <c r="C41" s="31"/>
      <c r="D41" s="42" t="str">
        <f>IF(AND(B41&lt;&gt;""),IF($C$9&lt;&gt;0,VLOOKUP(C41/$C$9*100,TRANSMUTATION_TABLE!$A$2:$B$102,2),""),"")</f>
        <v/>
      </c>
      <c r="E41" s="31"/>
      <c r="F41" s="42" t="str">
        <f>IF(AND(B41&lt;&gt;""),IF($E$9&lt;&gt;0,VLOOKUP(E41/$E$9*100,TRANSMUTATION_TABLE!$A$2:$B$102,2),""),"")</f>
        <v/>
      </c>
      <c r="G41" s="31"/>
      <c r="H41" s="42" t="str">
        <f>IF(AND(B41&lt;&gt;""),IF($G$9&lt;&gt;0,VLOOKUP(G41/$G$9*100,TRANSMUTATION_TABLE!$A$2:$B$102,2),""),"")</f>
        <v/>
      </c>
      <c r="I41" s="31"/>
      <c r="J41" s="43" t="str">
        <f>IF(AND(B41&lt;&gt;""),IF($I$9&lt;&gt;0,VLOOKUP(I41/$I$9*100,TRANSMUTATION_TABLE!$A$2:$B$102,2),""),"")</f>
        <v/>
      </c>
      <c r="K41" s="48" t="str">
        <f t="shared" si="0"/>
        <v/>
      </c>
      <c r="L41" s="31"/>
      <c r="M41" s="42" t="str">
        <f>IF(AND(B41&lt;&gt;""),IF($L$9&lt;&gt;0,VLOOKUP(L41/$L$9*100,TRANSMUTATION_TABLE!$A$2:$B$102,2),""),"")</f>
        <v/>
      </c>
      <c r="N41" s="31"/>
      <c r="O41" s="42" t="str">
        <f>IF(AND(B41&lt;&gt;""),IF($N$9&lt;&gt;0,VLOOKUP(N41/$N$9*100,TRANSMUTATION_TABLE!$A$2:$B$102,2),""),"")</f>
        <v/>
      </c>
      <c r="P41" s="31"/>
      <c r="Q41" s="42" t="str">
        <f>IF(AND(B41&lt;&gt;""),IF($P$9&lt;&gt;0,VLOOKUP(P41/$P$9*100,TRANSMUTATION_TABLE!$A$2:$B$102,2),""),"")</f>
        <v/>
      </c>
      <c r="R41" s="31"/>
      <c r="S41" s="43" t="str">
        <f>IF(AND(B41&lt;&gt;""),IF($R$9&lt;&gt;0,VLOOKUP(R41/$R$9*100,TRANSMUTATION_TABLE!$A$2:$B$102,2),""),"")</f>
        <v/>
      </c>
      <c r="T41" s="48" t="str">
        <f t="shared" si="1"/>
        <v/>
      </c>
      <c r="U41" s="31"/>
      <c r="V41" s="42" t="str">
        <f>IF(AND(B41&lt;&gt;""),IF($U$9&lt;&gt;0,VLOOKUP(U41/$U$9*100,TRANSMUTATION_TABLE!$A$2:$B$102,2),""),"")</f>
        <v/>
      </c>
      <c r="W41" s="31"/>
      <c r="X41" s="42" t="str">
        <f>IF(AND(B41&lt;&gt;""),IF($W$9&lt;&gt;0,VLOOKUP(W41/$W$9*100,TRANSMUTATION_TABLE!$A$2:$B$102,2),""),"")</f>
        <v/>
      </c>
      <c r="Y41" s="31"/>
      <c r="Z41" s="42" t="str">
        <f>IF(AND(B41&lt;&gt;""),IF($Y$9&lt;&gt;0,VLOOKUP(Y41/$Y$9*100,TRANSMUTATION_TABLE!$A$2:$B$102,2),""),"")</f>
        <v/>
      </c>
      <c r="AA41" s="31"/>
      <c r="AB41" s="43" t="str">
        <f>IF(AND(B41&lt;&gt;""),IF($AA$9&lt;&gt;0,VLOOKUP(AA41/$AA$9*100,TRANSMUTATION_TABLE!$A$2:$B$102,2),""),"")</f>
        <v/>
      </c>
      <c r="AC41" s="48" t="str">
        <f t="shared" si="2"/>
        <v/>
      </c>
      <c r="AD41" s="216"/>
      <c r="AE41" s="42" t="str">
        <f>IF(AND(B41&lt;&gt;""),IF($AD$9&lt;&gt;0,VLOOKUP(AD41/$AD$9*100,TRANSMUTATION_TABLE!$A$2:$B$102,2),""),"")</f>
        <v/>
      </c>
      <c r="AF41" s="50">
        <f>Attendance!AM38</f>
        <v>0</v>
      </c>
      <c r="AG41" s="42" t="str">
        <f>IF(AND(B41&lt;&gt;""),IF($AF$9&lt;&gt;0,VLOOKUP(AF41/$AF$9*100,TRANSMUTATION_TABLE!$A$2:$B$102,2),""),"")</f>
        <v/>
      </c>
      <c r="AH41" s="31"/>
      <c r="AI41" s="45" t="str">
        <f>IF(AND(B41&lt;&gt;""),IF($AH$9&lt;&gt;0,VLOOKUP(AH41/$AH$9*100,TRANSMUTATION_TABLE!$A$2:$B$102,2),""),"")</f>
        <v/>
      </c>
      <c r="AJ41" s="45" t="str">
        <f>IF(OR(K41&lt;&gt;"",T41&lt;&gt;"",AC41&lt;&gt;"",AI41&lt;&gt;"",AG41&lt;&gt;""),SUM(PRODUCT(K41,IF(Settings!$F$17&lt;&gt;0,Settings!$F$17/100,0)),PRODUCT(Midterm!T41,IF(Settings!$F$18&lt;&gt;0,Settings!$F$18/100,0)),PRODUCT(Midterm!AC41,IF(Settings!$F$19&lt;&gt;0,Settings!$F$19/100,0)),PRODUCT(Midterm!AG41,IF(Settings!$F$20&lt;&gt;0,Settings!$F$20/100,0)),PRODUCT(Midterm!AI41,IF(Settings!$F$21&lt;&gt;0,Settings!$F$21/100,0))),"")</f>
        <v/>
      </c>
      <c r="AK41" s="83" t="str">
        <f>Prelim!AJ41</f>
        <v/>
      </c>
      <c r="AL41" s="46" t="str">
        <f>IF(Prelim!AJ41&lt;&gt;"",IF(AJ41&lt;&gt;"",AJ41*0.7+Prelim!AJ41*0.3,""),"")</f>
        <v/>
      </c>
    </row>
    <row r="42" spans="1:38" ht="12" customHeight="1" thickBot="1" x14ac:dyDescent="0.35">
      <c r="A42" s="52"/>
      <c r="B42" s="60"/>
      <c r="C42" s="31"/>
      <c r="D42" s="42" t="str">
        <f>IF(AND(B42&lt;&gt;""),IF($C$9&lt;&gt;0,VLOOKUP(C42/$C$9*100,TRANSMUTATION_TABLE!$A$2:$B$102,2),""),"")</f>
        <v/>
      </c>
      <c r="E42" s="31"/>
      <c r="F42" s="42" t="str">
        <f>IF(AND(B42&lt;&gt;""),IF($E$9&lt;&gt;0,VLOOKUP(E42/$E$9*100,TRANSMUTATION_TABLE!$A$2:$B$102,2),""),"")</f>
        <v/>
      </c>
      <c r="G42" s="31"/>
      <c r="H42" s="42" t="str">
        <f>IF(AND(B42&lt;&gt;""),IF($G$9&lt;&gt;0,VLOOKUP(G42/$G$9*100,TRANSMUTATION_TABLE!$A$2:$B$102,2),""),"")</f>
        <v/>
      </c>
      <c r="I42" s="31"/>
      <c r="J42" s="43" t="str">
        <f>IF(AND(B42&lt;&gt;""),IF($I$9&lt;&gt;0,VLOOKUP(I42/$I$9*100,TRANSMUTATION_TABLE!$A$2:$B$102,2),""),"")</f>
        <v/>
      </c>
      <c r="K42" s="48" t="str">
        <f t="shared" si="0"/>
        <v/>
      </c>
      <c r="L42" s="31"/>
      <c r="M42" s="42" t="str">
        <f>IF(AND(B42&lt;&gt;""),IF($L$9&lt;&gt;0,VLOOKUP(L42/$L$9*100,TRANSMUTATION_TABLE!$A$2:$B$102,2),""),"")</f>
        <v/>
      </c>
      <c r="N42" s="31"/>
      <c r="O42" s="42" t="str">
        <f>IF(AND(B42&lt;&gt;""),IF($N$9&lt;&gt;0,VLOOKUP(N42/$N$9*100,TRANSMUTATION_TABLE!$A$2:$B$102,2),""),"")</f>
        <v/>
      </c>
      <c r="P42" s="31"/>
      <c r="Q42" s="42" t="str">
        <f>IF(AND(B42&lt;&gt;""),IF($P$9&lt;&gt;0,VLOOKUP(P42/$P$9*100,TRANSMUTATION_TABLE!$A$2:$B$102,2),""),"")</f>
        <v/>
      </c>
      <c r="R42" s="31"/>
      <c r="S42" s="43" t="str">
        <f>IF(AND(B42&lt;&gt;""),IF($R$9&lt;&gt;0,VLOOKUP(R42/$R$9*100,TRANSMUTATION_TABLE!$A$2:$B$102,2),""),"")</f>
        <v/>
      </c>
      <c r="T42" s="48" t="str">
        <f t="shared" si="1"/>
        <v/>
      </c>
      <c r="U42" s="31"/>
      <c r="V42" s="42" t="str">
        <f>IF(AND(B42&lt;&gt;""),IF($U$9&lt;&gt;0,VLOOKUP(U42/$U$9*100,TRANSMUTATION_TABLE!$A$2:$B$102,2),""),"")</f>
        <v/>
      </c>
      <c r="W42" s="31"/>
      <c r="X42" s="42" t="str">
        <f>IF(AND(B42&lt;&gt;""),IF($W$9&lt;&gt;0,VLOOKUP(W42/$W$9*100,TRANSMUTATION_TABLE!$A$2:$B$102,2),""),"")</f>
        <v/>
      </c>
      <c r="Y42" s="31"/>
      <c r="Z42" s="42" t="str">
        <f>IF(AND(B42&lt;&gt;""),IF($Y$9&lt;&gt;0,VLOOKUP(Y42/$Y$9*100,TRANSMUTATION_TABLE!$A$2:$B$102,2),""),"")</f>
        <v/>
      </c>
      <c r="AA42" s="31"/>
      <c r="AB42" s="43" t="str">
        <f>IF(AND(B42&lt;&gt;""),IF($AA$9&lt;&gt;0,VLOOKUP(AA42/$AA$9*100,TRANSMUTATION_TABLE!$A$2:$B$102,2),""),"")</f>
        <v/>
      </c>
      <c r="AC42" s="48" t="str">
        <f t="shared" si="2"/>
        <v/>
      </c>
      <c r="AD42" s="216"/>
      <c r="AE42" s="42" t="str">
        <f>IF(AND(B42&lt;&gt;""),IF($AD$9&lt;&gt;0,VLOOKUP(AD42/$AD$9*100,TRANSMUTATION_TABLE!$A$2:$B$102,2),""),"")</f>
        <v/>
      </c>
      <c r="AF42" s="50">
        <f>Attendance!AM39</f>
        <v>0</v>
      </c>
      <c r="AG42" s="42" t="str">
        <f>IF(AND(B42&lt;&gt;""),IF($AF$9&lt;&gt;0,VLOOKUP(AF42/$AF$9*100,TRANSMUTATION_TABLE!$A$2:$B$102,2),""),"")</f>
        <v/>
      </c>
      <c r="AH42" s="31"/>
      <c r="AI42" s="45" t="str">
        <f>IF(AND(B42&lt;&gt;""),IF($AH$9&lt;&gt;0,VLOOKUP(AH42/$AH$9*100,TRANSMUTATION_TABLE!$A$2:$B$102,2),""),"")</f>
        <v/>
      </c>
      <c r="AJ42" s="45" t="str">
        <f>IF(OR(K42&lt;&gt;"",T42&lt;&gt;"",AC42&lt;&gt;"",AI42&lt;&gt;"",AG42&lt;&gt;""),SUM(PRODUCT(K42,IF(Settings!$F$17&lt;&gt;0,Settings!$F$17/100,0)),PRODUCT(Midterm!T42,IF(Settings!$F$18&lt;&gt;0,Settings!$F$18/100,0)),PRODUCT(Midterm!AC42,IF(Settings!$F$19&lt;&gt;0,Settings!$F$19/100,0)),PRODUCT(Midterm!AG42,IF(Settings!$F$20&lt;&gt;0,Settings!$F$20/100,0)),PRODUCT(Midterm!AI42,IF(Settings!$F$21&lt;&gt;0,Settings!$F$21/100,0))),"")</f>
        <v/>
      </c>
      <c r="AK42" s="83" t="str">
        <f>Prelim!AJ42</f>
        <v/>
      </c>
      <c r="AL42" s="46" t="str">
        <f>IF(Prelim!AJ42&lt;&gt;"",IF(AJ42&lt;&gt;"",AJ42*0.7+Prelim!AJ42*0.3,""),"")</f>
        <v/>
      </c>
    </row>
    <row r="43" spans="1:38" ht="12" customHeight="1" thickBot="1" x14ac:dyDescent="0.35">
      <c r="A43" s="52"/>
      <c r="B43" s="60"/>
      <c r="C43" s="31"/>
      <c r="D43" s="42" t="str">
        <f>IF(AND(B43&lt;&gt;""),IF($C$9&lt;&gt;0,VLOOKUP(C43/$C$9*100,TRANSMUTATION_TABLE!$A$2:$B$102,2),""),"")</f>
        <v/>
      </c>
      <c r="E43" s="31"/>
      <c r="F43" s="42" t="str">
        <f>IF(AND(B43&lt;&gt;""),IF($E$9&lt;&gt;0,VLOOKUP(E43/$E$9*100,TRANSMUTATION_TABLE!$A$2:$B$102,2),""),"")</f>
        <v/>
      </c>
      <c r="G43" s="31"/>
      <c r="H43" s="42" t="str">
        <f>IF(AND(B43&lt;&gt;""),IF($G$9&lt;&gt;0,VLOOKUP(G43/$G$9*100,TRANSMUTATION_TABLE!$A$2:$B$102,2),""),"")</f>
        <v/>
      </c>
      <c r="I43" s="31"/>
      <c r="J43" s="43" t="str">
        <f>IF(AND(B43&lt;&gt;""),IF($I$9&lt;&gt;0,VLOOKUP(I43/$I$9*100,TRANSMUTATION_TABLE!$A$2:$B$102,2),""),"")</f>
        <v/>
      </c>
      <c r="K43" s="48" t="str">
        <f t="shared" si="0"/>
        <v/>
      </c>
      <c r="L43" s="31"/>
      <c r="M43" s="42" t="str">
        <f>IF(AND(B43&lt;&gt;""),IF($L$9&lt;&gt;0,VLOOKUP(L43/$L$9*100,TRANSMUTATION_TABLE!$A$2:$B$102,2),""),"")</f>
        <v/>
      </c>
      <c r="N43" s="31"/>
      <c r="O43" s="42" t="str">
        <f>IF(AND(B43&lt;&gt;""),IF($N$9&lt;&gt;0,VLOOKUP(N43/$N$9*100,TRANSMUTATION_TABLE!$A$2:$B$102,2),""),"")</f>
        <v/>
      </c>
      <c r="P43" s="31"/>
      <c r="Q43" s="42" t="str">
        <f>IF(AND(B43&lt;&gt;""),IF($P$9&lt;&gt;0,VLOOKUP(P43/$P$9*100,TRANSMUTATION_TABLE!$A$2:$B$102,2),""),"")</f>
        <v/>
      </c>
      <c r="R43" s="31"/>
      <c r="S43" s="43" t="str">
        <f>IF(AND(B43&lt;&gt;""),IF($R$9&lt;&gt;0,VLOOKUP(R43/$R$9*100,TRANSMUTATION_TABLE!$A$2:$B$102,2),""),"")</f>
        <v/>
      </c>
      <c r="T43" s="48" t="str">
        <f t="shared" si="1"/>
        <v/>
      </c>
      <c r="U43" s="31"/>
      <c r="V43" s="42" t="str">
        <f>IF(AND(B43&lt;&gt;""),IF($U$9&lt;&gt;0,VLOOKUP(U43/$U$9*100,TRANSMUTATION_TABLE!$A$2:$B$102,2),""),"")</f>
        <v/>
      </c>
      <c r="W43" s="31"/>
      <c r="X43" s="42" t="str">
        <f>IF(AND(B43&lt;&gt;""),IF($W$9&lt;&gt;0,VLOOKUP(W43/$W$9*100,TRANSMUTATION_TABLE!$A$2:$B$102,2),""),"")</f>
        <v/>
      </c>
      <c r="Y43" s="31"/>
      <c r="Z43" s="42" t="str">
        <f>IF(AND(B43&lt;&gt;""),IF($Y$9&lt;&gt;0,VLOOKUP(Y43/$Y$9*100,TRANSMUTATION_TABLE!$A$2:$B$102,2),""),"")</f>
        <v/>
      </c>
      <c r="AA43" s="31"/>
      <c r="AB43" s="43" t="str">
        <f>IF(AND(B43&lt;&gt;""),IF($AA$9&lt;&gt;0,VLOOKUP(AA43/$AA$9*100,TRANSMUTATION_TABLE!$A$2:$B$102,2),""),"")</f>
        <v/>
      </c>
      <c r="AC43" s="48" t="str">
        <f t="shared" si="2"/>
        <v/>
      </c>
      <c r="AD43" s="216"/>
      <c r="AE43" s="42" t="str">
        <f>IF(AND(B43&lt;&gt;""),IF($AD$9&lt;&gt;0,VLOOKUP(AD43/$AD$9*100,TRANSMUTATION_TABLE!$A$2:$B$102,2),""),"")</f>
        <v/>
      </c>
      <c r="AF43" s="50">
        <f>Attendance!AM40</f>
        <v>0</v>
      </c>
      <c r="AG43" s="42" t="str">
        <f>IF(AND(B43&lt;&gt;""),IF($AF$9&lt;&gt;0,VLOOKUP(AF43/$AF$9*100,TRANSMUTATION_TABLE!$A$2:$B$102,2),""),"")</f>
        <v/>
      </c>
      <c r="AH43" s="31"/>
      <c r="AI43" s="45" t="str">
        <f>IF(AND(B43&lt;&gt;""),IF($AH$9&lt;&gt;0,VLOOKUP(AH43/$AH$9*100,TRANSMUTATION_TABLE!$A$2:$B$102,2),""),"")</f>
        <v/>
      </c>
      <c r="AJ43" s="45" t="str">
        <f>IF(OR(K43&lt;&gt;"",T43&lt;&gt;"",AC43&lt;&gt;"",AI43&lt;&gt;"",AG43&lt;&gt;""),SUM(PRODUCT(K43,IF(Settings!$F$17&lt;&gt;0,Settings!$F$17/100,0)),PRODUCT(Midterm!T43,IF(Settings!$F$18&lt;&gt;0,Settings!$F$18/100,0)),PRODUCT(Midterm!AC43,IF(Settings!$F$19&lt;&gt;0,Settings!$F$19/100,0)),PRODUCT(Midterm!AG43,IF(Settings!$F$20&lt;&gt;0,Settings!$F$20/100,0)),PRODUCT(Midterm!AI43,IF(Settings!$F$21&lt;&gt;0,Settings!$F$21/100,0))),"")</f>
        <v/>
      </c>
      <c r="AK43" s="83" t="str">
        <f>Prelim!AJ43</f>
        <v/>
      </c>
      <c r="AL43" s="46" t="str">
        <f>IF(Prelim!AJ43&lt;&gt;"",IF(AJ43&lt;&gt;"",AJ43*0.7+Prelim!AJ43*0.3,""),"")</f>
        <v/>
      </c>
    </row>
    <row r="44" spans="1:38" ht="12" customHeight="1" thickBot="1" x14ac:dyDescent="0.35">
      <c r="A44" s="54"/>
      <c r="B44" s="60"/>
      <c r="C44" s="214"/>
      <c r="D44" s="42" t="str">
        <f>IF(AND(B44&lt;&gt;""),IF($C$9&lt;&gt;0,VLOOKUP(C44/$C$9*100,TRANSMUTATION_TABLE!$A$2:$B$102,2),""),"")</f>
        <v/>
      </c>
      <c r="E44" s="214"/>
      <c r="F44" s="42" t="str">
        <f>IF(AND(B44&lt;&gt;""),IF($E$9&lt;&gt;0,VLOOKUP(E44/$E$9*100,TRANSMUTATION_TABLE!$A$2:$B$102,2),""),"")</f>
        <v/>
      </c>
      <c r="G44" s="214"/>
      <c r="H44" s="42" t="str">
        <f>IF(AND(B44&lt;&gt;""),IF($G$9&lt;&gt;0,VLOOKUP(G44/$G$9*100,TRANSMUTATION_TABLE!$A$2:$B$102,2),""),"")</f>
        <v/>
      </c>
      <c r="I44" s="214"/>
      <c r="J44" s="43" t="str">
        <f>IF(AND(B44&lt;&gt;""),IF($I$9&lt;&gt;0,VLOOKUP(I44/$I$9*100,TRANSMUTATION_TABLE!$A$2:$B$102,2),""),"")</f>
        <v/>
      </c>
      <c r="K44" s="48" t="str">
        <f t="shared" si="0"/>
        <v/>
      </c>
      <c r="L44" s="214"/>
      <c r="M44" s="42" t="str">
        <f>IF(AND(B44&lt;&gt;""),IF($L$9&lt;&gt;0,VLOOKUP(L44/$L$9*100,TRANSMUTATION_TABLE!$A$2:$B$102,2),""),"")</f>
        <v/>
      </c>
      <c r="N44" s="214"/>
      <c r="O44" s="42" t="str">
        <f>IF(AND(B44&lt;&gt;""),IF($N$9&lt;&gt;0,VLOOKUP(N44/$N$9*100,TRANSMUTATION_TABLE!$A$2:$B$102,2),""),"")</f>
        <v/>
      </c>
      <c r="P44" s="214"/>
      <c r="Q44" s="42" t="str">
        <f>IF(AND(B44&lt;&gt;""),IF($P$9&lt;&gt;0,VLOOKUP(P44/$P$9*100,TRANSMUTATION_TABLE!$A$2:$B$102,2),""),"")</f>
        <v/>
      </c>
      <c r="R44" s="214"/>
      <c r="S44" s="43" t="str">
        <f>IF(AND(B44&lt;&gt;""),IF($R$9&lt;&gt;0,VLOOKUP(R44/$R$9*100,TRANSMUTATION_TABLE!$A$2:$B$102,2),""),"")</f>
        <v/>
      </c>
      <c r="T44" s="48" t="str">
        <f t="shared" si="1"/>
        <v/>
      </c>
      <c r="U44" s="214"/>
      <c r="V44" s="42" t="str">
        <f>IF(AND(B44&lt;&gt;""),IF($U$9&lt;&gt;0,VLOOKUP(U44/$U$9*100,TRANSMUTATION_TABLE!$A$2:$B$102,2),""),"")</f>
        <v/>
      </c>
      <c r="W44" s="214"/>
      <c r="X44" s="42" t="str">
        <f>IF(AND(B44&lt;&gt;""),IF($W$9&lt;&gt;0,VLOOKUP(W44/$W$9*100,TRANSMUTATION_TABLE!$A$2:$B$102,2),""),"")</f>
        <v/>
      </c>
      <c r="Y44" s="214"/>
      <c r="Z44" s="42" t="str">
        <f>IF(AND(B44&lt;&gt;""),IF($Y$9&lt;&gt;0,VLOOKUP(Y44/$Y$9*100,TRANSMUTATION_TABLE!$A$2:$B$102,2),""),"")</f>
        <v/>
      </c>
      <c r="AA44" s="214"/>
      <c r="AB44" s="43" t="str">
        <f>IF(AND(B44&lt;&gt;""),IF($AA$9&lt;&gt;0,VLOOKUP(AA44/$AA$9*100,TRANSMUTATION_TABLE!$A$2:$B$102,2),""),"")</f>
        <v/>
      </c>
      <c r="AC44" s="48" t="str">
        <f t="shared" si="2"/>
        <v/>
      </c>
      <c r="AD44" s="217"/>
      <c r="AE44" s="42" t="str">
        <f>IF(AND(B44&lt;&gt;""),IF($AD$9&lt;&gt;0,VLOOKUP(AD44/$AD$9*100,TRANSMUTATION_TABLE!$A$2:$B$102,2),""),"")</f>
        <v/>
      </c>
      <c r="AF44" s="50">
        <f>Attendance!AM41</f>
        <v>0</v>
      </c>
      <c r="AG44" s="42" t="str">
        <f>IF(AND(B44&lt;&gt;""),IF($AF$9&lt;&gt;0,VLOOKUP(AF44/$AF$9*100,TRANSMUTATION_TABLE!$A$2:$B$102,2),""),"")</f>
        <v/>
      </c>
      <c r="AH44" s="214"/>
      <c r="AI44" s="45" t="str">
        <f>IF(AND(B44&lt;&gt;""),IF($AH$9&lt;&gt;0,VLOOKUP(AH44/$AH$9*100,TRANSMUTATION_TABLE!$A$2:$B$102,2),""),"")</f>
        <v/>
      </c>
      <c r="AJ44" s="45" t="str">
        <f>IF(OR(K44&lt;&gt;"",T44&lt;&gt;"",AC44&lt;&gt;"",AI44&lt;&gt;"",AG44&lt;&gt;""),SUM(PRODUCT(K44,IF(Settings!$F$17&lt;&gt;0,Settings!$F$17/100,0)),PRODUCT(Midterm!T44,IF(Settings!$F$18&lt;&gt;0,Settings!$F$18/100,0)),PRODUCT(Midterm!AC44,IF(Settings!$F$19&lt;&gt;0,Settings!$F$19/100,0)),PRODUCT(Midterm!AG44,IF(Settings!$F$20&lt;&gt;0,Settings!$F$20/100,0)),PRODUCT(Midterm!AI44,IF(Settings!$F$21&lt;&gt;0,Settings!$F$21/100,0))),"")</f>
        <v/>
      </c>
      <c r="AK44" s="83" t="str">
        <f>Prelim!AJ44</f>
        <v/>
      </c>
      <c r="AL44" s="46" t="str">
        <f>IF(Prelim!AJ44&lt;&gt;"",IF(AJ44&lt;&gt;"",AJ44*0.7+Prelim!AJ44*0.3,""),"")</f>
        <v/>
      </c>
    </row>
    <row r="45" spans="1:38" ht="12" customHeight="1" thickBot="1" x14ac:dyDescent="0.35">
      <c r="A45" s="59"/>
      <c r="B45" s="60"/>
      <c r="C45" s="31"/>
      <c r="D45" s="42" t="str">
        <f>IF(AND(B45&lt;&gt;""),IF($C$9&lt;&gt;0,VLOOKUP(C45/$C$9*100,TRANSMUTATION_TABLE!$A$2:$B$102,2),""),"")</f>
        <v/>
      </c>
      <c r="E45" s="31"/>
      <c r="F45" s="42" t="str">
        <f>IF(AND(B45&lt;&gt;""),IF($E$9&lt;&gt;0,VLOOKUP(E45/$E$9*100,TRANSMUTATION_TABLE!$A$2:$B$102,2),""),"")</f>
        <v/>
      </c>
      <c r="G45" s="31"/>
      <c r="H45" s="42" t="str">
        <f>IF(AND(B45&lt;&gt;""),IF($G$9&lt;&gt;0,VLOOKUP(G45/$G$9*100,TRANSMUTATION_TABLE!$A$2:$B$102,2),""),"")</f>
        <v/>
      </c>
      <c r="I45" s="31"/>
      <c r="J45" s="43" t="str">
        <f>IF(AND(B45&lt;&gt;""),IF($I$9&lt;&gt;0,VLOOKUP(I45/$I$9*100,TRANSMUTATION_TABLE!$A$2:$B$102,2),""),"")</f>
        <v/>
      </c>
      <c r="K45" s="48" t="str">
        <f t="shared" si="0"/>
        <v/>
      </c>
      <c r="L45" s="31"/>
      <c r="M45" s="42" t="str">
        <f>IF(AND(B45&lt;&gt;""),IF($L$9&lt;&gt;0,VLOOKUP(L45/$L$9*100,TRANSMUTATION_TABLE!$A$2:$B$102,2),""),"")</f>
        <v/>
      </c>
      <c r="N45" s="31"/>
      <c r="O45" s="42" t="str">
        <f>IF(AND(B45&lt;&gt;""),IF($N$9&lt;&gt;0,VLOOKUP(N45/$N$9*100,TRANSMUTATION_TABLE!$A$2:$B$102,2),""),"")</f>
        <v/>
      </c>
      <c r="P45" s="31"/>
      <c r="Q45" s="42" t="str">
        <f>IF(AND(B45&lt;&gt;""),IF($P$9&lt;&gt;0,VLOOKUP(P45/$P$9*100,TRANSMUTATION_TABLE!$A$2:$B$102,2),""),"")</f>
        <v/>
      </c>
      <c r="R45" s="31"/>
      <c r="S45" s="43" t="str">
        <f>IF(AND(B45&lt;&gt;""),IF($R$9&lt;&gt;0,VLOOKUP(R45/$R$9*100,TRANSMUTATION_TABLE!$A$2:$B$102,2),""),"")</f>
        <v/>
      </c>
      <c r="T45" s="48" t="str">
        <f t="shared" si="1"/>
        <v/>
      </c>
      <c r="U45" s="31"/>
      <c r="V45" s="42" t="str">
        <f>IF(AND(B45&lt;&gt;""),IF($U$9&lt;&gt;0,VLOOKUP(U45/$U$9*100,TRANSMUTATION_TABLE!$A$2:$B$102,2),""),"")</f>
        <v/>
      </c>
      <c r="W45" s="31"/>
      <c r="X45" s="42" t="str">
        <f>IF(AND(B45&lt;&gt;""),IF($W$9&lt;&gt;0,VLOOKUP(W45/$W$9*100,TRANSMUTATION_TABLE!$A$2:$B$102,2),""),"")</f>
        <v/>
      </c>
      <c r="Y45" s="31"/>
      <c r="Z45" s="42" t="str">
        <f>IF(AND(B45&lt;&gt;""),IF($Y$9&lt;&gt;0,VLOOKUP(Y45/$Y$9*100,TRANSMUTATION_TABLE!$A$2:$B$102,2),""),"")</f>
        <v/>
      </c>
      <c r="AA45" s="31"/>
      <c r="AB45" s="43" t="str">
        <f>IF(AND(B45&lt;&gt;""),IF($AA$9&lt;&gt;0,VLOOKUP(AA45/$AA$9*100,TRANSMUTATION_TABLE!$A$2:$B$102,2),""),"")</f>
        <v/>
      </c>
      <c r="AC45" s="48" t="str">
        <f t="shared" si="2"/>
        <v/>
      </c>
      <c r="AD45" s="218"/>
      <c r="AE45" s="42" t="str">
        <f>IF(AND(B45&lt;&gt;""),IF($AD$9&lt;&gt;0,VLOOKUP(AD45/$AD$9*100,TRANSMUTATION_TABLE!$A$2:$B$102,2),""),"")</f>
        <v/>
      </c>
      <c r="AF45" s="50">
        <f>Attendance!AM42</f>
        <v>0</v>
      </c>
      <c r="AG45" s="42" t="str">
        <f>IF(AND(B45&lt;&gt;""),IF($AF$9&lt;&gt;0,VLOOKUP(AF45/$AF$9*100,TRANSMUTATION_TABLE!$A$2:$B$102,2),""),"")</f>
        <v/>
      </c>
      <c r="AH45" s="31"/>
      <c r="AI45" s="45" t="str">
        <f>IF(AND(B45&lt;&gt;""),IF($AH$9&lt;&gt;0,VLOOKUP(AH45/$AH$9*100,TRANSMUTATION_TABLE!$A$2:$B$102,2),""),"")</f>
        <v/>
      </c>
      <c r="AJ45" s="45" t="str">
        <f>IF(OR(K45&lt;&gt;"",T45&lt;&gt;"",AC45&lt;&gt;"",AI45&lt;&gt;"",AG45&lt;&gt;""),SUM(PRODUCT(K45,IF(Settings!$F$17&lt;&gt;0,Settings!$F$17/100,0)),PRODUCT(Midterm!T45,IF(Settings!$F$18&lt;&gt;0,Settings!$F$18/100,0)),PRODUCT(Midterm!AC45,IF(Settings!$F$19&lt;&gt;0,Settings!$F$19/100,0)),PRODUCT(Midterm!AG45,IF(Settings!$F$20&lt;&gt;0,Settings!$F$20/100,0)),PRODUCT(Midterm!AI45,IF(Settings!$F$21&lt;&gt;0,Settings!$F$21/100,0))),"")</f>
        <v/>
      </c>
      <c r="AK45" s="83" t="str">
        <f>Prelim!AJ45</f>
        <v/>
      </c>
      <c r="AL45" s="46" t="str">
        <f>IF(Prelim!AJ45&lt;&gt;"",IF(AJ45&lt;&gt;"",AJ45*0.7+Prelim!AJ45*0.3,""),"")</f>
        <v/>
      </c>
    </row>
    <row r="46" spans="1:38" ht="12" customHeight="1" thickBot="1" x14ac:dyDescent="0.35">
      <c r="A46" s="52"/>
      <c r="B46" s="60"/>
      <c r="C46" s="31"/>
      <c r="D46" s="42" t="str">
        <f>IF(AND(B46&lt;&gt;""),IF($C$9&lt;&gt;0,VLOOKUP(C46/$C$9*100,TRANSMUTATION_TABLE!$A$2:$B$102,2),""),"")</f>
        <v/>
      </c>
      <c r="E46" s="31"/>
      <c r="F46" s="42" t="str">
        <f>IF(AND(B46&lt;&gt;""),IF($E$9&lt;&gt;0,VLOOKUP(E46/$E$9*100,TRANSMUTATION_TABLE!$A$2:$B$102,2),""),"")</f>
        <v/>
      </c>
      <c r="G46" s="31"/>
      <c r="H46" s="42" t="str">
        <f>IF(AND(B46&lt;&gt;""),IF($G$9&lt;&gt;0,VLOOKUP(G46/$G$9*100,TRANSMUTATION_TABLE!$A$2:$B$102,2),""),"")</f>
        <v/>
      </c>
      <c r="I46" s="31"/>
      <c r="J46" s="43" t="str">
        <f>IF(AND(B46&lt;&gt;""),IF($I$9&lt;&gt;0,VLOOKUP(I46/$I$9*100,TRANSMUTATION_TABLE!$A$2:$B$102,2),""),"")</f>
        <v/>
      </c>
      <c r="K46" s="48" t="str">
        <f t="shared" si="0"/>
        <v/>
      </c>
      <c r="L46" s="31"/>
      <c r="M46" s="42" t="str">
        <f>IF(AND(B46&lt;&gt;""),IF($L$9&lt;&gt;0,VLOOKUP(L46/$L$9*100,TRANSMUTATION_TABLE!$A$2:$B$102,2),""),"")</f>
        <v/>
      </c>
      <c r="N46" s="31"/>
      <c r="O46" s="42" t="str">
        <f>IF(AND(B46&lt;&gt;""),IF($N$9&lt;&gt;0,VLOOKUP(N46/$N$9*100,TRANSMUTATION_TABLE!$A$2:$B$102,2),""),"")</f>
        <v/>
      </c>
      <c r="P46" s="31"/>
      <c r="Q46" s="42" t="str">
        <f>IF(AND(B46&lt;&gt;""),IF($P$9&lt;&gt;0,VLOOKUP(P46/$P$9*100,TRANSMUTATION_TABLE!$A$2:$B$102,2),""),"")</f>
        <v/>
      </c>
      <c r="R46" s="31"/>
      <c r="S46" s="43" t="str">
        <f>IF(AND(B46&lt;&gt;""),IF($R$9&lt;&gt;0,VLOOKUP(R46/$R$9*100,TRANSMUTATION_TABLE!$A$2:$B$102,2),""),"")</f>
        <v/>
      </c>
      <c r="T46" s="48" t="str">
        <f t="shared" si="1"/>
        <v/>
      </c>
      <c r="U46" s="31"/>
      <c r="V46" s="42" t="str">
        <f>IF(AND(B46&lt;&gt;""),IF($U$9&lt;&gt;0,VLOOKUP(U46/$U$9*100,TRANSMUTATION_TABLE!$A$2:$B$102,2),""),"")</f>
        <v/>
      </c>
      <c r="W46" s="31"/>
      <c r="X46" s="42" t="str">
        <f>IF(AND(B46&lt;&gt;""),IF($W$9&lt;&gt;0,VLOOKUP(W46/$W$9*100,TRANSMUTATION_TABLE!$A$2:$B$102,2),""),"")</f>
        <v/>
      </c>
      <c r="Y46" s="31"/>
      <c r="Z46" s="42" t="str">
        <f>IF(AND(B46&lt;&gt;""),IF($Y$9&lt;&gt;0,VLOOKUP(Y46/$Y$9*100,TRANSMUTATION_TABLE!$A$2:$B$102,2),""),"")</f>
        <v/>
      </c>
      <c r="AA46" s="31"/>
      <c r="AB46" s="43" t="str">
        <f>IF(AND(B46&lt;&gt;""),IF($AA$9&lt;&gt;0,VLOOKUP(AA46/$AA$9*100,TRANSMUTATION_TABLE!$A$2:$B$102,2),""),"")</f>
        <v/>
      </c>
      <c r="AC46" s="48" t="str">
        <f t="shared" si="2"/>
        <v/>
      </c>
      <c r="AD46" s="216"/>
      <c r="AE46" s="42" t="str">
        <f>IF(AND(B46&lt;&gt;""),IF($AD$9&lt;&gt;0,VLOOKUP(AD46/$AD$9*100,TRANSMUTATION_TABLE!$A$2:$B$102,2),""),"")</f>
        <v/>
      </c>
      <c r="AF46" s="50">
        <f>Attendance!AM43</f>
        <v>0</v>
      </c>
      <c r="AG46" s="42" t="str">
        <f>IF(AND(B46&lt;&gt;""),IF($AF$9&lt;&gt;0,VLOOKUP(AF46/$AF$9*100,TRANSMUTATION_TABLE!$A$2:$B$102,2),""),"")</f>
        <v/>
      </c>
      <c r="AH46" s="31"/>
      <c r="AI46" s="45" t="str">
        <f>IF(AND(B46&lt;&gt;""),IF($AH$9&lt;&gt;0,VLOOKUP(AH46/$AH$9*100,TRANSMUTATION_TABLE!$A$2:$B$102,2),""),"")</f>
        <v/>
      </c>
      <c r="AJ46" s="45" t="str">
        <f>IF(OR(K46&lt;&gt;"",T46&lt;&gt;"",AC46&lt;&gt;"",AI46&lt;&gt;"",AG46&lt;&gt;""),SUM(PRODUCT(K46,IF(Settings!$F$17&lt;&gt;0,Settings!$F$17/100,0)),PRODUCT(Midterm!T46,IF(Settings!$F$18&lt;&gt;0,Settings!$F$18/100,0)),PRODUCT(Midterm!AC46,IF(Settings!$F$19&lt;&gt;0,Settings!$F$19/100,0)),PRODUCT(Midterm!AG46,IF(Settings!$F$20&lt;&gt;0,Settings!$F$20/100,0)),PRODUCT(Midterm!AI46,IF(Settings!$F$21&lt;&gt;0,Settings!$F$21/100,0))),"")</f>
        <v/>
      </c>
      <c r="AK46" s="83" t="str">
        <f>Prelim!AJ46</f>
        <v/>
      </c>
      <c r="AL46" s="46" t="str">
        <f>IF(Prelim!AJ46&lt;&gt;"",IF(AJ46&lt;&gt;"",AJ46*0.7+Prelim!AJ46*0.3,""),"")</f>
        <v/>
      </c>
    </row>
    <row r="47" spans="1:38" ht="12" customHeight="1" thickBot="1" x14ac:dyDescent="0.35">
      <c r="A47" s="52"/>
      <c r="B47" s="60"/>
      <c r="C47" s="31"/>
      <c r="D47" s="42" t="str">
        <f>IF(AND(B47&lt;&gt;""),IF($C$9&lt;&gt;0,VLOOKUP(C47/$C$9*100,TRANSMUTATION_TABLE!$A$2:$B$102,2),""),"")</f>
        <v/>
      </c>
      <c r="E47" s="31"/>
      <c r="F47" s="42" t="str">
        <f>IF(AND(B47&lt;&gt;""),IF($E$9&lt;&gt;0,VLOOKUP(E47/$E$9*100,TRANSMUTATION_TABLE!$A$2:$B$102,2),""),"")</f>
        <v/>
      </c>
      <c r="G47" s="31"/>
      <c r="H47" s="42" t="str">
        <f>IF(AND(B47&lt;&gt;""),IF($G$9&lt;&gt;0,VLOOKUP(G47/$G$9*100,TRANSMUTATION_TABLE!$A$2:$B$102,2),""),"")</f>
        <v/>
      </c>
      <c r="I47" s="31"/>
      <c r="J47" s="43" t="str">
        <f>IF(AND(B47&lt;&gt;""),IF($I$9&lt;&gt;0,VLOOKUP(I47/$I$9*100,TRANSMUTATION_TABLE!$A$2:$B$102,2),""),"")</f>
        <v/>
      </c>
      <c r="K47" s="48" t="str">
        <f t="shared" si="0"/>
        <v/>
      </c>
      <c r="L47" s="31"/>
      <c r="M47" s="42" t="str">
        <f>IF(AND(B47&lt;&gt;""),IF($L$9&lt;&gt;0,VLOOKUP(L47/$L$9*100,TRANSMUTATION_TABLE!$A$2:$B$102,2),""),"")</f>
        <v/>
      </c>
      <c r="N47" s="31"/>
      <c r="O47" s="42" t="str">
        <f>IF(AND(B47&lt;&gt;""),IF($N$9&lt;&gt;0,VLOOKUP(N47/$N$9*100,TRANSMUTATION_TABLE!$A$2:$B$102,2),""),"")</f>
        <v/>
      </c>
      <c r="P47" s="31"/>
      <c r="Q47" s="42" t="str">
        <f>IF(AND(B47&lt;&gt;""),IF($P$9&lt;&gt;0,VLOOKUP(P47/$P$9*100,TRANSMUTATION_TABLE!$A$2:$B$102,2),""),"")</f>
        <v/>
      </c>
      <c r="R47" s="31"/>
      <c r="S47" s="43" t="str">
        <f>IF(AND(B47&lt;&gt;""),IF($R$9&lt;&gt;0,VLOOKUP(R47/$R$9*100,TRANSMUTATION_TABLE!$A$2:$B$102,2),""),"")</f>
        <v/>
      </c>
      <c r="T47" s="48" t="str">
        <f t="shared" si="1"/>
        <v/>
      </c>
      <c r="U47" s="31"/>
      <c r="V47" s="42" t="str">
        <f>IF(AND(B47&lt;&gt;""),IF($U$9&lt;&gt;0,VLOOKUP(U47/$U$9*100,TRANSMUTATION_TABLE!$A$2:$B$102,2),""),"")</f>
        <v/>
      </c>
      <c r="W47" s="31"/>
      <c r="X47" s="42" t="str">
        <f>IF(AND(B47&lt;&gt;""),IF($W$9&lt;&gt;0,VLOOKUP(W47/$W$9*100,TRANSMUTATION_TABLE!$A$2:$B$102,2),""),"")</f>
        <v/>
      </c>
      <c r="Y47" s="31"/>
      <c r="Z47" s="42" t="str">
        <f>IF(AND(B47&lt;&gt;""),IF($Y$9&lt;&gt;0,VLOOKUP(Y47/$Y$9*100,TRANSMUTATION_TABLE!$A$2:$B$102,2),""),"")</f>
        <v/>
      </c>
      <c r="AA47" s="31"/>
      <c r="AB47" s="43" t="str">
        <f>IF(AND(B47&lt;&gt;""),IF($AA$9&lt;&gt;0,VLOOKUP(AA47/$AA$9*100,TRANSMUTATION_TABLE!$A$2:$B$102,2),""),"")</f>
        <v/>
      </c>
      <c r="AC47" s="48" t="str">
        <f t="shared" si="2"/>
        <v/>
      </c>
      <c r="AD47" s="216"/>
      <c r="AE47" s="42" t="str">
        <f>IF(AND(B47&lt;&gt;""),IF($AD$9&lt;&gt;0,VLOOKUP(AD47/$AD$9*100,TRANSMUTATION_TABLE!$A$2:$B$102,2),""),"")</f>
        <v/>
      </c>
      <c r="AF47" s="50">
        <f>Attendance!AM44</f>
        <v>0</v>
      </c>
      <c r="AG47" s="42" t="str">
        <f>IF(AND(B47&lt;&gt;""),IF($AF$9&lt;&gt;0,VLOOKUP(AF47/$AF$9*100,TRANSMUTATION_TABLE!$A$2:$B$102,2),""),"")</f>
        <v/>
      </c>
      <c r="AH47" s="31"/>
      <c r="AI47" s="45" t="str">
        <f>IF(AND(B47&lt;&gt;""),IF($AH$9&lt;&gt;0,VLOOKUP(AH47/$AH$9*100,TRANSMUTATION_TABLE!$A$2:$B$102,2),""),"")</f>
        <v/>
      </c>
      <c r="AJ47" s="45" t="str">
        <f>IF(OR(K47&lt;&gt;"",T47&lt;&gt;"",AC47&lt;&gt;"",AI47&lt;&gt;"",AG47&lt;&gt;""),SUM(PRODUCT(K47,IF(Settings!$F$17&lt;&gt;0,Settings!$F$17/100,0)),PRODUCT(Midterm!T47,IF(Settings!$F$18&lt;&gt;0,Settings!$F$18/100,0)),PRODUCT(Midterm!AC47,IF(Settings!$F$19&lt;&gt;0,Settings!$F$19/100,0)),PRODUCT(Midterm!AG47,IF(Settings!$F$20&lt;&gt;0,Settings!$F$20/100,0)),PRODUCT(Midterm!AI47,IF(Settings!$F$21&lt;&gt;0,Settings!$F$21/100,0))),"")</f>
        <v/>
      </c>
      <c r="AK47" s="83" t="str">
        <f>Prelim!AJ47</f>
        <v/>
      </c>
      <c r="AL47" s="46" t="str">
        <f>IF(Prelim!AJ47&lt;&gt;"",IF(AJ47&lt;&gt;"",AJ47*0.7+Prelim!AJ47*0.3,""),"")</f>
        <v/>
      </c>
    </row>
    <row r="48" spans="1:38" ht="12" customHeight="1" thickBot="1" x14ac:dyDescent="0.35">
      <c r="A48" s="52"/>
      <c r="B48" s="60"/>
      <c r="C48" s="31"/>
      <c r="D48" s="42" t="str">
        <f>IF(AND(B48&lt;&gt;""),IF($C$9&lt;&gt;0,VLOOKUP(C48/$C$9*100,TRANSMUTATION_TABLE!$A$2:$B$102,2),""),"")</f>
        <v/>
      </c>
      <c r="E48" s="31"/>
      <c r="F48" s="42" t="str">
        <f>IF(AND(B48&lt;&gt;""),IF($E$9&lt;&gt;0,VLOOKUP(E48/$E$9*100,TRANSMUTATION_TABLE!$A$2:$B$102,2),""),"")</f>
        <v/>
      </c>
      <c r="G48" s="31"/>
      <c r="H48" s="42" t="str">
        <f>IF(AND(B48&lt;&gt;""),IF($G$9&lt;&gt;0,VLOOKUP(G48/$G$9*100,TRANSMUTATION_TABLE!$A$2:$B$102,2),""),"")</f>
        <v/>
      </c>
      <c r="I48" s="31"/>
      <c r="J48" s="43" t="str">
        <f>IF(AND(B48&lt;&gt;""),IF($I$9&lt;&gt;0,VLOOKUP(I48/$I$9*100,TRANSMUTATION_TABLE!$A$2:$B$102,2),""),"")</f>
        <v/>
      </c>
      <c r="K48" s="48" t="str">
        <f t="shared" si="0"/>
        <v/>
      </c>
      <c r="L48" s="31"/>
      <c r="M48" s="42" t="str">
        <f>IF(AND(B48&lt;&gt;""),IF($L$9&lt;&gt;0,VLOOKUP(L48/$L$9*100,TRANSMUTATION_TABLE!$A$2:$B$102,2),""),"")</f>
        <v/>
      </c>
      <c r="N48" s="31"/>
      <c r="O48" s="42" t="str">
        <f>IF(AND(B48&lt;&gt;""),IF($N$9&lt;&gt;0,VLOOKUP(N48/$N$9*100,TRANSMUTATION_TABLE!$A$2:$B$102,2),""),"")</f>
        <v/>
      </c>
      <c r="P48" s="31"/>
      <c r="Q48" s="42" t="str">
        <f>IF(AND(B48&lt;&gt;""),IF($P$9&lt;&gt;0,VLOOKUP(P48/$P$9*100,TRANSMUTATION_TABLE!$A$2:$B$102,2),""),"")</f>
        <v/>
      </c>
      <c r="R48" s="31"/>
      <c r="S48" s="43" t="str">
        <f>IF(AND(B48&lt;&gt;""),IF($R$9&lt;&gt;0,VLOOKUP(R48/$R$9*100,TRANSMUTATION_TABLE!$A$2:$B$102,2),""),"")</f>
        <v/>
      </c>
      <c r="T48" s="48" t="str">
        <f t="shared" si="1"/>
        <v/>
      </c>
      <c r="U48" s="31"/>
      <c r="V48" s="42" t="str">
        <f>IF(AND(B48&lt;&gt;""),IF($U$9&lt;&gt;0,VLOOKUP(U48/$U$9*100,TRANSMUTATION_TABLE!$A$2:$B$102,2),""),"")</f>
        <v/>
      </c>
      <c r="W48" s="31"/>
      <c r="X48" s="42" t="str">
        <f>IF(AND(B48&lt;&gt;""),IF($W$9&lt;&gt;0,VLOOKUP(W48/$W$9*100,TRANSMUTATION_TABLE!$A$2:$B$102,2),""),"")</f>
        <v/>
      </c>
      <c r="Y48" s="31"/>
      <c r="Z48" s="42" t="str">
        <f>IF(AND(B48&lt;&gt;""),IF($Y$9&lt;&gt;0,VLOOKUP(Y48/$Y$9*100,TRANSMUTATION_TABLE!$A$2:$B$102,2),""),"")</f>
        <v/>
      </c>
      <c r="AA48" s="31"/>
      <c r="AB48" s="43" t="str">
        <f>IF(AND(B48&lt;&gt;""),IF($AA$9&lt;&gt;0,VLOOKUP(AA48/$AA$9*100,TRANSMUTATION_TABLE!$A$2:$B$102,2),""),"")</f>
        <v/>
      </c>
      <c r="AC48" s="48" t="str">
        <f t="shared" si="2"/>
        <v/>
      </c>
      <c r="AD48" s="216"/>
      <c r="AE48" s="42" t="str">
        <f>IF(AND(B48&lt;&gt;""),IF($AD$9&lt;&gt;0,VLOOKUP(AD48/$AD$9*100,TRANSMUTATION_TABLE!$A$2:$B$102,2),""),"")</f>
        <v/>
      </c>
      <c r="AF48" s="50">
        <f>Attendance!AM45</f>
        <v>0</v>
      </c>
      <c r="AG48" s="42" t="str">
        <f>IF(AND(B48&lt;&gt;""),IF($AF$9&lt;&gt;0,VLOOKUP(AF48/$AF$9*100,TRANSMUTATION_TABLE!$A$2:$B$102,2),""),"")</f>
        <v/>
      </c>
      <c r="AH48" s="31"/>
      <c r="AI48" s="45" t="str">
        <f>IF(AND(B48&lt;&gt;""),IF($AH$9&lt;&gt;0,VLOOKUP(AH48/$AH$9*100,TRANSMUTATION_TABLE!$A$2:$B$102,2),""),"")</f>
        <v/>
      </c>
      <c r="AJ48" s="45" t="str">
        <f>IF(OR(K48&lt;&gt;"",T48&lt;&gt;"",AC48&lt;&gt;"",AI48&lt;&gt;"",AG48&lt;&gt;""),SUM(PRODUCT(K48,IF(Settings!$F$17&lt;&gt;0,Settings!$F$17/100,0)),PRODUCT(Midterm!T48,IF(Settings!$F$18&lt;&gt;0,Settings!$F$18/100,0)),PRODUCT(Midterm!AC48,IF(Settings!$F$19&lt;&gt;0,Settings!$F$19/100,0)),PRODUCT(Midterm!AG48,IF(Settings!$F$20&lt;&gt;0,Settings!$F$20/100,0)),PRODUCT(Midterm!AI48,IF(Settings!$F$21&lt;&gt;0,Settings!$F$21/100,0))),"")</f>
        <v/>
      </c>
      <c r="AK48" s="83" t="str">
        <f>Prelim!AJ48</f>
        <v/>
      </c>
      <c r="AL48" s="46" t="str">
        <f>IF(Prelim!AJ48&lt;&gt;"",IF(AJ48&lt;&gt;"",AJ48*0.7+Prelim!AJ48*0.3,""),"")</f>
        <v/>
      </c>
    </row>
    <row r="49" spans="1:38" ht="12" customHeight="1" thickBot="1" x14ac:dyDescent="0.35">
      <c r="A49" s="54"/>
      <c r="B49" s="60"/>
      <c r="C49" s="214"/>
      <c r="D49" s="42" t="str">
        <f>IF(AND(B49&lt;&gt;""),IF($C$9&lt;&gt;0,VLOOKUP(C49/$C$9*100,TRANSMUTATION_TABLE!$A$2:$B$102,2),""),"")</f>
        <v/>
      </c>
      <c r="E49" s="214"/>
      <c r="F49" s="42" t="str">
        <f>IF(AND(B49&lt;&gt;""),IF($E$9&lt;&gt;0,VLOOKUP(E49/$E$9*100,TRANSMUTATION_TABLE!$A$2:$B$102,2),""),"")</f>
        <v/>
      </c>
      <c r="G49" s="214"/>
      <c r="H49" s="42" t="str">
        <f>IF(AND(B49&lt;&gt;""),IF($G$9&lt;&gt;0,VLOOKUP(G49/$G$9*100,TRANSMUTATION_TABLE!$A$2:$B$102,2),""),"")</f>
        <v/>
      </c>
      <c r="I49" s="214"/>
      <c r="J49" s="43" t="str">
        <f>IF(AND(B49&lt;&gt;""),IF($I$9&lt;&gt;0,VLOOKUP(I49/$I$9*100,TRANSMUTATION_TABLE!$A$2:$B$102,2),""),"")</f>
        <v/>
      </c>
      <c r="K49" s="48" t="str">
        <f t="shared" si="0"/>
        <v/>
      </c>
      <c r="L49" s="214"/>
      <c r="M49" s="42" t="str">
        <f>IF(AND(B49&lt;&gt;""),IF($L$9&lt;&gt;0,VLOOKUP(L49/$L$9*100,TRANSMUTATION_TABLE!$A$2:$B$102,2),""),"")</f>
        <v/>
      </c>
      <c r="N49" s="214"/>
      <c r="O49" s="42" t="str">
        <f>IF(AND(B49&lt;&gt;""),IF($N$9&lt;&gt;0,VLOOKUP(N49/$N$9*100,TRANSMUTATION_TABLE!$A$2:$B$102,2),""),"")</f>
        <v/>
      </c>
      <c r="P49" s="214"/>
      <c r="Q49" s="42" t="str">
        <f>IF(AND(B49&lt;&gt;""),IF($P$9&lt;&gt;0,VLOOKUP(P49/$P$9*100,TRANSMUTATION_TABLE!$A$2:$B$102,2),""),"")</f>
        <v/>
      </c>
      <c r="R49" s="214"/>
      <c r="S49" s="43" t="str">
        <f>IF(AND(B49&lt;&gt;""),IF($R$9&lt;&gt;0,VLOOKUP(R49/$R$9*100,TRANSMUTATION_TABLE!$A$2:$B$102,2),""),"")</f>
        <v/>
      </c>
      <c r="T49" s="48" t="str">
        <f t="shared" si="1"/>
        <v/>
      </c>
      <c r="U49" s="214"/>
      <c r="V49" s="42" t="str">
        <f>IF(AND(B49&lt;&gt;""),IF($U$9&lt;&gt;0,VLOOKUP(U49/$U$9*100,TRANSMUTATION_TABLE!$A$2:$B$102,2),""),"")</f>
        <v/>
      </c>
      <c r="W49" s="214"/>
      <c r="X49" s="42" t="str">
        <f>IF(AND(B49&lt;&gt;""),IF($W$9&lt;&gt;0,VLOOKUP(W49/$W$9*100,TRANSMUTATION_TABLE!$A$2:$B$102,2),""),"")</f>
        <v/>
      </c>
      <c r="Y49" s="214"/>
      <c r="Z49" s="42" t="str">
        <f>IF(AND(B49&lt;&gt;""),IF($Y$9&lt;&gt;0,VLOOKUP(Y49/$Y$9*100,TRANSMUTATION_TABLE!$A$2:$B$102,2),""),"")</f>
        <v/>
      </c>
      <c r="AA49" s="214"/>
      <c r="AB49" s="43" t="str">
        <f>IF(AND(B49&lt;&gt;""),IF($AA$9&lt;&gt;0,VLOOKUP(AA49/$AA$9*100,TRANSMUTATION_TABLE!$A$2:$B$102,2),""),"")</f>
        <v/>
      </c>
      <c r="AC49" s="48" t="str">
        <f t="shared" si="2"/>
        <v/>
      </c>
      <c r="AD49" s="217"/>
      <c r="AE49" s="42" t="str">
        <f>IF(AND(B49&lt;&gt;""),IF($AD$9&lt;&gt;0,VLOOKUP(AD49/$AD$9*100,TRANSMUTATION_TABLE!$A$2:$B$102,2),""),"")</f>
        <v/>
      </c>
      <c r="AF49" s="50">
        <f>Attendance!AM46</f>
        <v>0</v>
      </c>
      <c r="AG49" s="42" t="str">
        <f>IF(AND(B49&lt;&gt;""),IF($AF$9&lt;&gt;0,VLOOKUP(AF49/$AF$9*100,TRANSMUTATION_TABLE!$A$2:$B$102,2),""),"")</f>
        <v/>
      </c>
      <c r="AH49" s="214"/>
      <c r="AI49" s="45" t="str">
        <f>IF(AND(B49&lt;&gt;""),IF($AH$9&lt;&gt;0,VLOOKUP(AH49/$AH$9*100,TRANSMUTATION_TABLE!$A$2:$B$102,2),""),"")</f>
        <v/>
      </c>
      <c r="AJ49" s="45" t="str">
        <f>IF(OR(K49&lt;&gt;"",T49&lt;&gt;"",AC49&lt;&gt;"",AI49&lt;&gt;"",AG49&lt;&gt;""),SUM(PRODUCT(K49,IF(Settings!$F$17&lt;&gt;0,Settings!$F$17/100,0)),PRODUCT(Midterm!T49,IF(Settings!$F$18&lt;&gt;0,Settings!$F$18/100,0)),PRODUCT(Midterm!AC49,IF(Settings!$F$19&lt;&gt;0,Settings!$F$19/100,0)),PRODUCT(Midterm!AG49,IF(Settings!$F$20&lt;&gt;0,Settings!$F$20/100,0)),PRODUCT(Midterm!AI49,IF(Settings!$F$21&lt;&gt;0,Settings!$F$21/100,0))),"")</f>
        <v/>
      </c>
      <c r="AK49" s="83" t="str">
        <f>Prelim!AJ49</f>
        <v/>
      </c>
      <c r="AL49" s="46" t="str">
        <f>IF(Prelim!AJ49&lt;&gt;"",IF(AJ49&lt;&gt;"",AJ49*0.7+Prelim!AJ49*0.3,""),"")</f>
        <v/>
      </c>
    </row>
    <row r="50" spans="1:38" ht="12" customHeight="1" thickBot="1" x14ac:dyDescent="0.35">
      <c r="A50" s="59"/>
      <c r="B50" s="60"/>
      <c r="C50" s="31"/>
      <c r="D50" s="42" t="str">
        <f>IF(AND(B50&lt;&gt;""),IF($C$9&lt;&gt;0,VLOOKUP(C50/$C$9*100,TRANSMUTATION_TABLE!$A$2:$B$102,2),""),"")</f>
        <v/>
      </c>
      <c r="E50" s="31"/>
      <c r="F50" s="42" t="str">
        <f>IF(AND(B50&lt;&gt;""),IF($E$9&lt;&gt;0,VLOOKUP(E50/$E$9*100,TRANSMUTATION_TABLE!$A$2:$B$102,2),""),"")</f>
        <v/>
      </c>
      <c r="G50" s="31"/>
      <c r="H50" s="42" t="str">
        <f>IF(AND(B50&lt;&gt;""),IF($G$9&lt;&gt;0,VLOOKUP(G50/$G$9*100,TRANSMUTATION_TABLE!$A$2:$B$102,2),""),"")</f>
        <v/>
      </c>
      <c r="I50" s="31"/>
      <c r="J50" s="43" t="str">
        <f>IF(AND(B50&lt;&gt;""),IF($I$9&lt;&gt;0,VLOOKUP(I50/$I$9*100,TRANSMUTATION_TABLE!$A$2:$B$102,2),""),"")</f>
        <v/>
      </c>
      <c r="K50" s="48" t="str">
        <f t="shared" si="0"/>
        <v/>
      </c>
      <c r="L50" s="31"/>
      <c r="M50" s="42" t="str">
        <f>IF(AND(B50&lt;&gt;""),IF($L$9&lt;&gt;0,VLOOKUP(L50/$L$9*100,TRANSMUTATION_TABLE!$A$2:$B$102,2),""),"")</f>
        <v/>
      </c>
      <c r="N50" s="31"/>
      <c r="O50" s="42" t="str">
        <f>IF(AND(B50&lt;&gt;""),IF($N$9&lt;&gt;0,VLOOKUP(N50/$N$9*100,TRANSMUTATION_TABLE!$A$2:$B$102,2),""),"")</f>
        <v/>
      </c>
      <c r="P50" s="31"/>
      <c r="Q50" s="42" t="str">
        <f>IF(AND(B50&lt;&gt;""),IF($P$9&lt;&gt;0,VLOOKUP(P50/$P$9*100,TRANSMUTATION_TABLE!$A$2:$B$102,2),""),"")</f>
        <v/>
      </c>
      <c r="R50" s="31"/>
      <c r="S50" s="43" t="str">
        <f>IF(AND(B50&lt;&gt;""),IF($R$9&lt;&gt;0,VLOOKUP(R50/$R$9*100,TRANSMUTATION_TABLE!$A$2:$B$102,2),""),"")</f>
        <v/>
      </c>
      <c r="T50" s="48" t="str">
        <f t="shared" si="1"/>
        <v/>
      </c>
      <c r="U50" s="31"/>
      <c r="V50" s="42" t="str">
        <f>IF(AND(B50&lt;&gt;""),IF($U$9&lt;&gt;0,VLOOKUP(U50/$U$9*100,TRANSMUTATION_TABLE!$A$2:$B$102,2),""),"")</f>
        <v/>
      </c>
      <c r="W50" s="31"/>
      <c r="X50" s="42" t="str">
        <f>IF(AND(B50&lt;&gt;""),IF($W$9&lt;&gt;0,VLOOKUP(W50/$W$9*100,TRANSMUTATION_TABLE!$A$2:$B$102,2),""),"")</f>
        <v/>
      </c>
      <c r="Y50" s="31"/>
      <c r="Z50" s="42" t="str">
        <f>IF(AND(B50&lt;&gt;""),IF($Y$9&lt;&gt;0,VLOOKUP(Y50/$Y$9*100,TRANSMUTATION_TABLE!$A$2:$B$102,2),""),"")</f>
        <v/>
      </c>
      <c r="AA50" s="31"/>
      <c r="AB50" s="43" t="str">
        <f>IF(AND(B50&lt;&gt;""),IF($AA$9&lt;&gt;0,VLOOKUP(AA50/$AA$9*100,TRANSMUTATION_TABLE!$A$2:$B$102,2),""),"")</f>
        <v/>
      </c>
      <c r="AC50" s="48" t="str">
        <f t="shared" si="2"/>
        <v/>
      </c>
      <c r="AD50" s="218"/>
      <c r="AE50" s="42" t="str">
        <f>IF(AND(B50&lt;&gt;""),IF($AD$9&lt;&gt;0,VLOOKUP(AD50/$AD$9*100,TRANSMUTATION_TABLE!$A$2:$B$102,2),""),"")</f>
        <v/>
      </c>
      <c r="AF50" s="50">
        <f>Attendance!AM47</f>
        <v>0</v>
      </c>
      <c r="AG50" s="42" t="str">
        <f>IF(AND(B50&lt;&gt;""),IF($AF$9&lt;&gt;0,VLOOKUP(AF50/$AF$9*100,TRANSMUTATION_TABLE!$A$2:$B$102,2),""),"")</f>
        <v/>
      </c>
      <c r="AH50" s="31"/>
      <c r="AI50" s="45" t="str">
        <f>IF(AND(B50&lt;&gt;""),IF($AH$9&lt;&gt;0,VLOOKUP(AH50/$AH$9*100,TRANSMUTATION_TABLE!$A$2:$B$102,2),""),"")</f>
        <v/>
      </c>
      <c r="AJ50" s="45" t="str">
        <f>IF(OR(K50&lt;&gt;"",T50&lt;&gt;"",AC50&lt;&gt;"",AI50&lt;&gt;"",AG50&lt;&gt;""),SUM(PRODUCT(K50,IF(Settings!$F$17&lt;&gt;0,Settings!$F$17/100,0)),PRODUCT(Midterm!T50,IF(Settings!$F$18&lt;&gt;0,Settings!$F$18/100,0)),PRODUCT(Midterm!AC50,IF(Settings!$F$19&lt;&gt;0,Settings!$F$19/100,0)),PRODUCT(Midterm!AG50,IF(Settings!$F$20&lt;&gt;0,Settings!$F$20/100,0)),PRODUCT(Midterm!AI50,IF(Settings!$F$21&lt;&gt;0,Settings!$F$21/100,0))),"")</f>
        <v/>
      </c>
      <c r="AK50" s="83" t="str">
        <f>Prelim!AJ50</f>
        <v/>
      </c>
      <c r="AL50" s="46" t="str">
        <f>IF(Prelim!AJ50&lt;&gt;"",IF(AJ50&lt;&gt;"",AJ50*0.7+Prelim!AJ50*0.3,""),"")</f>
        <v/>
      </c>
    </row>
    <row r="51" spans="1:38" ht="12" customHeight="1" thickBot="1" x14ac:dyDescent="0.35">
      <c r="A51" s="52"/>
      <c r="B51" s="60"/>
      <c r="C51" s="31"/>
      <c r="D51" s="42" t="str">
        <f>IF(AND(B51&lt;&gt;""),IF($C$9&lt;&gt;0,VLOOKUP(C51/$C$9*100,TRANSMUTATION_TABLE!$A$2:$B$102,2),""),"")</f>
        <v/>
      </c>
      <c r="E51" s="31"/>
      <c r="F51" s="42" t="str">
        <f>IF(AND(B51&lt;&gt;""),IF($E$9&lt;&gt;0,VLOOKUP(E51/$E$9*100,TRANSMUTATION_TABLE!$A$2:$B$102,2),""),"")</f>
        <v/>
      </c>
      <c r="G51" s="31"/>
      <c r="H51" s="42" t="str">
        <f>IF(AND(B51&lt;&gt;""),IF($G$9&lt;&gt;0,VLOOKUP(G51/$G$9*100,TRANSMUTATION_TABLE!$A$2:$B$102,2),""),"")</f>
        <v/>
      </c>
      <c r="I51" s="31"/>
      <c r="J51" s="43" t="str">
        <f>IF(AND(B51&lt;&gt;""),IF($I$9&lt;&gt;0,VLOOKUP(I51/$I$9*100,TRANSMUTATION_TABLE!$A$2:$B$102,2),""),"")</f>
        <v/>
      </c>
      <c r="K51" s="48" t="str">
        <f t="shared" si="0"/>
        <v/>
      </c>
      <c r="L51" s="31"/>
      <c r="M51" s="42" t="str">
        <f>IF(AND(B51&lt;&gt;""),IF($L$9&lt;&gt;0,VLOOKUP(L51/$L$9*100,TRANSMUTATION_TABLE!$A$2:$B$102,2),""),"")</f>
        <v/>
      </c>
      <c r="N51" s="31"/>
      <c r="O51" s="42" t="str">
        <f>IF(AND(B51&lt;&gt;""),IF($N$9&lt;&gt;0,VLOOKUP(N51/$N$9*100,TRANSMUTATION_TABLE!$A$2:$B$102,2),""),"")</f>
        <v/>
      </c>
      <c r="P51" s="31"/>
      <c r="Q51" s="42" t="str">
        <f>IF(AND(B51&lt;&gt;""),IF($P$9&lt;&gt;0,VLOOKUP(P51/$P$9*100,TRANSMUTATION_TABLE!$A$2:$B$102,2),""),"")</f>
        <v/>
      </c>
      <c r="R51" s="31"/>
      <c r="S51" s="43" t="str">
        <f>IF(AND(B51&lt;&gt;""),IF($R$9&lt;&gt;0,VLOOKUP(R51/$R$9*100,TRANSMUTATION_TABLE!$A$2:$B$102,2),""),"")</f>
        <v/>
      </c>
      <c r="T51" s="48" t="str">
        <f t="shared" si="1"/>
        <v/>
      </c>
      <c r="U51" s="31"/>
      <c r="V51" s="42" t="str">
        <f>IF(AND(B51&lt;&gt;""),IF($U$9&lt;&gt;0,VLOOKUP(U51/$U$9*100,TRANSMUTATION_TABLE!$A$2:$B$102,2),""),"")</f>
        <v/>
      </c>
      <c r="W51" s="31"/>
      <c r="X51" s="42" t="str">
        <f>IF(AND(B51&lt;&gt;""),IF($W$9&lt;&gt;0,VLOOKUP(W51/$W$9*100,TRANSMUTATION_TABLE!$A$2:$B$102,2),""),"")</f>
        <v/>
      </c>
      <c r="Y51" s="31"/>
      <c r="Z51" s="42" t="str">
        <f>IF(AND(B51&lt;&gt;""),IF($Y$9&lt;&gt;0,VLOOKUP(Y51/$Y$9*100,TRANSMUTATION_TABLE!$A$2:$B$102,2),""),"")</f>
        <v/>
      </c>
      <c r="AA51" s="31"/>
      <c r="AB51" s="43" t="str">
        <f>IF(AND(B51&lt;&gt;""),IF($AA$9&lt;&gt;0,VLOOKUP(AA51/$AA$9*100,TRANSMUTATION_TABLE!$A$2:$B$102,2),""),"")</f>
        <v/>
      </c>
      <c r="AC51" s="48" t="str">
        <f t="shared" si="2"/>
        <v/>
      </c>
      <c r="AD51" s="216"/>
      <c r="AE51" s="42" t="str">
        <f>IF(AND(B51&lt;&gt;""),IF($AD$9&lt;&gt;0,VLOOKUP(AD51/$AD$9*100,TRANSMUTATION_TABLE!$A$2:$B$102,2),""),"")</f>
        <v/>
      </c>
      <c r="AF51" s="50">
        <f>Attendance!AM48</f>
        <v>0</v>
      </c>
      <c r="AG51" s="42" t="str">
        <f>IF(AND(B51&lt;&gt;""),IF($AF$9&lt;&gt;0,VLOOKUP(AF51/$AF$9*100,TRANSMUTATION_TABLE!$A$2:$B$102,2),""),"")</f>
        <v/>
      </c>
      <c r="AH51" s="31"/>
      <c r="AI51" s="45" t="str">
        <f>IF(AND(B51&lt;&gt;""),IF($AH$9&lt;&gt;0,VLOOKUP(AH51/$AH$9*100,TRANSMUTATION_TABLE!$A$2:$B$102,2),""),"")</f>
        <v/>
      </c>
      <c r="AJ51" s="45" t="str">
        <f>IF(OR(K51&lt;&gt;"",T51&lt;&gt;"",AC51&lt;&gt;"",AI51&lt;&gt;"",AG51&lt;&gt;""),SUM(PRODUCT(K51,IF(Settings!$F$17&lt;&gt;0,Settings!$F$17/100,0)),PRODUCT(Midterm!T51,IF(Settings!$F$18&lt;&gt;0,Settings!$F$18/100,0)),PRODUCT(Midterm!AC51,IF(Settings!$F$19&lt;&gt;0,Settings!$F$19/100,0)),PRODUCT(Midterm!AG51,IF(Settings!$F$20&lt;&gt;0,Settings!$F$20/100,0)),PRODUCT(Midterm!AI51,IF(Settings!$F$21&lt;&gt;0,Settings!$F$21/100,0))),"")</f>
        <v/>
      </c>
      <c r="AK51" s="83" t="str">
        <f>Prelim!AJ51</f>
        <v/>
      </c>
      <c r="AL51" s="46" t="str">
        <f>IF(Prelim!AJ51&lt;&gt;"",IF(AJ51&lt;&gt;"",AJ51*0.7+Prelim!AJ51*0.3,""),"")</f>
        <v/>
      </c>
    </row>
    <row r="52" spans="1:38" ht="12" customHeight="1" thickBot="1" x14ac:dyDescent="0.35">
      <c r="A52" s="52"/>
      <c r="B52" s="60"/>
      <c r="C52" s="31"/>
      <c r="D52" s="42" t="str">
        <f>IF(AND(B52&lt;&gt;""),IF($C$9&lt;&gt;0,VLOOKUP(C52/$C$9*100,TRANSMUTATION_TABLE!$A$2:$B$102,2),""),"")</f>
        <v/>
      </c>
      <c r="E52" s="31"/>
      <c r="F52" s="42" t="str">
        <f>IF(AND(B52&lt;&gt;""),IF($E$9&lt;&gt;0,VLOOKUP(E52/$E$9*100,TRANSMUTATION_TABLE!$A$2:$B$102,2),""),"")</f>
        <v/>
      </c>
      <c r="G52" s="31"/>
      <c r="H52" s="42" t="str">
        <f>IF(AND(B52&lt;&gt;""),IF($G$9&lt;&gt;0,VLOOKUP(G52/$G$9*100,TRANSMUTATION_TABLE!$A$2:$B$102,2),""),"")</f>
        <v/>
      </c>
      <c r="I52" s="31"/>
      <c r="J52" s="43" t="str">
        <f>IF(AND(B52&lt;&gt;""),IF($I$9&lt;&gt;0,VLOOKUP(I52/$I$9*100,TRANSMUTATION_TABLE!$A$2:$B$102,2),""),"")</f>
        <v/>
      </c>
      <c r="K52" s="48" t="str">
        <f t="shared" si="0"/>
        <v/>
      </c>
      <c r="L52" s="31"/>
      <c r="M52" s="42" t="str">
        <f>IF(AND(B52&lt;&gt;""),IF($L$9&lt;&gt;0,VLOOKUP(L52/$L$9*100,TRANSMUTATION_TABLE!$A$2:$B$102,2),""),"")</f>
        <v/>
      </c>
      <c r="N52" s="31"/>
      <c r="O52" s="42" t="str">
        <f>IF(AND(B52&lt;&gt;""),IF($N$9&lt;&gt;0,VLOOKUP(N52/$N$9*100,TRANSMUTATION_TABLE!$A$2:$B$102,2),""),"")</f>
        <v/>
      </c>
      <c r="P52" s="31"/>
      <c r="Q52" s="42" t="str">
        <f>IF(AND(B52&lt;&gt;""),IF($P$9&lt;&gt;0,VLOOKUP(P52/$P$9*100,TRANSMUTATION_TABLE!$A$2:$B$102,2),""),"")</f>
        <v/>
      </c>
      <c r="R52" s="31"/>
      <c r="S52" s="43" t="str">
        <f>IF(AND(B52&lt;&gt;""),IF($R$9&lt;&gt;0,VLOOKUP(R52/$R$9*100,TRANSMUTATION_TABLE!$A$2:$B$102,2),""),"")</f>
        <v/>
      </c>
      <c r="T52" s="48" t="str">
        <f t="shared" si="1"/>
        <v/>
      </c>
      <c r="U52" s="31"/>
      <c r="V52" s="42" t="str">
        <f>IF(AND(B52&lt;&gt;""),IF($U$9&lt;&gt;0,VLOOKUP(U52/$U$9*100,TRANSMUTATION_TABLE!$A$2:$B$102,2),""),"")</f>
        <v/>
      </c>
      <c r="W52" s="31"/>
      <c r="X52" s="42" t="str">
        <f>IF(AND(B52&lt;&gt;""),IF($W$9&lt;&gt;0,VLOOKUP(W52/$W$9*100,TRANSMUTATION_TABLE!$A$2:$B$102,2),""),"")</f>
        <v/>
      </c>
      <c r="Y52" s="31"/>
      <c r="Z52" s="42" t="str">
        <f>IF(AND(B52&lt;&gt;""),IF($Y$9&lt;&gt;0,VLOOKUP(Y52/$Y$9*100,TRANSMUTATION_TABLE!$A$2:$B$102,2),""),"")</f>
        <v/>
      </c>
      <c r="AA52" s="31"/>
      <c r="AB52" s="43" t="str">
        <f>IF(AND(B52&lt;&gt;""),IF($AA$9&lt;&gt;0,VLOOKUP(AA52/$AA$9*100,TRANSMUTATION_TABLE!$A$2:$B$102,2),""),"")</f>
        <v/>
      </c>
      <c r="AC52" s="48" t="str">
        <f t="shared" si="2"/>
        <v/>
      </c>
      <c r="AD52" s="216"/>
      <c r="AE52" s="42" t="str">
        <f>IF(AND(B52&lt;&gt;""),IF($AD$9&lt;&gt;0,VLOOKUP(AD52/$AD$9*100,TRANSMUTATION_TABLE!$A$2:$B$102,2),""),"")</f>
        <v/>
      </c>
      <c r="AF52" s="50">
        <f>Attendance!AM49</f>
        <v>0</v>
      </c>
      <c r="AG52" s="42" t="str">
        <f>IF(AND(B52&lt;&gt;""),IF($AF$9&lt;&gt;0,VLOOKUP(AF52/$AF$9*100,TRANSMUTATION_TABLE!$A$2:$B$102,2),""),"")</f>
        <v/>
      </c>
      <c r="AH52" s="31"/>
      <c r="AI52" s="45" t="str">
        <f>IF(AND(B52&lt;&gt;""),IF($AH$9&lt;&gt;0,VLOOKUP(AH52/$AH$9*100,TRANSMUTATION_TABLE!$A$2:$B$102,2),""),"")</f>
        <v/>
      </c>
      <c r="AJ52" s="45" t="str">
        <f>IF(OR(K52&lt;&gt;"",T52&lt;&gt;"",AC52&lt;&gt;"",AI52&lt;&gt;"",AG52&lt;&gt;""),SUM(PRODUCT(K52,IF(Settings!$F$17&lt;&gt;0,Settings!$F$17/100,0)),PRODUCT(Midterm!T52,IF(Settings!$F$18&lt;&gt;0,Settings!$F$18/100,0)),PRODUCT(Midterm!AC52,IF(Settings!$F$19&lt;&gt;0,Settings!$F$19/100,0)),PRODUCT(Midterm!AG52,IF(Settings!$F$20&lt;&gt;0,Settings!$F$20/100,0)),PRODUCT(Midterm!AI52,IF(Settings!$F$21&lt;&gt;0,Settings!$F$21/100,0))),"")</f>
        <v/>
      </c>
      <c r="AK52" s="83" t="str">
        <f>Prelim!AJ52</f>
        <v/>
      </c>
      <c r="AL52" s="46" t="str">
        <f>IF(Prelim!AJ52&lt;&gt;"",IF(AJ52&lt;&gt;"",AJ52*0.7+Prelim!AJ52*0.3,""),"")</f>
        <v/>
      </c>
    </row>
    <row r="53" spans="1:38" ht="12" customHeight="1" thickBot="1" x14ac:dyDescent="0.35">
      <c r="A53" s="52"/>
      <c r="B53" s="60"/>
      <c r="C53" s="31"/>
      <c r="D53" s="42" t="str">
        <f>IF(AND(B53&lt;&gt;""),IF($C$9&lt;&gt;0,VLOOKUP(C53/$C$9*100,TRANSMUTATION_TABLE!$A$2:$B$102,2),""),"")</f>
        <v/>
      </c>
      <c r="E53" s="31"/>
      <c r="F53" s="42" t="str">
        <f>IF(AND(B53&lt;&gt;""),IF($E$9&lt;&gt;0,VLOOKUP(E53/$E$9*100,TRANSMUTATION_TABLE!$A$2:$B$102,2),""),"")</f>
        <v/>
      </c>
      <c r="G53" s="31"/>
      <c r="H53" s="42" t="str">
        <f>IF(AND(B53&lt;&gt;""),IF($G$9&lt;&gt;0,VLOOKUP(G53/$G$9*100,TRANSMUTATION_TABLE!$A$2:$B$102,2),""),"")</f>
        <v/>
      </c>
      <c r="I53" s="31"/>
      <c r="J53" s="43" t="str">
        <f>IF(AND(B53&lt;&gt;""),IF($I$9&lt;&gt;0,VLOOKUP(I53/$I$9*100,TRANSMUTATION_TABLE!$A$2:$B$102,2),""),"")</f>
        <v/>
      </c>
      <c r="K53" s="48" t="str">
        <f t="shared" si="0"/>
        <v/>
      </c>
      <c r="L53" s="31"/>
      <c r="M53" s="42" t="str">
        <f>IF(AND(B53&lt;&gt;""),IF($L$9&lt;&gt;0,VLOOKUP(L53/$L$9*100,TRANSMUTATION_TABLE!$A$2:$B$102,2),""),"")</f>
        <v/>
      </c>
      <c r="N53" s="31"/>
      <c r="O53" s="42" t="str">
        <f>IF(AND(B53&lt;&gt;""),IF($N$9&lt;&gt;0,VLOOKUP(N53/$N$9*100,TRANSMUTATION_TABLE!$A$2:$B$102,2),""),"")</f>
        <v/>
      </c>
      <c r="P53" s="31"/>
      <c r="Q53" s="42" t="str">
        <f>IF(AND(B53&lt;&gt;""),IF($P$9&lt;&gt;0,VLOOKUP(P53/$P$9*100,TRANSMUTATION_TABLE!$A$2:$B$102,2),""),"")</f>
        <v/>
      </c>
      <c r="R53" s="31"/>
      <c r="S53" s="43" t="str">
        <f>IF(AND(B53&lt;&gt;""),IF($R$9&lt;&gt;0,VLOOKUP(R53/$R$9*100,TRANSMUTATION_TABLE!$A$2:$B$102,2),""),"")</f>
        <v/>
      </c>
      <c r="T53" s="48" t="str">
        <f t="shared" si="1"/>
        <v/>
      </c>
      <c r="U53" s="31"/>
      <c r="V53" s="42" t="str">
        <f>IF(AND(B53&lt;&gt;""),IF($U$9&lt;&gt;0,VLOOKUP(U53/$U$9*100,TRANSMUTATION_TABLE!$A$2:$B$102,2),""),"")</f>
        <v/>
      </c>
      <c r="W53" s="31"/>
      <c r="X53" s="42" t="str">
        <f>IF(AND(B53&lt;&gt;""),IF($W$9&lt;&gt;0,VLOOKUP(W53/$W$9*100,TRANSMUTATION_TABLE!$A$2:$B$102,2),""),"")</f>
        <v/>
      </c>
      <c r="Y53" s="31"/>
      <c r="Z53" s="42" t="str">
        <f>IF(AND(B53&lt;&gt;""),IF($Y$9&lt;&gt;0,VLOOKUP(Y53/$Y$9*100,TRANSMUTATION_TABLE!$A$2:$B$102,2),""),"")</f>
        <v/>
      </c>
      <c r="AA53" s="31"/>
      <c r="AB53" s="43" t="str">
        <f>IF(AND(B53&lt;&gt;""),IF($AA$9&lt;&gt;0,VLOOKUP(AA53/$AA$9*100,TRANSMUTATION_TABLE!$A$2:$B$102,2),""),"")</f>
        <v/>
      </c>
      <c r="AC53" s="48" t="str">
        <f t="shared" si="2"/>
        <v/>
      </c>
      <c r="AD53" s="216"/>
      <c r="AE53" s="42" t="str">
        <f>IF(AND(B53&lt;&gt;""),IF($AD$9&lt;&gt;0,VLOOKUP(AD53/$AD$9*100,TRANSMUTATION_TABLE!$A$2:$B$102,2),""),"")</f>
        <v/>
      </c>
      <c r="AF53" s="50">
        <f>Attendance!AM50</f>
        <v>0</v>
      </c>
      <c r="AG53" s="42" t="str">
        <f>IF(AND(B53&lt;&gt;""),IF($AF$9&lt;&gt;0,VLOOKUP(AF53/$AF$9*100,TRANSMUTATION_TABLE!$A$2:$B$102,2),""),"")</f>
        <v/>
      </c>
      <c r="AH53" s="31"/>
      <c r="AI53" s="45" t="str">
        <f>IF(AND(B53&lt;&gt;""),IF($AH$9&lt;&gt;0,VLOOKUP(AH53/$AH$9*100,TRANSMUTATION_TABLE!$A$2:$B$102,2),""),"")</f>
        <v/>
      </c>
      <c r="AJ53" s="45" t="str">
        <f>IF(OR(K53&lt;&gt;"",T53&lt;&gt;"",AC53&lt;&gt;"",AI53&lt;&gt;"",AG53&lt;&gt;""),SUM(PRODUCT(K53,IF(Settings!$F$17&lt;&gt;0,Settings!$F$17/100,0)),PRODUCT(Midterm!T53,IF(Settings!$F$18&lt;&gt;0,Settings!$F$18/100,0)),PRODUCT(Midterm!AC53,IF(Settings!$F$19&lt;&gt;0,Settings!$F$19/100,0)),PRODUCT(Midterm!AG53,IF(Settings!$F$20&lt;&gt;0,Settings!$F$20/100,0)),PRODUCT(Midterm!AI53,IF(Settings!$F$21&lt;&gt;0,Settings!$F$21/100,0))),"")</f>
        <v/>
      </c>
      <c r="AK53" s="83" t="str">
        <f>Prelim!AJ53</f>
        <v/>
      </c>
      <c r="AL53" s="46" t="str">
        <f>IF(Prelim!AJ53&lt;&gt;"",IF(AJ53&lt;&gt;"",AJ53*0.7+Prelim!AJ53*0.3,""),"")</f>
        <v/>
      </c>
    </row>
    <row r="54" spans="1:38" ht="12" customHeight="1" thickBot="1" x14ac:dyDescent="0.35">
      <c r="A54" s="54"/>
      <c r="B54" s="60"/>
      <c r="C54" s="214"/>
      <c r="D54" s="42" t="str">
        <f>IF(AND(B54&lt;&gt;""),IF($C$9&lt;&gt;0,VLOOKUP(C54/$C$9*100,TRANSMUTATION_TABLE!$A$2:$B$102,2),""),"")</f>
        <v/>
      </c>
      <c r="E54" s="214"/>
      <c r="F54" s="42" t="str">
        <f>IF(AND(B54&lt;&gt;""),IF($E$9&lt;&gt;0,VLOOKUP(E54/$E$9*100,TRANSMUTATION_TABLE!$A$2:$B$102,2),""),"")</f>
        <v/>
      </c>
      <c r="G54" s="214"/>
      <c r="H54" s="42" t="str">
        <f>IF(AND(B54&lt;&gt;""),IF($G$9&lt;&gt;0,VLOOKUP(G54/$G$9*100,TRANSMUTATION_TABLE!$A$2:$B$102,2),""),"")</f>
        <v/>
      </c>
      <c r="I54" s="214"/>
      <c r="J54" s="43" t="str">
        <f>IF(AND(B54&lt;&gt;""),IF($I$9&lt;&gt;0,VLOOKUP(I54/$I$9*100,TRANSMUTATION_TABLE!$A$2:$B$102,2),""),"")</f>
        <v/>
      </c>
      <c r="K54" s="48" t="str">
        <f t="shared" si="0"/>
        <v/>
      </c>
      <c r="L54" s="214"/>
      <c r="M54" s="42" t="str">
        <f>IF(AND(B54&lt;&gt;""),IF($L$9&lt;&gt;0,VLOOKUP(L54/$L$9*100,TRANSMUTATION_TABLE!$A$2:$B$102,2),""),"")</f>
        <v/>
      </c>
      <c r="N54" s="214"/>
      <c r="O54" s="42" t="str">
        <f>IF(AND(B54&lt;&gt;""),IF($N$9&lt;&gt;0,VLOOKUP(N54/$N$9*100,TRANSMUTATION_TABLE!$A$2:$B$102,2),""),"")</f>
        <v/>
      </c>
      <c r="P54" s="214"/>
      <c r="Q54" s="42" t="str">
        <f>IF(AND(B54&lt;&gt;""),IF($P$9&lt;&gt;0,VLOOKUP(P54/$P$9*100,TRANSMUTATION_TABLE!$A$2:$B$102,2),""),"")</f>
        <v/>
      </c>
      <c r="R54" s="214"/>
      <c r="S54" s="43" t="str">
        <f>IF(AND(B54&lt;&gt;""),IF($R$9&lt;&gt;0,VLOOKUP(R54/$R$9*100,TRANSMUTATION_TABLE!$A$2:$B$102,2),""),"")</f>
        <v/>
      </c>
      <c r="T54" s="48" t="str">
        <f t="shared" si="1"/>
        <v/>
      </c>
      <c r="U54" s="214"/>
      <c r="V54" s="42" t="str">
        <f>IF(AND(B54&lt;&gt;""),IF($U$9&lt;&gt;0,VLOOKUP(U54/$U$9*100,TRANSMUTATION_TABLE!$A$2:$B$102,2),""),"")</f>
        <v/>
      </c>
      <c r="W54" s="214"/>
      <c r="X54" s="42" t="str">
        <f>IF(AND(B54&lt;&gt;""),IF($W$9&lt;&gt;0,VLOOKUP(W54/$W$9*100,TRANSMUTATION_TABLE!$A$2:$B$102,2),""),"")</f>
        <v/>
      </c>
      <c r="Y54" s="214"/>
      <c r="Z54" s="42" t="str">
        <f>IF(AND(B54&lt;&gt;""),IF($Y$9&lt;&gt;0,VLOOKUP(Y54/$Y$9*100,TRANSMUTATION_TABLE!$A$2:$B$102,2),""),"")</f>
        <v/>
      </c>
      <c r="AA54" s="214"/>
      <c r="AB54" s="43" t="str">
        <f>IF(AND(B54&lt;&gt;""),IF($AA$9&lt;&gt;0,VLOOKUP(AA54/$AA$9*100,TRANSMUTATION_TABLE!$A$2:$B$102,2),""),"")</f>
        <v/>
      </c>
      <c r="AC54" s="48" t="str">
        <f t="shared" si="2"/>
        <v/>
      </c>
      <c r="AD54" s="216"/>
      <c r="AE54" s="42" t="str">
        <f>IF(AND(B54&lt;&gt;""),IF($AD$9&lt;&gt;0,VLOOKUP(AD54/$AD$9*100,TRANSMUTATION_TABLE!$A$2:$B$102,2),""),"")</f>
        <v/>
      </c>
      <c r="AF54" s="50">
        <f>Attendance!AM51</f>
        <v>0</v>
      </c>
      <c r="AG54" s="42" t="str">
        <f>IF(AND(B54&lt;&gt;""),IF($AF$9&lt;&gt;0,VLOOKUP(AF54/$AF$9*100,TRANSMUTATION_TABLE!$A$2:$B$102,2),""),"")</f>
        <v/>
      </c>
      <c r="AH54" s="214"/>
      <c r="AI54" s="45" t="str">
        <f>IF(AND(B54&lt;&gt;""),IF($AH$9&lt;&gt;0,VLOOKUP(AH54/$AH$9*100,TRANSMUTATION_TABLE!$A$2:$B$102,2),""),"")</f>
        <v/>
      </c>
      <c r="AJ54" s="45" t="str">
        <f>IF(OR(K54&lt;&gt;"",T54&lt;&gt;"",AC54&lt;&gt;"",AI54&lt;&gt;"",AG54&lt;&gt;""),SUM(PRODUCT(K54,IF(Settings!$F$17&lt;&gt;0,Settings!$F$17/100,0)),PRODUCT(Midterm!T54,IF(Settings!$F$18&lt;&gt;0,Settings!$F$18/100,0)),PRODUCT(Midterm!AC54,IF(Settings!$F$19&lt;&gt;0,Settings!$F$19/100,0)),PRODUCT(Midterm!AG54,IF(Settings!$F$20&lt;&gt;0,Settings!$F$20/100,0)),PRODUCT(Midterm!AI54,IF(Settings!$F$21&lt;&gt;0,Settings!$F$21/100,0))),"")</f>
        <v/>
      </c>
      <c r="AK54" s="83" t="str">
        <f>Prelim!AJ54</f>
        <v/>
      </c>
      <c r="AL54" s="46" t="str">
        <f>IF(Prelim!AJ54&lt;&gt;"",IF(AJ54&lt;&gt;"",AJ54*0.7+Prelim!AJ54*0.3,""),"")</f>
        <v/>
      </c>
    </row>
    <row r="55" spans="1:38" ht="12" customHeight="1" thickBot="1" x14ac:dyDescent="0.35">
      <c r="A55" s="59"/>
      <c r="B55" s="117"/>
      <c r="C55" s="31"/>
      <c r="D55" s="42" t="str">
        <f>IF(AND(B55&lt;&gt;""),IF($C$9&lt;&gt;0,VLOOKUP(C55/$C$9*100,TRANSMUTATION_TABLE!$A$2:$B$102,2),""),"")</f>
        <v/>
      </c>
      <c r="E55" s="31"/>
      <c r="F55" s="42" t="str">
        <f>IF(AND(B55&lt;&gt;""),IF($E$9&lt;&gt;0,VLOOKUP(E55/$E$9*100,TRANSMUTATION_TABLE!$A$2:$B$102,2),""),"")</f>
        <v/>
      </c>
      <c r="G55" s="31"/>
      <c r="H55" s="42" t="str">
        <f>IF(AND(B55&lt;&gt;""),IF($G$9&lt;&gt;0,VLOOKUP(G55/$G$9*100,TRANSMUTATION_TABLE!$A$2:$B$102,2),""),"")</f>
        <v/>
      </c>
      <c r="I55" s="31"/>
      <c r="J55" s="43" t="str">
        <f>IF(AND(B55&lt;&gt;""),IF($I$9&lt;&gt;0,VLOOKUP(I55/$I$9*100,TRANSMUTATION_TABLE!$A$2:$B$102,2),""),"")</f>
        <v/>
      </c>
      <c r="K55" s="48" t="str">
        <f t="shared" si="0"/>
        <v/>
      </c>
      <c r="L55" s="31"/>
      <c r="M55" s="42" t="str">
        <f>IF(AND(B55&lt;&gt;""),IF($L$9&lt;&gt;0,VLOOKUP(L55/$L$9*100,TRANSMUTATION_TABLE!$A$2:$B$102,2),""),"")</f>
        <v/>
      </c>
      <c r="N55" s="31"/>
      <c r="O55" s="42" t="str">
        <f>IF(AND(B55&lt;&gt;""),IF($N$9&lt;&gt;0,VLOOKUP(N55/$N$9*100,TRANSMUTATION_TABLE!$A$2:$B$102,2),""),"")</f>
        <v/>
      </c>
      <c r="P55" s="31"/>
      <c r="Q55" s="42" t="str">
        <f>IF(AND(B55&lt;&gt;""),IF($P$9&lt;&gt;0,VLOOKUP(P55/$P$9*100,TRANSMUTATION_TABLE!$A$2:$B$102,2),""),"")</f>
        <v/>
      </c>
      <c r="R55" s="31"/>
      <c r="S55" s="43" t="str">
        <f>IF(AND(B55&lt;&gt;""),IF($R$9&lt;&gt;0,VLOOKUP(R55/$R$9*100,TRANSMUTATION_TABLE!$A$2:$B$102,2),""),"")</f>
        <v/>
      </c>
      <c r="T55" s="48" t="str">
        <f t="shared" si="1"/>
        <v/>
      </c>
      <c r="U55" s="31"/>
      <c r="V55" s="42" t="str">
        <f>IF(AND(B55&lt;&gt;""),IF($U$9&lt;&gt;0,VLOOKUP(U55/$U$9*100,TRANSMUTATION_TABLE!$A$2:$B$102,2),""),"")</f>
        <v/>
      </c>
      <c r="W55" s="31"/>
      <c r="X55" s="42" t="str">
        <f>IF(AND(B55&lt;&gt;""),IF($W$9&lt;&gt;0,VLOOKUP(W55/$W$9*100,TRANSMUTATION_TABLE!$A$2:$B$102,2),""),"")</f>
        <v/>
      </c>
      <c r="Y55" s="31"/>
      <c r="Z55" s="42" t="str">
        <f>IF(AND(B55&lt;&gt;""),IF($Y$9&lt;&gt;0,VLOOKUP(Y55/$Y$9*100,TRANSMUTATION_TABLE!$A$2:$B$102,2),""),"")</f>
        <v/>
      </c>
      <c r="AA55" s="31"/>
      <c r="AB55" s="43" t="str">
        <f>IF(AND(B55&lt;&gt;""),IF($AA$9&lt;&gt;0,VLOOKUP(AA55/$AA$9*100,TRANSMUTATION_TABLE!$A$2:$B$102,2),""),"")</f>
        <v/>
      </c>
      <c r="AC55" s="48" t="str">
        <f t="shared" si="2"/>
        <v/>
      </c>
      <c r="AD55" s="216"/>
      <c r="AE55" s="42" t="str">
        <f>IF(AND(B55&lt;&gt;""),IF($AD$9&lt;&gt;0,VLOOKUP(AD55/$AD$9*100,TRANSMUTATION_TABLE!$A$2:$B$102,2),""),"")</f>
        <v/>
      </c>
      <c r="AF55" s="50">
        <f>Attendance!AM52</f>
        <v>0</v>
      </c>
      <c r="AG55" s="42" t="str">
        <f>IF(AND(B55&lt;&gt;""),IF($AF$9&lt;&gt;0,VLOOKUP(AF55/$AF$9*100,TRANSMUTATION_TABLE!$A$2:$B$102,2),""),"")</f>
        <v/>
      </c>
      <c r="AH55" s="31"/>
      <c r="AI55" s="45" t="str">
        <f>IF(AND(B55&lt;&gt;""),IF($AH$9&lt;&gt;0,VLOOKUP(AH55/$AH$9*100,TRANSMUTATION_TABLE!$A$2:$B$102,2),""),"")</f>
        <v/>
      </c>
      <c r="AJ55" s="45" t="str">
        <f>IF(OR(K55&lt;&gt;"",T55&lt;&gt;"",AC55&lt;&gt;"",AI55&lt;&gt;"",AG55&lt;&gt;""),SUM(PRODUCT(K55,IF(Settings!$F$17&lt;&gt;0,Settings!$F$17/100,0)),PRODUCT(Midterm!T55,IF(Settings!$F$18&lt;&gt;0,Settings!$F$18/100,0)),PRODUCT(Midterm!AC55,IF(Settings!$F$19&lt;&gt;0,Settings!$F$19/100,0)),PRODUCT(Midterm!AG55,IF(Settings!$F$20&lt;&gt;0,Settings!$F$20/100,0)),PRODUCT(Midterm!AI55,IF(Settings!$F$21&lt;&gt;0,Settings!$F$21/100,0))),"")</f>
        <v/>
      </c>
      <c r="AK55" s="83" t="str">
        <f>Prelim!AJ55</f>
        <v/>
      </c>
      <c r="AL55" s="46" t="str">
        <f>IF(Prelim!AJ55&lt;&gt;"",IF(AJ55&lt;&gt;"",AJ55*0.7+Prelim!AJ55*0.3,""),"")</f>
        <v/>
      </c>
    </row>
    <row r="56" spans="1:38" ht="12" customHeight="1" thickBot="1" x14ac:dyDescent="0.35">
      <c r="A56" s="52"/>
      <c r="B56" s="60"/>
      <c r="C56" s="31"/>
      <c r="D56" s="42" t="str">
        <f>IF(AND(B56&lt;&gt;""),IF($C$9&lt;&gt;0,VLOOKUP(C56/$C$9*100,TRANSMUTATION_TABLE!$A$2:$B$102,2),""),"")</f>
        <v/>
      </c>
      <c r="E56" s="31"/>
      <c r="F56" s="42" t="str">
        <f>IF(AND(B56&lt;&gt;""),IF($E$9&lt;&gt;0,VLOOKUP(E56/$E$9*100,TRANSMUTATION_TABLE!$A$2:$B$102,2),""),"")</f>
        <v/>
      </c>
      <c r="G56" s="31"/>
      <c r="H56" s="42" t="str">
        <f>IF(AND(B56&lt;&gt;""),IF($G$9&lt;&gt;0,VLOOKUP(G56/$G$9*100,TRANSMUTATION_TABLE!$A$2:$B$102,2),""),"")</f>
        <v/>
      </c>
      <c r="I56" s="31"/>
      <c r="J56" s="43" t="str">
        <f>IF(AND(B56&lt;&gt;""),IF($I$9&lt;&gt;0,VLOOKUP(I56/$I$9*100,TRANSMUTATION_TABLE!$A$2:$B$102,2),""),"")</f>
        <v/>
      </c>
      <c r="K56" s="48" t="str">
        <f t="shared" si="0"/>
        <v/>
      </c>
      <c r="L56" s="31"/>
      <c r="M56" s="42" t="str">
        <f>IF(AND(B56&lt;&gt;""),IF($L$9&lt;&gt;0,VLOOKUP(L56/$L$9*100,TRANSMUTATION_TABLE!$A$2:$B$102,2),""),"")</f>
        <v/>
      </c>
      <c r="N56" s="31"/>
      <c r="O56" s="42" t="str">
        <f>IF(AND(B56&lt;&gt;""),IF($N$9&lt;&gt;0,VLOOKUP(N56/$N$9*100,TRANSMUTATION_TABLE!$A$2:$B$102,2),""),"")</f>
        <v/>
      </c>
      <c r="P56" s="31"/>
      <c r="Q56" s="42" t="str">
        <f>IF(AND(B56&lt;&gt;""),IF($P$9&lt;&gt;0,VLOOKUP(P56/$P$9*100,TRANSMUTATION_TABLE!$A$2:$B$102,2),""),"")</f>
        <v/>
      </c>
      <c r="R56" s="31"/>
      <c r="S56" s="43" t="str">
        <f>IF(AND(B56&lt;&gt;""),IF($R$9&lt;&gt;0,VLOOKUP(R56/$R$9*100,TRANSMUTATION_TABLE!$A$2:$B$102,2),""),"")</f>
        <v/>
      </c>
      <c r="T56" s="48" t="str">
        <f t="shared" si="1"/>
        <v/>
      </c>
      <c r="U56" s="31"/>
      <c r="V56" s="42" t="str">
        <f>IF(AND(B56&lt;&gt;""),IF($U$9&lt;&gt;0,VLOOKUP(U56/$U$9*100,TRANSMUTATION_TABLE!$A$2:$B$102,2),""),"")</f>
        <v/>
      </c>
      <c r="W56" s="31"/>
      <c r="X56" s="42" t="str">
        <f>IF(AND(B56&lt;&gt;""),IF($W$9&lt;&gt;0,VLOOKUP(W56/$W$9*100,TRANSMUTATION_TABLE!$A$2:$B$102,2),""),"")</f>
        <v/>
      </c>
      <c r="Y56" s="31"/>
      <c r="Z56" s="42" t="str">
        <f>IF(AND(B56&lt;&gt;""),IF($Y$9&lt;&gt;0,VLOOKUP(Y56/$Y$9*100,TRANSMUTATION_TABLE!$A$2:$B$102,2),""),"")</f>
        <v/>
      </c>
      <c r="AA56" s="31"/>
      <c r="AB56" s="43" t="str">
        <f>IF(AND(B56&lt;&gt;""),IF($AA$9&lt;&gt;0,VLOOKUP(AA56/$AA$9*100,TRANSMUTATION_TABLE!$A$2:$B$102,2),""),"")</f>
        <v/>
      </c>
      <c r="AC56" s="48" t="str">
        <f t="shared" si="2"/>
        <v/>
      </c>
      <c r="AD56" s="216"/>
      <c r="AE56" s="42" t="str">
        <f>IF(AND(B56&lt;&gt;""),IF($AD$9&lt;&gt;0,VLOOKUP(AD56/$AD$9*100,TRANSMUTATION_TABLE!$A$2:$B$102,2),""),"")</f>
        <v/>
      </c>
      <c r="AF56" s="50">
        <f>Attendance!AM53</f>
        <v>0</v>
      </c>
      <c r="AG56" s="42" t="str">
        <f>IF(AND(B56&lt;&gt;""),IF($AF$9&lt;&gt;0,VLOOKUP(AF56/$AF$9*100,TRANSMUTATION_TABLE!$A$2:$B$102,2),""),"")</f>
        <v/>
      </c>
      <c r="AH56" s="31"/>
      <c r="AI56" s="45" t="str">
        <f>IF(AND(B56&lt;&gt;""),IF($AH$9&lt;&gt;0,VLOOKUP(AH56/$AH$9*100,TRANSMUTATION_TABLE!$A$2:$B$102,2),""),"")</f>
        <v/>
      </c>
      <c r="AJ56" s="45" t="str">
        <f>IF(OR(K56&lt;&gt;"",T56&lt;&gt;"",AC56&lt;&gt;"",AI56&lt;&gt;"",AG56&lt;&gt;""),SUM(PRODUCT(K56,IF(Settings!$F$17&lt;&gt;0,Settings!$F$17/100,0)),PRODUCT(Midterm!T56,IF(Settings!$F$18&lt;&gt;0,Settings!$F$18/100,0)),PRODUCT(Midterm!AC56,IF(Settings!$F$19&lt;&gt;0,Settings!$F$19/100,0)),PRODUCT(Midterm!AG56,IF(Settings!$F$20&lt;&gt;0,Settings!$F$20/100,0)),PRODUCT(Midterm!AI56,IF(Settings!$F$21&lt;&gt;0,Settings!$F$21/100,0))),"")</f>
        <v/>
      </c>
      <c r="AK56" s="83" t="str">
        <f>Prelim!AJ56</f>
        <v/>
      </c>
      <c r="AL56" s="46" t="str">
        <f>IF(Prelim!AJ56&lt;&gt;"",IF(AJ56&lt;&gt;"",AJ56*0.7+Prelim!AJ56*0.3,""),"")</f>
        <v/>
      </c>
    </row>
    <row r="57" spans="1:38" ht="12" customHeight="1" thickBot="1" x14ac:dyDescent="0.35">
      <c r="A57" s="52"/>
      <c r="B57" s="60"/>
      <c r="C57" s="31"/>
      <c r="D57" s="42" t="str">
        <f>IF(AND(B57&lt;&gt;""),IF($C$9&lt;&gt;0,VLOOKUP(C57/$C$9*100,TRANSMUTATION_TABLE!$A$2:$B$102,2),""),"")</f>
        <v/>
      </c>
      <c r="E57" s="31"/>
      <c r="F57" s="42" t="str">
        <f>IF(AND(B57&lt;&gt;""),IF($E$9&lt;&gt;0,VLOOKUP(E57/$E$9*100,TRANSMUTATION_TABLE!$A$2:$B$102,2),""),"")</f>
        <v/>
      </c>
      <c r="G57" s="31"/>
      <c r="H57" s="42" t="str">
        <f>IF(AND(B57&lt;&gt;""),IF($G$9&lt;&gt;0,VLOOKUP(G57/$G$9*100,TRANSMUTATION_TABLE!$A$2:$B$102,2),""),"")</f>
        <v/>
      </c>
      <c r="I57" s="31"/>
      <c r="J57" s="43" t="str">
        <f>IF(AND(B57&lt;&gt;""),IF($I$9&lt;&gt;0,VLOOKUP(I57/$I$9*100,TRANSMUTATION_TABLE!$A$2:$B$102,2),""),"")</f>
        <v/>
      </c>
      <c r="K57" s="48" t="str">
        <f t="shared" si="0"/>
        <v/>
      </c>
      <c r="L57" s="31"/>
      <c r="M57" s="42" t="str">
        <f>IF(AND(B57&lt;&gt;""),IF($L$9&lt;&gt;0,VLOOKUP(L57/$L$9*100,TRANSMUTATION_TABLE!$A$2:$B$102,2),""),"")</f>
        <v/>
      </c>
      <c r="N57" s="31"/>
      <c r="O57" s="42" t="str">
        <f>IF(AND(B57&lt;&gt;""),IF($N$9&lt;&gt;0,VLOOKUP(N57/$N$9*100,TRANSMUTATION_TABLE!$A$2:$B$102,2),""),"")</f>
        <v/>
      </c>
      <c r="P57" s="31"/>
      <c r="Q57" s="42" t="str">
        <f>IF(AND(B57&lt;&gt;""),IF($P$9&lt;&gt;0,VLOOKUP(P57/$P$9*100,TRANSMUTATION_TABLE!$A$2:$B$102,2),""),"")</f>
        <v/>
      </c>
      <c r="R57" s="31"/>
      <c r="S57" s="43" t="str">
        <f>IF(AND(B57&lt;&gt;""),IF($R$9&lt;&gt;0,VLOOKUP(R57/$R$9*100,TRANSMUTATION_TABLE!$A$2:$B$102,2),""),"")</f>
        <v/>
      </c>
      <c r="T57" s="48" t="str">
        <f t="shared" si="1"/>
        <v/>
      </c>
      <c r="U57" s="31"/>
      <c r="V57" s="42" t="str">
        <f>IF(AND(B57&lt;&gt;""),IF($U$9&lt;&gt;0,VLOOKUP(U57/$U$9*100,TRANSMUTATION_TABLE!$A$2:$B$102,2),""),"")</f>
        <v/>
      </c>
      <c r="W57" s="31"/>
      <c r="X57" s="42" t="str">
        <f>IF(AND(B57&lt;&gt;""),IF($W$9&lt;&gt;0,VLOOKUP(W57/$W$9*100,TRANSMUTATION_TABLE!$A$2:$B$102,2),""),"")</f>
        <v/>
      </c>
      <c r="Y57" s="31"/>
      <c r="Z57" s="42" t="str">
        <f>IF(AND(B57&lt;&gt;""),IF($Y$9&lt;&gt;0,VLOOKUP(Y57/$Y$9*100,TRANSMUTATION_TABLE!$A$2:$B$102,2),""),"")</f>
        <v/>
      </c>
      <c r="AA57" s="31"/>
      <c r="AB57" s="43" t="str">
        <f>IF(AND(B57&lt;&gt;""),IF($AA$9&lt;&gt;0,VLOOKUP(AA57/$AA$9*100,TRANSMUTATION_TABLE!$A$2:$B$102,2),""),"")</f>
        <v/>
      </c>
      <c r="AC57" s="48" t="str">
        <f t="shared" si="2"/>
        <v/>
      </c>
      <c r="AD57" s="216"/>
      <c r="AE57" s="42" t="str">
        <f>IF(AND(B57&lt;&gt;""),IF($AD$9&lt;&gt;0,VLOOKUP(AD57/$AD$9*100,TRANSMUTATION_TABLE!$A$2:$B$102,2),""),"")</f>
        <v/>
      </c>
      <c r="AF57" s="50">
        <f>Attendance!AM54</f>
        <v>0</v>
      </c>
      <c r="AG57" s="42" t="str">
        <f>IF(AND(B57&lt;&gt;""),IF($AF$9&lt;&gt;0,VLOOKUP(AF57/$AF$9*100,TRANSMUTATION_TABLE!$A$2:$B$102,2),""),"")</f>
        <v/>
      </c>
      <c r="AH57" s="31"/>
      <c r="AI57" s="45" t="str">
        <f>IF(AND(B57&lt;&gt;""),IF($AH$9&lt;&gt;0,VLOOKUP(AH57/$AH$9*100,TRANSMUTATION_TABLE!$A$2:$B$102,2),""),"")</f>
        <v/>
      </c>
      <c r="AJ57" s="45" t="str">
        <f>IF(OR(K57&lt;&gt;"",T57&lt;&gt;"",AC57&lt;&gt;"",AI57&lt;&gt;"",AG57&lt;&gt;""),SUM(PRODUCT(K57,IF(Settings!$F$17&lt;&gt;0,Settings!$F$17/100,0)),PRODUCT(Midterm!T57,IF(Settings!$F$18&lt;&gt;0,Settings!$F$18/100,0)),PRODUCT(Midterm!AC57,IF(Settings!$F$19&lt;&gt;0,Settings!$F$19/100,0)),PRODUCT(Midterm!AG57,IF(Settings!$F$20&lt;&gt;0,Settings!$F$20/100,0)),PRODUCT(Midterm!AI57,IF(Settings!$F$21&lt;&gt;0,Settings!$F$21/100,0))),"")</f>
        <v/>
      </c>
      <c r="AK57" s="83" t="str">
        <f>Prelim!AJ57</f>
        <v/>
      </c>
      <c r="AL57" s="46" t="str">
        <f>IF(Prelim!AJ57&lt;&gt;"",IF(AJ57&lt;&gt;"",AJ57*0.7+Prelim!AJ57*0.3,""),"")</f>
        <v/>
      </c>
    </row>
    <row r="58" spans="1:38" ht="12" customHeight="1" thickBot="1" x14ac:dyDescent="0.35">
      <c r="A58" s="52"/>
      <c r="B58" s="60"/>
      <c r="C58" s="31"/>
      <c r="D58" s="42" t="str">
        <f>IF(AND(B58&lt;&gt;""),IF($C$9&lt;&gt;0,VLOOKUP(C58/$C$9*100,TRANSMUTATION_TABLE!$A$2:$B$102,2),""),"")</f>
        <v/>
      </c>
      <c r="E58" s="31"/>
      <c r="F58" s="42" t="str">
        <f>IF(AND(B58&lt;&gt;""),IF($E$9&lt;&gt;0,VLOOKUP(E58/$E$9*100,TRANSMUTATION_TABLE!$A$2:$B$102,2),""),"")</f>
        <v/>
      </c>
      <c r="G58" s="31"/>
      <c r="H58" s="42" t="str">
        <f>IF(AND(B58&lt;&gt;""),IF($G$9&lt;&gt;0,VLOOKUP(G58/$G$9*100,TRANSMUTATION_TABLE!$A$2:$B$102,2),""),"")</f>
        <v/>
      </c>
      <c r="I58" s="31"/>
      <c r="J58" s="43" t="str">
        <f>IF(AND(B58&lt;&gt;""),IF($I$9&lt;&gt;0,VLOOKUP(I58/$I$9*100,TRANSMUTATION_TABLE!$A$2:$B$102,2),""),"")</f>
        <v/>
      </c>
      <c r="K58" s="48" t="str">
        <f t="shared" si="0"/>
        <v/>
      </c>
      <c r="L58" s="31"/>
      <c r="M58" s="42" t="str">
        <f>IF(AND(B58&lt;&gt;""),IF($L$9&lt;&gt;0,VLOOKUP(L58/$L$9*100,TRANSMUTATION_TABLE!$A$2:$B$102,2),""),"")</f>
        <v/>
      </c>
      <c r="N58" s="31"/>
      <c r="O58" s="42" t="str">
        <f>IF(AND(B58&lt;&gt;""),IF($N$9&lt;&gt;0,VLOOKUP(N58/$N$9*100,TRANSMUTATION_TABLE!$A$2:$B$102,2),""),"")</f>
        <v/>
      </c>
      <c r="P58" s="31"/>
      <c r="Q58" s="42" t="str">
        <f>IF(AND(B58&lt;&gt;""),IF($P$9&lt;&gt;0,VLOOKUP(P58/$P$9*100,TRANSMUTATION_TABLE!$A$2:$B$102,2),""),"")</f>
        <v/>
      </c>
      <c r="R58" s="31"/>
      <c r="S58" s="43" t="str">
        <f>IF(AND(B58&lt;&gt;""),IF($R$9&lt;&gt;0,VLOOKUP(R58/$R$9*100,TRANSMUTATION_TABLE!$A$2:$B$102,2),""),"")</f>
        <v/>
      </c>
      <c r="T58" s="48" t="str">
        <f t="shared" si="1"/>
        <v/>
      </c>
      <c r="U58" s="31"/>
      <c r="V58" s="42" t="str">
        <f>IF(AND(B58&lt;&gt;""),IF($U$9&lt;&gt;0,VLOOKUP(U58/$U$9*100,TRANSMUTATION_TABLE!$A$2:$B$102,2),""),"")</f>
        <v/>
      </c>
      <c r="W58" s="31"/>
      <c r="X58" s="42" t="str">
        <f>IF(AND(B58&lt;&gt;""),IF($W$9&lt;&gt;0,VLOOKUP(W58/$W$9*100,TRANSMUTATION_TABLE!$A$2:$B$102,2),""),"")</f>
        <v/>
      </c>
      <c r="Y58" s="31"/>
      <c r="Z58" s="42" t="str">
        <f>IF(AND(B58&lt;&gt;""),IF($Y$9&lt;&gt;0,VLOOKUP(Y58/$Y$9*100,TRANSMUTATION_TABLE!$A$2:$B$102,2),""),"")</f>
        <v/>
      </c>
      <c r="AA58" s="31"/>
      <c r="AB58" s="43" t="str">
        <f>IF(AND(B58&lt;&gt;""),IF($AA$9&lt;&gt;0,VLOOKUP(AA58/$AA$9*100,TRANSMUTATION_TABLE!$A$2:$B$102,2),""),"")</f>
        <v/>
      </c>
      <c r="AC58" s="48" t="str">
        <f t="shared" si="2"/>
        <v/>
      </c>
      <c r="AD58" s="216"/>
      <c r="AE58" s="42" t="str">
        <f>IF(AND(B58&lt;&gt;""),IF($AD$9&lt;&gt;0,VLOOKUP(AD58/$AD$9*100,TRANSMUTATION_TABLE!$A$2:$B$102,2),""),"")</f>
        <v/>
      </c>
      <c r="AF58" s="50">
        <f>Attendance!AM55</f>
        <v>0</v>
      </c>
      <c r="AG58" s="42" t="str">
        <f>IF(AND(B58&lt;&gt;""),IF($AF$9&lt;&gt;0,VLOOKUP(AF58/$AF$9*100,TRANSMUTATION_TABLE!$A$2:$B$102,2),""),"")</f>
        <v/>
      </c>
      <c r="AH58" s="31"/>
      <c r="AI58" s="45" t="str">
        <f>IF(AND(B58&lt;&gt;""),IF($AH$9&lt;&gt;0,VLOOKUP(AH58/$AH$9*100,TRANSMUTATION_TABLE!$A$2:$B$102,2),""),"")</f>
        <v/>
      </c>
      <c r="AJ58" s="45" t="str">
        <f>IF(OR(K58&lt;&gt;"",T58&lt;&gt;"",AC58&lt;&gt;"",AI58&lt;&gt;"",AG58&lt;&gt;""),SUM(PRODUCT(K58,IF(Settings!$F$17&lt;&gt;0,Settings!$F$17/100,0)),PRODUCT(Midterm!T58,IF(Settings!$F$18&lt;&gt;0,Settings!$F$18/100,0)),PRODUCT(Midterm!AC58,IF(Settings!$F$19&lt;&gt;0,Settings!$F$19/100,0)),PRODUCT(Midterm!AG58,IF(Settings!$F$20&lt;&gt;0,Settings!$F$20/100,0)),PRODUCT(Midterm!AI58,IF(Settings!$F$21&lt;&gt;0,Settings!$F$21/100,0))),"")</f>
        <v/>
      </c>
      <c r="AK58" s="83" t="str">
        <f>Prelim!AJ58</f>
        <v/>
      </c>
      <c r="AL58" s="46" t="str">
        <f>IF(Prelim!AJ58&lt;&gt;"",IF(AJ58&lt;&gt;"",AJ58*0.7+Prelim!AJ58*0.3,""),"")</f>
        <v/>
      </c>
    </row>
    <row r="59" spans="1:38" ht="12" customHeight="1" thickBot="1" x14ac:dyDescent="0.35">
      <c r="A59" s="54"/>
      <c r="B59" s="60"/>
      <c r="C59" s="214"/>
      <c r="D59" s="42" t="str">
        <f>IF(AND(B59&lt;&gt;""),IF($C$9&lt;&gt;0,VLOOKUP(C59/$C$9*100,TRANSMUTATION_TABLE!$A$2:$B$102,2),""),"")</f>
        <v/>
      </c>
      <c r="E59" s="214"/>
      <c r="F59" s="42" t="str">
        <f>IF(AND(B59&lt;&gt;""),IF($E$9&lt;&gt;0,VLOOKUP(E59/$E$9*100,TRANSMUTATION_TABLE!$A$2:$B$102,2),""),"")</f>
        <v/>
      </c>
      <c r="G59" s="214"/>
      <c r="H59" s="42" t="str">
        <f>IF(AND(B59&lt;&gt;""),IF($G$9&lt;&gt;0,VLOOKUP(G59/$G$9*100,TRANSMUTATION_TABLE!$A$2:$B$102,2),""),"")</f>
        <v/>
      </c>
      <c r="I59" s="214"/>
      <c r="J59" s="43" t="str">
        <f>IF(AND(B59&lt;&gt;""),IF($I$9&lt;&gt;0,VLOOKUP(I59/$I$9*100,TRANSMUTATION_TABLE!$A$2:$B$102,2),""),"")</f>
        <v/>
      </c>
      <c r="K59" s="48" t="str">
        <f t="shared" si="0"/>
        <v/>
      </c>
      <c r="L59" s="31"/>
      <c r="M59" s="42" t="str">
        <f>IF(AND(B59&lt;&gt;""),IF($L$9&lt;&gt;0,VLOOKUP(L59/$L$9*100,TRANSMUTATION_TABLE!$A$2:$B$102,2),""),"")</f>
        <v/>
      </c>
      <c r="N59" s="214"/>
      <c r="O59" s="42" t="str">
        <f>IF(AND(B59&lt;&gt;""),IF($N$9&lt;&gt;0,VLOOKUP(N59/$N$9*100,TRANSMUTATION_TABLE!$A$2:$B$102,2),""),"")</f>
        <v/>
      </c>
      <c r="P59" s="214"/>
      <c r="Q59" s="42" t="str">
        <f>IF(AND(B59&lt;&gt;""),IF($P$9&lt;&gt;0,VLOOKUP(P59/$P$9*100,TRANSMUTATION_TABLE!$A$2:$B$102,2),""),"")</f>
        <v/>
      </c>
      <c r="R59" s="214"/>
      <c r="S59" s="43" t="str">
        <f>IF(AND(B59&lt;&gt;""),IF($R$9&lt;&gt;0,VLOOKUP(R59/$R$9*100,TRANSMUTATION_TABLE!$A$2:$B$102,2),""),"")</f>
        <v/>
      </c>
      <c r="T59" s="48" t="str">
        <f t="shared" si="1"/>
        <v/>
      </c>
      <c r="U59" s="214"/>
      <c r="V59" s="42" t="str">
        <f>IF(AND(B59&lt;&gt;""),IF($U$9&lt;&gt;0,VLOOKUP(U59/$U$9*100,TRANSMUTATION_TABLE!$A$2:$B$102,2),""),"")</f>
        <v/>
      </c>
      <c r="W59" s="214"/>
      <c r="X59" s="42" t="str">
        <f>IF(AND(B59&lt;&gt;""),IF($W$9&lt;&gt;0,VLOOKUP(W59/$W$9*100,TRANSMUTATION_TABLE!$A$2:$B$102,2),""),"")</f>
        <v/>
      </c>
      <c r="Y59" s="214"/>
      <c r="Z59" s="42" t="str">
        <f>IF(AND(B59&lt;&gt;""),IF($Y$9&lt;&gt;0,VLOOKUP(Y59/$Y$9*100,TRANSMUTATION_TABLE!$A$2:$B$102,2),""),"")</f>
        <v/>
      </c>
      <c r="AA59" s="214"/>
      <c r="AB59" s="43" t="str">
        <f>IF(AND(B59&lt;&gt;""),IF($AA$9&lt;&gt;0,VLOOKUP(AA59/$AA$9*100,TRANSMUTATION_TABLE!$A$2:$B$102,2),""),"")</f>
        <v/>
      </c>
      <c r="AC59" s="48" t="str">
        <f t="shared" si="2"/>
        <v/>
      </c>
      <c r="AD59" s="216"/>
      <c r="AE59" s="42" t="str">
        <f>IF(AND(B59&lt;&gt;""),IF($AD$9&lt;&gt;0,VLOOKUP(AD59/$AD$9*100,TRANSMUTATION_TABLE!$A$2:$B$102,2),""),"")</f>
        <v/>
      </c>
      <c r="AF59" s="50">
        <f>Attendance!AM56</f>
        <v>0</v>
      </c>
      <c r="AG59" s="42" t="str">
        <f>IF(AND(B59&lt;&gt;""),IF($AF$9&lt;&gt;0,VLOOKUP(AF59/$AF$9*100,TRANSMUTATION_TABLE!$A$2:$B$102,2),""),"")</f>
        <v/>
      </c>
      <c r="AH59" s="214"/>
      <c r="AI59" s="45" t="str">
        <f>IF(AND(B59&lt;&gt;""),IF($AH$9&lt;&gt;0,VLOOKUP(AH59/$AH$9*100,TRANSMUTATION_TABLE!$A$2:$B$102,2),""),"")</f>
        <v/>
      </c>
      <c r="AJ59" s="45" t="str">
        <f>IF(OR(K59&lt;&gt;"",T59&lt;&gt;"",AC59&lt;&gt;"",AI59&lt;&gt;"",AG59&lt;&gt;""),SUM(PRODUCT(K59,IF(Settings!$F$17&lt;&gt;0,Settings!$F$17/100,0)),PRODUCT(Midterm!T59,IF(Settings!$F$18&lt;&gt;0,Settings!$F$18/100,0)),PRODUCT(Midterm!AC59,IF(Settings!$F$19&lt;&gt;0,Settings!$F$19/100,0)),PRODUCT(Midterm!AG59,IF(Settings!$F$20&lt;&gt;0,Settings!$F$20/100,0)),PRODUCT(Midterm!AI59,IF(Settings!$F$21&lt;&gt;0,Settings!$F$21/100,0))),"")</f>
        <v/>
      </c>
      <c r="AK59" s="83" t="str">
        <f>Prelim!AJ59</f>
        <v/>
      </c>
      <c r="AL59" s="46" t="str">
        <f>IF(Prelim!AJ59&lt;&gt;"",IF(AJ59&lt;&gt;"",AJ59*0.7+Prelim!AJ59*0.3,""),"")</f>
        <v/>
      </c>
    </row>
    <row r="60" spans="1:38" ht="12" customHeight="1" thickBot="1" x14ac:dyDescent="0.35">
      <c r="A60" s="54"/>
      <c r="B60" s="60"/>
      <c r="C60" s="31"/>
      <c r="D60" s="42" t="str">
        <f>IF(AND(B60&lt;&gt;""),IF($C$9&lt;&gt;0,VLOOKUP(C60/$C$9*100,TRANSMUTATION_TABLE!$A$2:$B$102,2),""),"")</f>
        <v/>
      </c>
      <c r="E60" s="31"/>
      <c r="F60" s="42" t="str">
        <f>IF(AND(B60&lt;&gt;""),IF($E$9&lt;&gt;0,VLOOKUP(E60/$E$9*100,TRANSMUTATION_TABLE!$A$2:$B$102,2),""),"")</f>
        <v/>
      </c>
      <c r="G60" s="31"/>
      <c r="H60" s="42" t="str">
        <f>IF(AND(B60&lt;&gt;""),IF($G$9&lt;&gt;0,VLOOKUP(G60/$G$9*100,TRANSMUTATION_TABLE!$A$2:$B$102,2),""),"")</f>
        <v/>
      </c>
      <c r="I60" s="31"/>
      <c r="J60" s="43" t="str">
        <f>IF(AND(B60&lt;&gt;""),IF($I$9&lt;&gt;0,VLOOKUP(I60/$I$9*100,TRANSMUTATION_TABLE!$A$2:$B$102,2),""),"")</f>
        <v/>
      </c>
      <c r="K60" s="48" t="str">
        <f t="shared" si="0"/>
        <v/>
      </c>
      <c r="L60" s="214"/>
      <c r="M60" s="42" t="str">
        <f>IF(AND(B60&lt;&gt;""),IF($L$9&lt;&gt;0,VLOOKUP(L60/$L$9*100,TRANSMUTATION_TABLE!$A$2:$B$102,2),""),"")</f>
        <v/>
      </c>
      <c r="N60" s="31"/>
      <c r="O60" s="42" t="str">
        <f>IF(AND(B60&lt;&gt;""),IF($N$9&lt;&gt;0,VLOOKUP(N60/$N$9*100,TRANSMUTATION_TABLE!$A$2:$B$102,2),""),"")</f>
        <v/>
      </c>
      <c r="P60" s="31"/>
      <c r="Q60" s="42" t="str">
        <f>IF(AND(B60&lt;&gt;""),IF($P$9&lt;&gt;0,VLOOKUP(P60/$P$9*100,TRANSMUTATION_TABLE!$A$2:$B$102,2),""),"")</f>
        <v/>
      </c>
      <c r="R60" s="31"/>
      <c r="S60" s="43" t="str">
        <f>IF(AND(B60&lt;&gt;""),IF($R$9&lt;&gt;0,VLOOKUP(R60/$R$9*100,TRANSMUTATION_TABLE!$A$2:$B$102,2),""),"")</f>
        <v/>
      </c>
      <c r="T60" s="48" t="str">
        <f t="shared" si="1"/>
        <v/>
      </c>
      <c r="U60" s="31"/>
      <c r="V60" s="42" t="str">
        <f>IF(AND(B60&lt;&gt;""),IF($U$9&lt;&gt;0,VLOOKUP(U60/$U$9*100,TRANSMUTATION_TABLE!$A$2:$B$102,2),""),"")</f>
        <v/>
      </c>
      <c r="W60" s="31"/>
      <c r="X60" s="42" t="str">
        <f>IF(AND(B60&lt;&gt;""),IF($W$9&lt;&gt;0,VLOOKUP(W60/$W$9*100,TRANSMUTATION_TABLE!$A$2:$B$102,2),""),"")</f>
        <v/>
      </c>
      <c r="Y60" s="31"/>
      <c r="Z60" s="42" t="str">
        <f>IF(AND(B60&lt;&gt;""),IF($Y$9&lt;&gt;0,VLOOKUP(Y60/$Y$9*100,TRANSMUTATION_TABLE!$A$2:$B$102,2),""),"")</f>
        <v/>
      </c>
      <c r="AA60" s="31"/>
      <c r="AB60" s="43" t="str">
        <f>IF(AND(B60&lt;&gt;""),IF($AA$9&lt;&gt;0,VLOOKUP(AA60/$AA$9*100,TRANSMUTATION_TABLE!$A$2:$B$102,2),""),"")</f>
        <v/>
      </c>
      <c r="AC60" s="48" t="str">
        <f t="shared" si="2"/>
        <v/>
      </c>
      <c r="AD60" s="218"/>
      <c r="AE60" s="42" t="str">
        <f>IF(AND(B60&lt;&gt;""),IF($AD$9&lt;&gt;0,VLOOKUP(AD60/$AD$9*100,TRANSMUTATION_TABLE!$A$2:$B$102,2),""),"")</f>
        <v/>
      </c>
      <c r="AF60" s="50">
        <f>Attendance!AM57</f>
        <v>0</v>
      </c>
      <c r="AG60" s="42" t="str">
        <f>IF(AND(B60&lt;&gt;""),IF($AF$9&lt;&gt;0,VLOOKUP(AF60/$AF$9*100,TRANSMUTATION_TABLE!$A$2:$B$102,2),""),"")</f>
        <v/>
      </c>
      <c r="AH60" s="31"/>
      <c r="AI60" s="45" t="str">
        <f>IF(AND(B60&lt;&gt;""),IF($AH$9&lt;&gt;0,VLOOKUP(AH60/$AH$9*100,TRANSMUTATION_TABLE!$A$2:$B$102,2),""),"")</f>
        <v/>
      </c>
      <c r="AJ60" s="45" t="str">
        <f>IF(OR(K60&lt;&gt;"",T60&lt;&gt;"",AC60&lt;&gt;"",AI60&lt;&gt;"",AG60&lt;&gt;""),SUM(PRODUCT(K60,IF(Settings!$F$17&lt;&gt;0,Settings!$F$17/100,0)),PRODUCT(Midterm!T60,IF(Settings!$F$18&lt;&gt;0,Settings!$F$18/100,0)),PRODUCT(Midterm!AC60,IF(Settings!$F$19&lt;&gt;0,Settings!$F$19/100,0)),PRODUCT(Midterm!AG60,IF(Settings!$F$20&lt;&gt;0,Settings!$F$20/100,0)),PRODUCT(Midterm!AI60,IF(Settings!$F$21&lt;&gt;0,Settings!$F$21/100,0))),"")</f>
        <v/>
      </c>
      <c r="AK60" s="83" t="str">
        <f>Prelim!AJ60</f>
        <v/>
      </c>
      <c r="AL60" s="46" t="str">
        <f>IF(Prelim!AJ60&lt;&gt;"",IF(AJ60&lt;&gt;"",AJ60*0.7+Prelim!AJ60*0.3,""),"")</f>
        <v/>
      </c>
    </row>
    <row r="61" spans="1:38" ht="12" customHeight="1" thickBot="1" x14ac:dyDescent="0.35">
      <c r="A61" s="54"/>
      <c r="B61" s="60"/>
      <c r="C61" s="31"/>
      <c r="D61" s="42" t="str">
        <f>IF(AND(B61&lt;&gt;""),IF($C$9&lt;&gt;0,VLOOKUP(C61/$C$9*100,TRANSMUTATION_TABLE!$A$2:$B$102,2),""),"")</f>
        <v/>
      </c>
      <c r="E61" s="31"/>
      <c r="F61" s="42" t="str">
        <f>IF(AND(B61&lt;&gt;""),IF($E$9&lt;&gt;0,VLOOKUP(E61/$E$9*100,TRANSMUTATION_TABLE!$A$2:$B$102,2),""),"")</f>
        <v/>
      </c>
      <c r="G61" s="31"/>
      <c r="H61" s="42" t="str">
        <f>IF(AND(B61&lt;&gt;""),IF($G$9&lt;&gt;0,VLOOKUP(G61/$G$9*100,TRANSMUTATION_TABLE!$A$2:$B$102,2),""),"")</f>
        <v/>
      </c>
      <c r="I61" s="31"/>
      <c r="J61" s="43" t="str">
        <f>IF(AND(B61&lt;&gt;""),IF($I$9&lt;&gt;0,VLOOKUP(I61/$I$9*100,TRANSMUTATION_TABLE!$A$2:$B$102,2),""),"")</f>
        <v/>
      </c>
      <c r="K61" s="48" t="str">
        <f t="shared" si="0"/>
        <v/>
      </c>
      <c r="L61" s="31"/>
      <c r="M61" s="42" t="str">
        <f>IF(AND(B61&lt;&gt;""),IF($L$9&lt;&gt;0,VLOOKUP(L61/$L$9*100,TRANSMUTATION_TABLE!$A$2:$B$102,2),""),"")</f>
        <v/>
      </c>
      <c r="N61" s="31"/>
      <c r="O61" s="42" t="str">
        <f>IF(AND(B61&lt;&gt;""),IF($N$9&lt;&gt;0,VLOOKUP(N61/$N$9*100,TRANSMUTATION_TABLE!$A$2:$B$102,2),""),"")</f>
        <v/>
      </c>
      <c r="P61" s="31"/>
      <c r="Q61" s="42" t="str">
        <f>IF(AND(B61&lt;&gt;""),IF($P$9&lt;&gt;0,VLOOKUP(P61/$P$9*100,TRANSMUTATION_TABLE!$A$2:$B$102,2),""),"")</f>
        <v/>
      </c>
      <c r="R61" s="31"/>
      <c r="S61" s="43" t="str">
        <f>IF(AND(B61&lt;&gt;""),IF($R$9&lt;&gt;0,VLOOKUP(R61/$R$9*100,TRANSMUTATION_TABLE!$A$2:$B$102,2),""),"")</f>
        <v/>
      </c>
      <c r="T61" s="48" t="str">
        <f t="shared" si="1"/>
        <v/>
      </c>
      <c r="U61" s="31"/>
      <c r="V61" s="42" t="str">
        <f>IF(AND(B61&lt;&gt;""),IF($U$9&lt;&gt;0,VLOOKUP(U61/$U$9*100,TRANSMUTATION_TABLE!$A$2:$B$102,2),""),"")</f>
        <v/>
      </c>
      <c r="W61" s="31"/>
      <c r="X61" s="42" t="str">
        <f>IF(AND(B61&lt;&gt;""),IF($W$9&lt;&gt;0,VLOOKUP(W61/$W$9*100,TRANSMUTATION_TABLE!$A$2:$B$102,2),""),"")</f>
        <v/>
      </c>
      <c r="Y61" s="31"/>
      <c r="Z61" s="42" t="str">
        <f>IF(AND(B61&lt;&gt;""),IF($Y$9&lt;&gt;0,VLOOKUP(Y61/$Y$9*100,TRANSMUTATION_TABLE!$A$2:$B$102,2),""),"")</f>
        <v/>
      </c>
      <c r="AA61" s="31"/>
      <c r="AB61" s="43" t="str">
        <f>IF(AND(B61&lt;&gt;""),IF($AA$9&lt;&gt;0,VLOOKUP(AA61/$AA$9*100,TRANSMUTATION_TABLE!$A$2:$B$102,2),""),"")</f>
        <v/>
      </c>
      <c r="AC61" s="48" t="str">
        <f t="shared" si="2"/>
        <v/>
      </c>
      <c r="AD61" s="216"/>
      <c r="AE61" s="42" t="str">
        <f>IF(AND(B61&lt;&gt;""),IF($AD$9&lt;&gt;0,VLOOKUP(AD61/$AD$9*100,TRANSMUTATION_TABLE!$A$2:$B$102,2),""),"")</f>
        <v/>
      </c>
      <c r="AF61" s="50">
        <f>Attendance!AM58</f>
        <v>0</v>
      </c>
      <c r="AG61" s="42" t="str">
        <f>IF(AND(B61&lt;&gt;""),IF($AF$9&lt;&gt;0,VLOOKUP(AF61/$AF$9*100,TRANSMUTATION_TABLE!$A$2:$B$102,2),""),"")</f>
        <v/>
      </c>
      <c r="AH61" s="31"/>
      <c r="AI61" s="45" t="str">
        <f>IF(AND(B61&lt;&gt;""),IF($AH$9&lt;&gt;0,VLOOKUP(AH61/$AH$9*100,TRANSMUTATION_TABLE!$A$2:$B$102,2),""),"")</f>
        <v/>
      </c>
      <c r="AJ61" s="45" t="str">
        <f>IF(OR(K61&lt;&gt;"",T61&lt;&gt;"",AC61&lt;&gt;"",AI61&lt;&gt;"",AG61&lt;&gt;""),SUM(PRODUCT(K61,IF(Settings!$F$17&lt;&gt;0,Settings!$F$17/100,0)),PRODUCT(Midterm!T61,IF(Settings!$F$18&lt;&gt;0,Settings!$F$18/100,0)),PRODUCT(Midterm!AC61,IF(Settings!$F$19&lt;&gt;0,Settings!$F$19/100,0)),PRODUCT(Midterm!AG61,IF(Settings!$F$20&lt;&gt;0,Settings!$F$20/100,0)),PRODUCT(Midterm!AI61,IF(Settings!$F$21&lt;&gt;0,Settings!$F$21/100,0))),"")</f>
        <v/>
      </c>
      <c r="AK61" s="83" t="str">
        <f>Prelim!AJ61</f>
        <v/>
      </c>
      <c r="AL61" s="46" t="str">
        <f>IF(Prelim!AJ61&lt;&gt;"",IF(AJ61&lt;&gt;"",AJ61*0.7+Prelim!AJ61*0.3,""),"")</f>
        <v/>
      </c>
    </row>
    <row r="62" spans="1:38" ht="12" customHeight="1" thickBot="1" x14ac:dyDescent="0.35">
      <c r="A62" s="54"/>
      <c r="B62" s="60"/>
      <c r="C62" s="31"/>
      <c r="D62" s="42" t="str">
        <f>IF(AND(B62&lt;&gt;""),IF($C$9&lt;&gt;0,VLOOKUP(C62/$C$9*100,TRANSMUTATION_TABLE!$A$2:$B$102,2),""),"")</f>
        <v/>
      </c>
      <c r="E62" s="31"/>
      <c r="F62" s="42" t="str">
        <f>IF(AND(B62&lt;&gt;""),IF($E$9&lt;&gt;0,VLOOKUP(E62/$E$9*100,TRANSMUTATION_TABLE!$A$2:$B$102,2),""),"")</f>
        <v/>
      </c>
      <c r="G62" s="31"/>
      <c r="H62" s="42" t="str">
        <f>IF(AND(B62&lt;&gt;""),IF($G$9&lt;&gt;0,VLOOKUP(G62/$G$9*100,TRANSMUTATION_TABLE!$A$2:$B$102,2),""),"")</f>
        <v/>
      </c>
      <c r="I62" s="31"/>
      <c r="J62" s="43" t="str">
        <f>IF(AND(B62&lt;&gt;""),IF($I$9&lt;&gt;0,VLOOKUP(I62/$I$9*100,TRANSMUTATION_TABLE!$A$2:$B$102,2),""),"")</f>
        <v/>
      </c>
      <c r="K62" s="48" t="str">
        <f t="shared" si="0"/>
        <v/>
      </c>
      <c r="L62" s="31"/>
      <c r="M62" s="42" t="str">
        <f>IF(AND(B62&lt;&gt;""),IF($L$9&lt;&gt;0,VLOOKUP(L62/$L$9*100,TRANSMUTATION_TABLE!$A$2:$B$102,2),""),"")</f>
        <v/>
      </c>
      <c r="N62" s="31"/>
      <c r="O62" s="42" t="str">
        <f>IF(AND(B62&lt;&gt;""),IF($N$9&lt;&gt;0,VLOOKUP(N62/$N$9*100,TRANSMUTATION_TABLE!$A$2:$B$102,2),""),"")</f>
        <v/>
      </c>
      <c r="P62" s="31"/>
      <c r="Q62" s="42" t="str">
        <f>IF(AND(B62&lt;&gt;""),IF($P$9&lt;&gt;0,VLOOKUP(P62/$P$9*100,TRANSMUTATION_TABLE!$A$2:$B$102,2),""),"")</f>
        <v/>
      </c>
      <c r="R62" s="31"/>
      <c r="S62" s="43" t="str">
        <f>IF(AND(B62&lt;&gt;""),IF($R$9&lt;&gt;0,VLOOKUP(R62/$R$9*100,TRANSMUTATION_TABLE!$A$2:$B$102,2),""),"")</f>
        <v/>
      </c>
      <c r="T62" s="48" t="str">
        <f t="shared" si="1"/>
        <v/>
      </c>
      <c r="U62" s="31"/>
      <c r="V62" s="42" t="str">
        <f>IF(AND(B62&lt;&gt;""),IF($U$9&lt;&gt;0,VLOOKUP(U62/$U$9*100,TRANSMUTATION_TABLE!$A$2:$B$102,2),""),"")</f>
        <v/>
      </c>
      <c r="W62" s="31"/>
      <c r="X62" s="42" t="str">
        <f>IF(AND(B62&lt;&gt;""),IF($W$9&lt;&gt;0,VLOOKUP(W62/$W$9*100,TRANSMUTATION_TABLE!$A$2:$B$102,2),""),"")</f>
        <v/>
      </c>
      <c r="Y62" s="31"/>
      <c r="Z62" s="42" t="str">
        <f>IF(AND(B62&lt;&gt;""),IF($Y$9&lt;&gt;0,VLOOKUP(Y62/$Y$9*100,TRANSMUTATION_TABLE!$A$2:$B$102,2),""),"")</f>
        <v/>
      </c>
      <c r="AA62" s="31"/>
      <c r="AB62" s="43" t="str">
        <f>IF(AND(B62&lt;&gt;""),IF($AA$9&lt;&gt;0,VLOOKUP(AA62/$AA$9*100,TRANSMUTATION_TABLE!$A$2:$B$102,2),""),"")</f>
        <v/>
      </c>
      <c r="AC62" s="48" t="str">
        <f t="shared" si="2"/>
        <v/>
      </c>
      <c r="AD62" s="216"/>
      <c r="AE62" s="42" t="str">
        <f>IF(AND(B62&lt;&gt;""),IF($AD$9&lt;&gt;0,VLOOKUP(AD62/$AD$9*100,TRANSMUTATION_TABLE!$A$2:$B$102,2),""),"")</f>
        <v/>
      </c>
      <c r="AF62" s="50">
        <f>Attendance!AM59</f>
        <v>0</v>
      </c>
      <c r="AG62" s="42" t="str">
        <f>IF(AND(B62&lt;&gt;""),IF($AF$9&lt;&gt;0,VLOOKUP(AF62/$AF$9*100,TRANSMUTATION_TABLE!$A$2:$B$102,2),""),"")</f>
        <v/>
      </c>
      <c r="AH62" s="31"/>
      <c r="AI62" s="45" t="str">
        <f>IF(AND(B62&lt;&gt;""),IF($AH$9&lt;&gt;0,VLOOKUP(AH62/$AH$9*100,TRANSMUTATION_TABLE!$A$2:$B$102,2),""),"")</f>
        <v/>
      </c>
      <c r="AJ62" s="45" t="str">
        <f>IF(OR(K62&lt;&gt;"",T62&lt;&gt;"",AC62&lt;&gt;"",AI62&lt;&gt;"",AG62&lt;&gt;""),SUM(PRODUCT(K62,IF(Settings!$F$17&lt;&gt;0,Settings!$F$17/100,0)),PRODUCT(Midterm!T62,IF(Settings!$F$18&lt;&gt;0,Settings!$F$18/100,0)),PRODUCT(Midterm!AC62,IF(Settings!$F$19&lt;&gt;0,Settings!$F$19/100,0)),PRODUCT(Midterm!AG62,IF(Settings!$F$20&lt;&gt;0,Settings!$F$20/100,0)),PRODUCT(Midterm!AI62,IF(Settings!$F$21&lt;&gt;0,Settings!$F$21/100,0))),"")</f>
        <v/>
      </c>
      <c r="AK62" s="83" t="str">
        <f>Prelim!AJ62</f>
        <v/>
      </c>
      <c r="AL62" s="46" t="str">
        <f>IF(Prelim!AJ62&lt;&gt;"",IF(AJ62&lt;&gt;"",AJ62*0.7+Prelim!AJ62*0.3,""),"")</f>
        <v/>
      </c>
    </row>
    <row r="63" spans="1:38" ht="12" customHeight="1" thickBot="1" x14ac:dyDescent="0.35">
      <c r="A63" s="54"/>
      <c r="B63" s="90"/>
      <c r="C63" s="31"/>
      <c r="D63" s="42" t="str">
        <f>IF(AND(B63&lt;&gt;""),IF($C$9&lt;&gt;0,VLOOKUP(C63/$C$9*100,TRANSMUTATION_TABLE!$A$2:$B$102,2),""),"")</f>
        <v/>
      </c>
      <c r="E63" s="31"/>
      <c r="F63" s="42" t="str">
        <f>IF(AND(B63&lt;&gt;""),IF($E$9&lt;&gt;0,VLOOKUP(E63/$E$9*100,TRANSMUTATION_TABLE!$A$2:$B$102,2),""),"")</f>
        <v/>
      </c>
      <c r="G63" s="31"/>
      <c r="H63" s="42" t="str">
        <f>IF(AND(B63&lt;&gt;""),IF($G$9&lt;&gt;0,VLOOKUP(G63/$G$9*100,TRANSMUTATION_TABLE!$A$2:$B$102,2),""),"")</f>
        <v/>
      </c>
      <c r="I63" s="31"/>
      <c r="J63" s="43" t="str">
        <f>IF(AND(B63&lt;&gt;""),IF($I$9&lt;&gt;0,VLOOKUP(I63/$I$9*100,TRANSMUTATION_TABLE!$A$2:$B$102,2),""),"")</f>
        <v/>
      </c>
      <c r="K63" s="48" t="str">
        <f t="shared" si="0"/>
        <v/>
      </c>
      <c r="L63" s="31"/>
      <c r="M63" s="42" t="str">
        <f>IF(AND(B63&lt;&gt;""),IF($L$9&lt;&gt;0,VLOOKUP(L63/$L$9*100,TRANSMUTATION_TABLE!$A$2:$B$102,2),""),"")</f>
        <v/>
      </c>
      <c r="N63" s="31"/>
      <c r="O63" s="42" t="str">
        <f>IF(AND(B63&lt;&gt;""),IF($N$9&lt;&gt;0,VLOOKUP(N63/$N$9*100,TRANSMUTATION_TABLE!$A$2:$B$102,2),""),"")</f>
        <v/>
      </c>
      <c r="P63" s="31"/>
      <c r="Q63" s="42" t="str">
        <f>IF(AND(B63&lt;&gt;""),IF($P$9&lt;&gt;0,VLOOKUP(P63/$P$9*100,TRANSMUTATION_TABLE!$A$2:$B$102,2),""),"")</f>
        <v/>
      </c>
      <c r="R63" s="31"/>
      <c r="S63" s="43" t="str">
        <f>IF(AND(B63&lt;&gt;""),IF($R$9&lt;&gt;0,VLOOKUP(R63/$R$9*100,TRANSMUTATION_TABLE!$A$2:$B$102,2),""),"")</f>
        <v/>
      </c>
      <c r="T63" s="48" t="str">
        <f t="shared" si="1"/>
        <v/>
      </c>
      <c r="U63" s="31"/>
      <c r="V63" s="42" t="str">
        <f>IF(AND(B63&lt;&gt;""),IF($U$9&lt;&gt;0,VLOOKUP(U63/$U$9*100,TRANSMUTATION_TABLE!$A$2:$B$102,2),""),"")</f>
        <v/>
      </c>
      <c r="W63" s="31"/>
      <c r="X63" s="42" t="str">
        <f>IF(AND(B63&lt;&gt;""),IF($W$9&lt;&gt;0,VLOOKUP(W63/$W$9*100,TRANSMUTATION_TABLE!$A$2:$B$102,2),""),"")</f>
        <v/>
      </c>
      <c r="Y63" s="31"/>
      <c r="Z63" s="42" t="str">
        <f>IF(AND(B63&lt;&gt;""),IF($Y$9&lt;&gt;0,VLOOKUP(Y63/$Y$9*100,TRANSMUTATION_TABLE!$A$2:$B$102,2),""),"")</f>
        <v/>
      </c>
      <c r="AA63" s="31"/>
      <c r="AB63" s="43" t="str">
        <f>IF(AND(B63&lt;&gt;""),IF($AA$9&lt;&gt;0,VLOOKUP(AA63/$AA$9*100,TRANSMUTATION_TABLE!$A$2:$B$102,2),""),"")</f>
        <v/>
      </c>
      <c r="AC63" s="48" t="str">
        <f t="shared" si="2"/>
        <v/>
      </c>
      <c r="AD63" s="216"/>
      <c r="AE63" s="42" t="str">
        <f>IF(AND(B63&lt;&gt;""),IF($AD$9&lt;&gt;0,VLOOKUP(AD63/$AD$9*100,TRANSMUTATION_TABLE!$A$2:$B$102,2),""),"")</f>
        <v/>
      </c>
      <c r="AF63" s="50">
        <f>Attendance!AM60</f>
        <v>0</v>
      </c>
      <c r="AG63" s="42" t="str">
        <f>IF(AND(B63&lt;&gt;""),IF($AF$9&lt;&gt;0,VLOOKUP(AF63/$AF$9*100,TRANSMUTATION_TABLE!$A$2:$B$102,2),""),"")</f>
        <v/>
      </c>
      <c r="AH63" s="31"/>
      <c r="AI63" s="45" t="str">
        <f>IF(AND(B63&lt;&gt;""),IF($AH$9&lt;&gt;0,VLOOKUP(AH63/$AH$9*100,TRANSMUTATION_TABLE!$A$2:$B$102,2),""),"")</f>
        <v/>
      </c>
      <c r="AJ63" s="45" t="str">
        <f>IF(OR(K63&lt;&gt;"",T63&lt;&gt;"",AC63&lt;&gt;"",AI63&lt;&gt;"",AG63&lt;&gt;""),SUM(PRODUCT(K63,IF(Settings!$F$17&lt;&gt;0,Settings!$F$17/100,0)),PRODUCT(Midterm!T63,IF(Settings!$F$18&lt;&gt;0,Settings!$F$18/100,0)),PRODUCT(Midterm!AC63,IF(Settings!$F$19&lt;&gt;0,Settings!$F$19/100,0)),PRODUCT(Midterm!AG63,IF(Settings!$F$20&lt;&gt;0,Settings!$F$20/100,0)),PRODUCT(Midterm!AI63,IF(Settings!$F$21&lt;&gt;0,Settings!$F$21/100,0))),"")</f>
        <v/>
      </c>
      <c r="AK63" s="83" t="str">
        <f>Prelim!AJ63</f>
        <v/>
      </c>
      <c r="AL63" s="46" t="str">
        <f>IF(Prelim!AJ63&lt;&gt;"",IF(AJ63&lt;&gt;"",AJ63*0.7+Prelim!AJ63*0.3,""),"")</f>
        <v/>
      </c>
    </row>
    <row r="64" spans="1:38" ht="12" customHeight="1" thickBot="1" x14ac:dyDescent="0.35">
      <c r="A64" s="54"/>
      <c r="B64" s="61"/>
      <c r="C64" s="214"/>
      <c r="D64" s="42" t="str">
        <f>IF(AND(B64&lt;&gt;""),IF($C$9&lt;&gt;0,VLOOKUP(C64/$C$9*100,TRANSMUTATION_TABLE!$A$2:$B$102,2),""),"")</f>
        <v/>
      </c>
      <c r="E64" s="214"/>
      <c r="F64" s="42" t="str">
        <f>IF(AND(B64&lt;&gt;""),IF($E$9&lt;&gt;0,VLOOKUP(E64/$E$9*100,TRANSMUTATION_TABLE!$A$2:$B$102,2),""),"")</f>
        <v/>
      </c>
      <c r="G64" s="214"/>
      <c r="H64" s="42" t="str">
        <f>IF(AND(B64&lt;&gt;""),IF($G$9&lt;&gt;0,VLOOKUP(G64/$G$9*100,TRANSMUTATION_TABLE!$A$2:$B$102,2),""),"")</f>
        <v/>
      </c>
      <c r="I64" s="214"/>
      <c r="J64" s="43" t="str">
        <f>IF(AND(B64&lt;&gt;""),IF($I$9&lt;&gt;0,VLOOKUP(I64/$I$9*100,TRANSMUTATION_TABLE!$A$2:$B$102,2),""),"")</f>
        <v/>
      </c>
      <c r="K64" s="48" t="str">
        <f t="shared" si="0"/>
        <v/>
      </c>
      <c r="L64" s="214"/>
      <c r="M64" s="42" t="str">
        <f>IF(AND(B64&lt;&gt;""),IF($L$9&lt;&gt;0,VLOOKUP(L64/$L$9*100,TRANSMUTATION_TABLE!$A$2:$B$102,2),""),"")</f>
        <v/>
      </c>
      <c r="N64" s="214"/>
      <c r="O64" s="42" t="str">
        <f>IF(AND(B64&lt;&gt;""),IF($N$9&lt;&gt;0,VLOOKUP(N64/$N$9*100,TRANSMUTATION_TABLE!$A$2:$B$102,2),""),"")</f>
        <v/>
      </c>
      <c r="P64" s="214"/>
      <c r="Q64" s="42" t="str">
        <f>IF(AND(B64&lt;&gt;""),IF($P$9&lt;&gt;0,VLOOKUP(P64/$P$9*100,TRANSMUTATION_TABLE!$A$2:$B$102,2),""),"")</f>
        <v/>
      </c>
      <c r="R64" s="214"/>
      <c r="S64" s="43" t="str">
        <f>IF(AND(B64&lt;&gt;""),IF($R$9&lt;&gt;0,VLOOKUP(R64/$R$9*100,TRANSMUTATION_TABLE!$A$2:$B$102,2),""),"")</f>
        <v/>
      </c>
      <c r="T64" s="48" t="str">
        <f t="shared" si="1"/>
        <v/>
      </c>
      <c r="U64" s="214"/>
      <c r="V64" s="42" t="str">
        <f>IF(AND(B64&lt;&gt;""),IF($U$9&lt;&gt;0,VLOOKUP(U64/$U$9*100,TRANSMUTATION_TABLE!$A$2:$B$102,2),""),"")</f>
        <v/>
      </c>
      <c r="W64" s="214"/>
      <c r="X64" s="42" t="str">
        <f>IF(AND(B64&lt;&gt;""),IF($W$9&lt;&gt;0,VLOOKUP(W64/$W$9*100,TRANSMUTATION_TABLE!$A$2:$B$102,2),""),"")</f>
        <v/>
      </c>
      <c r="Y64" s="214"/>
      <c r="Z64" s="42" t="str">
        <f>IF(AND(B64&lt;&gt;""),IF($Y$9&lt;&gt;0,VLOOKUP(Y64/$Y$9*100,TRANSMUTATION_TABLE!$A$2:$B$102,2),""),"")</f>
        <v/>
      </c>
      <c r="AA64" s="214"/>
      <c r="AB64" s="43" t="str">
        <f>IF(AND(B64&lt;&gt;""),IF($AA$9&lt;&gt;0,VLOOKUP(AA64/$AA$9*100,TRANSMUTATION_TABLE!$A$2:$B$102,2),""),"")</f>
        <v/>
      </c>
      <c r="AC64" s="48" t="str">
        <f t="shared" si="2"/>
        <v/>
      </c>
      <c r="AD64" s="216"/>
      <c r="AE64" s="42" t="str">
        <f>IF(AND(B64&lt;&gt;""),IF($AD$9&lt;&gt;0,VLOOKUP(AD64/$AD$9*100,TRANSMUTATION_TABLE!$A$2:$B$102,2),""),"")</f>
        <v/>
      </c>
      <c r="AF64" s="50">
        <f>Attendance!AM61</f>
        <v>0</v>
      </c>
      <c r="AG64" s="42" t="str">
        <f>IF(AND(B64&lt;&gt;""),IF($AF$9&lt;&gt;0,VLOOKUP(AF64/$AF$9*100,TRANSMUTATION_TABLE!$A$2:$B$102,2),""),"")</f>
        <v/>
      </c>
      <c r="AH64" s="214"/>
      <c r="AI64" s="45" t="str">
        <f>IF(AND(B64&lt;&gt;""),IF($AH$9&lt;&gt;0,VLOOKUP(AH64/$AH$9*100,TRANSMUTATION_TABLE!$A$2:$B$102,2),""),"")</f>
        <v/>
      </c>
      <c r="AJ64" s="45" t="str">
        <f>IF(OR(K64&lt;&gt;"",T64&lt;&gt;"",AC64&lt;&gt;"",AI64&lt;&gt;"",AG64&lt;&gt;""),SUM(PRODUCT(K64,IF(Settings!$F$17&lt;&gt;0,Settings!$F$17/100,0)),PRODUCT(Midterm!T64,IF(Settings!$F$18&lt;&gt;0,Settings!$F$18/100,0)),PRODUCT(Midterm!AC64,IF(Settings!$F$19&lt;&gt;0,Settings!$F$19/100,0)),PRODUCT(Midterm!AG64,IF(Settings!$F$20&lt;&gt;0,Settings!$F$20/100,0)),PRODUCT(Midterm!AI64,IF(Settings!$F$21&lt;&gt;0,Settings!$F$21/100,0))),"")</f>
        <v/>
      </c>
      <c r="AK64" s="83" t="str">
        <f>Prelim!AJ64</f>
        <v/>
      </c>
      <c r="AL64" s="46" t="str">
        <f>IF(Prelim!AJ64&lt;&gt;"",IF(AJ64&lt;&gt;"",AJ64*0.7+Prelim!AJ64*0.3,""),"")</f>
        <v/>
      </c>
    </row>
    <row r="65" spans="1:38" ht="12" customHeight="1" thickBot="1" x14ac:dyDescent="0.35">
      <c r="A65" s="54"/>
      <c r="B65" s="90"/>
      <c r="C65" s="31"/>
      <c r="D65" s="42" t="str">
        <f>IF(AND(B65&lt;&gt;""),IF($C$9&lt;&gt;0,VLOOKUP(C65/$C$9*100,TRANSMUTATION_TABLE!$A$2:$B$102,2),""),"")</f>
        <v/>
      </c>
      <c r="E65" s="31"/>
      <c r="F65" s="42" t="str">
        <f>IF(AND(B65&lt;&gt;""),IF($E$9&lt;&gt;0,VLOOKUP(E65/$E$9*100,TRANSMUTATION_TABLE!$A$2:$B$102,2),""),"")</f>
        <v/>
      </c>
      <c r="G65" s="31"/>
      <c r="H65" s="42" t="str">
        <f>IF(AND(B65&lt;&gt;""),IF($G$9&lt;&gt;0,VLOOKUP(G65/$G$9*100,TRANSMUTATION_TABLE!$A$2:$B$102,2),""),"")</f>
        <v/>
      </c>
      <c r="I65" s="31"/>
      <c r="J65" s="43" t="str">
        <f>IF(AND(B65&lt;&gt;""),IF($I$9&lt;&gt;0,VLOOKUP(I65/$I$9*100,TRANSMUTATION_TABLE!$A$2:$B$102,2),""),"")</f>
        <v/>
      </c>
      <c r="K65" s="48" t="str">
        <f t="shared" si="0"/>
        <v/>
      </c>
      <c r="L65" s="31"/>
      <c r="M65" s="42" t="str">
        <f>IF(AND(B65&lt;&gt;""),IF($L$9&lt;&gt;0,VLOOKUP(L65/$L$9*100,TRANSMUTATION_TABLE!$A$2:$B$102,2),""),"")</f>
        <v/>
      </c>
      <c r="N65" s="31"/>
      <c r="O65" s="42" t="str">
        <f>IF(AND(B65&lt;&gt;""),IF($N$9&lt;&gt;0,VLOOKUP(N65/$N$9*100,TRANSMUTATION_TABLE!$A$2:$B$102,2),""),"")</f>
        <v/>
      </c>
      <c r="P65" s="31"/>
      <c r="Q65" s="42" t="str">
        <f>IF(AND(B65&lt;&gt;""),IF($P$9&lt;&gt;0,VLOOKUP(P65/$P$9*100,TRANSMUTATION_TABLE!$A$2:$B$102,2),""),"")</f>
        <v/>
      </c>
      <c r="R65" s="31"/>
      <c r="S65" s="43" t="str">
        <f>IF(AND(B65&lt;&gt;""),IF($R$9&lt;&gt;0,VLOOKUP(R65/$R$9*100,TRANSMUTATION_TABLE!$A$2:$B$102,2),""),"")</f>
        <v/>
      </c>
      <c r="T65" s="48" t="str">
        <f t="shared" si="1"/>
        <v/>
      </c>
      <c r="U65" s="31"/>
      <c r="V65" s="42" t="str">
        <f>IF(AND(B65&lt;&gt;""),IF($U$9&lt;&gt;0,VLOOKUP(U65/$U$9*100,TRANSMUTATION_TABLE!$A$2:$B$102,2),""),"")</f>
        <v/>
      </c>
      <c r="W65" s="31"/>
      <c r="X65" s="42" t="str">
        <f>IF(AND(B65&lt;&gt;""),IF($W$9&lt;&gt;0,VLOOKUP(W65/$W$9*100,TRANSMUTATION_TABLE!$A$2:$B$102,2),""),"")</f>
        <v/>
      </c>
      <c r="Y65" s="31"/>
      <c r="Z65" s="42" t="str">
        <f>IF(AND(B65&lt;&gt;""),IF($Y$9&lt;&gt;0,VLOOKUP(Y65/$Y$9*100,TRANSMUTATION_TABLE!$A$2:$B$102,2),""),"")</f>
        <v/>
      </c>
      <c r="AA65" s="31"/>
      <c r="AB65" s="43" t="str">
        <f>IF(AND(B65&lt;&gt;""),IF($AA$9&lt;&gt;0,VLOOKUP(AA65/$AA$9*100,TRANSMUTATION_TABLE!$A$2:$B$102,2),""),"")</f>
        <v/>
      </c>
      <c r="AC65" s="48" t="str">
        <f t="shared" si="2"/>
        <v/>
      </c>
      <c r="AD65" s="216"/>
      <c r="AE65" s="42" t="str">
        <f>IF(AND(B65&lt;&gt;""),IF($AD$9&lt;&gt;0,VLOOKUP(AD65/$AD$9*100,TRANSMUTATION_TABLE!$A$2:$B$102,2),""),"")</f>
        <v/>
      </c>
      <c r="AF65" s="50">
        <f>Attendance!AM62</f>
        <v>0</v>
      </c>
      <c r="AG65" s="42" t="str">
        <f>IF(AND(B65&lt;&gt;""),IF($AF$9&lt;&gt;0,VLOOKUP(AF65/$AF$9*100,TRANSMUTATION_TABLE!$A$2:$B$102,2),""),"")</f>
        <v/>
      </c>
      <c r="AH65" s="31"/>
      <c r="AI65" s="45" t="str">
        <f>IF(AND(B65&lt;&gt;""),IF($AH$9&lt;&gt;0,VLOOKUP(AH65/$AH$9*100,TRANSMUTATION_TABLE!$A$2:$B$102,2),""),"")</f>
        <v/>
      </c>
      <c r="AJ65" s="45" t="str">
        <f>IF(OR(K65&lt;&gt;"",T65&lt;&gt;"",AC65&lt;&gt;"",AI65&lt;&gt;"",AG65&lt;&gt;""),SUM(PRODUCT(K65,IF(Settings!$F$17&lt;&gt;0,Settings!$F$17/100,0)),PRODUCT(Midterm!T65,IF(Settings!$F$18&lt;&gt;0,Settings!$F$18/100,0)),PRODUCT(Midterm!AC65,IF(Settings!$F$19&lt;&gt;0,Settings!$F$19/100,0)),PRODUCT(Midterm!AG65,IF(Settings!$F$20&lt;&gt;0,Settings!$F$20/100,0)),PRODUCT(Midterm!AI65,IF(Settings!$F$21&lt;&gt;0,Settings!$F$21/100,0))),"")</f>
        <v/>
      </c>
      <c r="AK65" s="83" t="str">
        <f>Prelim!AJ65</f>
        <v/>
      </c>
      <c r="AL65" s="46" t="str">
        <f>IF(Prelim!AJ65&lt;&gt;"",IF(AJ65&lt;&gt;"",AJ65*0.7+Prelim!AJ65*0.3,""),"")</f>
        <v/>
      </c>
    </row>
    <row r="66" spans="1:38" ht="12" customHeight="1" thickBot="1" x14ac:dyDescent="0.35">
      <c r="A66" s="54"/>
      <c r="B66" s="90"/>
      <c r="C66" s="31"/>
      <c r="D66" s="42" t="str">
        <f>IF(AND(B66&lt;&gt;""),IF($C$9&lt;&gt;0,VLOOKUP(C66/$C$9*100,TRANSMUTATION_TABLE!$A$2:$B$102,2),""),"")</f>
        <v/>
      </c>
      <c r="E66" s="31"/>
      <c r="F66" s="42" t="str">
        <f>IF(AND(B66&lt;&gt;""),IF($E$9&lt;&gt;0,VLOOKUP(E66/$E$9*100,TRANSMUTATION_TABLE!$A$2:$B$102,2),""),"")</f>
        <v/>
      </c>
      <c r="G66" s="31"/>
      <c r="H66" s="42" t="str">
        <f>IF(AND(B66&lt;&gt;""),IF($G$9&lt;&gt;0,VLOOKUP(G66/$G$9*100,TRANSMUTATION_TABLE!$A$2:$B$102,2),""),"")</f>
        <v/>
      </c>
      <c r="I66" s="31"/>
      <c r="J66" s="43" t="str">
        <f>IF(AND(B66&lt;&gt;""),IF($I$9&lt;&gt;0,VLOOKUP(I66/$I$9*100,TRANSMUTATION_TABLE!$A$2:$B$102,2),""),"")</f>
        <v/>
      </c>
      <c r="K66" s="48" t="str">
        <f t="shared" si="0"/>
        <v/>
      </c>
      <c r="L66" s="31"/>
      <c r="M66" s="42" t="str">
        <f>IF(AND(B66&lt;&gt;""),IF($L$9&lt;&gt;0,VLOOKUP(L66/$L$9*100,TRANSMUTATION_TABLE!$A$2:$B$102,2),""),"")</f>
        <v/>
      </c>
      <c r="N66" s="31"/>
      <c r="O66" s="42" t="str">
        <f>IF(AND(B66&lt;&gt;""),IF($N$9&lt;&gt;0,VLOOKUP(N66/$N$9*100,TRANSMUTATION_TABLE!$A$2:$B$102,2),""),"")</f>
        <v/>
      </c>
      <c r="P66" s="31"/>
      <c r="Q66" s="42" t="str">
        <f>IF(AND(B66&lt;&gt;""),IF($P$9&lt;&gt;0,VLOOKUP(P66/$P$9*100,TRANSMUTATION_TABLE!$A$2:$B$102,2),""),"")</f>
        <v/>
      </c>
      <c r="R66" s="31"/>
      <c r="S66" s="43" t="str">
        <f>IF(AND(B66&lt;&gt;""),IF($R$9&lt;&gt;0,VLOOKUP(R66/$R$9*100,TRANSMUTATION_TABLE!$A$2:$B$102,2),""),"")</f>
        <v/>
      </c>
      <c r="T66" s="48" t="str">
        <f t="shared" si="1"/>
        <v/>
      </c>
      <c r="U66" s="31"/>
      <c r="V66" s="42" t="str">
        <f>IF(AND(B66&lt;&gt;""),IF($U$9&lt;&gt;0,VLOOKUP(U66/$U$9*100,TRANSMUTATION_TABLE!$A$2:$B$102,2),""),"")</f>
        <v/>
      </c>
      <c r="W66" s="31"/>
      <c r="X66" s="42" t="str">
        <f>IF(AND(B66&lt;&gt;""),IF($W$9&lt;&gt;0,VLOOKUP(W66/$W$9*100,TRANSMUTATION_TABLE!$A$2:$B$102,2),""),"")</f>
        <v/>
      </c>
      <c r="Y66" s="31"/>
      <c r="Z66" s="42" t="str">
        <f>IF(AND(B66&lt;&gt;""),IF($Y$9&lt;&gt;0,VLOOKUP(Y66/$Y$9*100,TRANSMUTATION_TABLE!$A$2:$B$102,2),""),"")</f>
        <v/>
      </c>
      <c r="AA66" s="31"/>
      <c r="AB66" s="43" t="str">
        <f>IF(AND(B66&lt;&gt;""),IF($AA$9&lt;&gt;0,VLOOKUP(AA66/$AA$9*100,TRANSMUTATION_TABLE!$A$2:$B$102,2),""),"")</f>
        <v/>
      </c>
      <c r="AC66" s="48" t="str">
        <f t="shared" si="2"/>
        <v/>
      </c>
      <c r="AD66" s="216"/>
      <c r="AE66" s="42" t="str">
        <f>IF(AND(B66&lt;&gt;""),IF($AD$9&lt;&gt;0,VLOOKUP(AD66/$AD$9*100,TRANSMUTATION_TABLE!$A$2:$B$102,2),""),"")</f>
        <v/>
      </c>
      <c r="AF66" s="50">
        <f>Attendance!AM63</f>
        <v>0</v>
      </c>
      <c r="AG66" s="42" t="str">
        <f>IF(AND(B66&lt;&gt;""),IF($AF$9&lt;&gt;0,VLOOKUP(AF66/$AF$9*100,TRANSMUTATION_TABLE!$A$2:$B$102,2),""),"")</f>
        <v/>
      </c>
      <c r="AH66" s="31"/>
      <c r="AI66" s="45" t="str">
        <f>IF(AND(B66&lt;&gt;""),IF($AH$9&lt;&gt;0,VLOOKUP(AH66/$AH$9*100,TRANSMUTATION_TABLE!$A$2:$B$102,2),""),"")</f>
        <v/>
      </c>
      <c r="AJ66" s="45" t="str">
        <f>IF(OR(K66&lt;&gt;"",T66&lt;&gt;"",AC66&lt;&gt;"",AI66&lt;&gt;"",AG66&lt;&gt;""),SUM(PRODUCT(K66,IF(Settings!$F$17&lt;&gt;0,Settings!$F$17/100,0)),PRODUCT(Midterm!T66,IF(Settings!$F$18&lt;&gt;0,Settings!$F$18/100,0)),PRODUCT(Midterm!AC66,IF(Settings!$F$19&lt;&gt;0,Settings!$F$19/100,0)),PRODUCT(Midterm!AG66,IF(Settings!$F$20&lt;&gt;0,Settings!$F$20/100,0)),PRODUCT(Midterm!AI66,IF(Settings!$F$21&lt;&gt;0,Settings!$F$21/100,0))),"")</f>
        <v/>
      </c>
      <c r="AK66" s="83" t="str">
        <f>Prelim!AJ66</f>
        <v/>
      </c>
      <c r="AL66" s="46" t="str">
        <f>IF(Prelim!AJ66&lt;&gt;"",IF(AJ66&lt;&gt;"",AJ66*0.7+Prelim!AJ66*0.3,""),"")</f>
        <v/>
      </c>
    </row>
    <row r="67" spans="1:38" ht="12" customHeight="1" thickBot="1" x14ac:dyDescent="0.35">
      <c r="A67" s="54"/>
      <c r="B67" s="90"/>
      <c r="C67" s="31"/>
      <c r="D67" s="42" t="str">
        <f>IF(AND(B67&lt;&gt;""),IF($C$9&lt;&gt;0,VLOOKUP(C67/$C$9*100,TRANSMUTATION_TABLE!$A$2:$B$102,2),""),"")</f>
        <v/>
      </c>
      <c r="E67" s="31"/>
      <c r="F67" s="42" t="str">
        <f>IF(AND(B67&lt;&gt;""),IF($E$9&lt;&gt;0,VLOOKUP(E67/$E$9*100,TRANSMUTATION_TABLE!$A$2:$B$102,2),""),"")</f>
        <v/>
      </c>
      <c r="G67" s="31"/>
      <c r="H67" s="42" t="str">
        <f>IF(AND(B67&lt;&gt;""),IF($G$9&lt;&gt;0,VLOOKUP(G67/$G$9*100,TRANSMUTATION_TABLE!$A$2:$B$102,2),""),"")</f>
        <v/>
      </c>
      <c r="I67" s="31"/>
      <c r="J67" s="43" t="str">
        <f>IF(AND(B67&lt;&gt;""),IF($I$9&lt;&gt;0,VLOOKUP(I67/$I$9*100,TRANSMUTATION_TABLE!$A$2:$B$102,2),""),"")</f>
        <v/>
      </c>
      <c r="K67" s="48" t="str">
        <f t="shared" si="0"/>
        <v/>
      </c>
      <c r="L67" s="31"/>
      <c r="M67" s="42" t="str">
        <f>IF(AND(B67&lt;&gt;""),IF($L$9&lt;&gt;0,VLOOKUP(L67/$L$9*100,TRANSMUTATION_TABLE!$A$2:$B$102,2),""),"")</f>
        <v/>
      </c>
      <c r="N67" s="31"/>
      <c r="O67" s="42" t="str">
        <f>IF(AND(B67&lt;&gt;""),IF($N$9&lt;&gt;0,VLOOKUP(N67/$N$9*100,TRANSMUTATION_TABLE!$A$2:$B$102,2),""),"")</f>
        <v/>
      </c>
      <c r="P67" s="31"/>
      <c r="Q67" s="42" t="str">
        <f>IF(AND(B67&lt;&gt;""),IF($P$9&lt;&gt;0,VLOOKUP(P67/$P$9*100,TRANSMUTATION_TABLE!$A$2:$B$102,2),""),"")</f>
        <v/>
      </c>
      <c r="R67" s="31"/>
      <c r="S67" s="43" t="str">
        <f>IF(AND(B67&lt;&gt;""),IF($R$9&lt;&gt;0,VLOOKUP(R67/$R$9*100,TRANSMUTATION_TABLE!$A$2:$B$102,2),""),"")</f>
        <v/>
      </c>
      <c r="T67" s="48" t="str">
        <f t="shared" si="1"/>
        <v/>
      </c>
      <c r="U67" s="31"/>
      <c r="V67" s="42" t="str">
        <f>IF(AND(B67&lt;&gt;""),IF($U$9&lt;&gt;0,VLOOKUP(U67/$U$9*100,TRANSMUTATION_TABLE!$A$2:$B$102,2),""),"")</f>
        <v/>
      </c>
      <c r="W67" s="31"/>
      <c r="X67" s="42" t="str">
        <f>IF(AND(B67&lt;&gt;""),IF($W$9&lt;&gt;0,VLOOKUP(W67/$W$9*100,TRANSMUTATION_TABLE!$A$2:$B$102,2),""),"")</f>
        <v/>
      </c>
      <c r="Y67" s="31"/>
      <c r="Z67" s="42" t="str">
        <f>IF(AND(B67&lt;&gt;""),IF($Y$9&lt;&gt;0,VLOOKUP(Y67/$Y$9*100,TRANSMUTATION_TABLE!$A$2:$B$102,2),""),"")</f>
        <v/>
      </c>
      <c r="AA67" s="31"/>
      <c r="AB67" s="43" t="str">
        <f>IF(AND(B67&lt;&gt;""),IF($AA$9&lt;&gt;0,VLOOKUP(AA67/$AA$9*100,TRANSMUTATION_TABLE!$A$2:$B$102,2),""),"")</f>
        <v/>
      </c>
      <c r="AC67" s="48" t="str">
        <f t="shared" si="2"/>
        <v/>
      </c>
      <c r="AD67" s="216"/>
      <c r="AE67" s="42" t="str">
        <f>IF(AND(B67&lt;&gt;""),IF($AD$9&lt;&gt;0,VLOOKUP(AD67/$AD$9*100,TRANSMUTATION_TABLE!$A$2:$B$102,2),""),"")</f>
        <v/>
      </c>
      <c r="AF67" s="50">
        <f>Attendance!AM64</f>
        <v>0</v>
      </c>
      <c r="AG67" s="42" t="str">
        <f>IF(AND(B67&lt;&gt;""),IF($AF$9&lt;&gt;0,VLOOKUP(AF67/$AF$9*100,TRANSMUTATION_TABLE!$A$2:$B$102,2),""),"")</f>
        <v/>
      </c>
      <c r="AH67" s="31"/>
      <c r="AI67" s="45" t="str">
        <f>IF(AND(B67&lt;&gt;""),IF($AH$9&lt;&gt;0,VLOOKUP(AH67/$AH$9*100,TRANSMUTATION_TABLE!$A$2:$B$102,2),""),"")</f>
        <v/>
      </c>
      <c r="AJ67" s="45" t="str">
        <f>IF(OR(K67&lt;&gt;"",T67&lt;&gt;"",AC67&lt;&gt;"",AI67&lt;&gt;"",AG67&lt;&gt;""),SUM(PRODUCT(K67,IF(Settings!$F$17&lt;&gt;0,Settings!$F$17/100,0)),PRODUCT(Midterm!T67,IF(Settings!$F$18&lt;&gt;0,Settings!$F$18/100,0)),PRODUCT(Midterm!AC67,IF(Settings!$F$19&lt;&gt;0,Settings!$F$19/100,0)),PRODUCT(Midterm!AG67,IF(Settings!$F$20&lt;&gt;0,Settings!$F$20/100,0)),PRODUCT(Midterm!AI67,IF(Settings!$F$21&lt;&gt;0,Settings!$F$21/100,0))),"")</f>
        <v/>
      </c>
      <c r="AK67" s="83" t="str">
        <f>Prelim!AJ67</f>
        <v/>
      </c>
      <c r="AL67" s="46" t="str">
        <f>IF(Prelim!AJ67&lt;&gt;"",IF(AJ67&lt;&gt;"",AJ67*0.7+Prelim!AJ67*0.3,""),"")</f>
        <v/>
      </c>
    </row>
    <row r="68" spans="1:38" ht="12" customHeight="1" thickBot="1" x14ac:dyDescent="0.35">
      <c r="A68" s="54"/>
      <c r="B68" s="90"/>
      <c r="C68" s="31"/>
      <c r="D68" s="42" t="str">
        <f>IF(AND(B68&lt;&gt;""),IF($C$9&lt;&gt;0,VLOOKUP(C68/$C$9*100,TRANSMUTATION_TABLE!$A$2:$B$102,2),""),"")</f>
        <v/>
      </c>
      <c r="E68" s="31"/>
      <c r="F68" s="42" t="str">
        <f>IF(AND(B68&lt;&gt;""),IF($E$9&lt;&gt;0,VLOOKUP(E68/$E$9*100,TRANSMUTATION_TABLE!$A$2:$B$102,2),""),"")</f>
        <v/>
      </c>
      <c r="G68" s="31"/>
      <c r="H68" s="42" t="str">
        <f>IF(AND(B68&lt;&gt;""),IF($G$9&lt;&gt;0,VLOOKUP(G68/$G$9*100,TRANSMUTATION_TABLE!$A$2:$B$102,2),""),"")</f>
        <v/>
      </c>
      <c r="I68" s="31"/>
      <c r="J68" s="43" t="str">
        <f>IF(AND(B68&lt;&gt;""),IF($I$9&lt;&gt;0,VLOOKUP(I68/$I$9*100,TRANSMUTATION_TABLE!$A$2:$B$102,2),""),"")</f>
        <v/>
      </c>
      <c r="K68" s="48" t="str">
        <f t="shared" si="0"/>
        <v/>
      </c>
      <c r="L68" s="31"/>
      <c r="M68" s="42" t="str">
        <f>IF(AND(B68&lt;&gt;""),IF($L$9&lt;&gt;0,VLOOKUP(L68/$L$9*100,TRANSMUTATION_TABLE!$A$2:$B$102,2),""),"")</f>
        <v/>
      </c>
      <c r="N68" s="31"/>
      <c r="O68" s="42" t="str">
        <f>IF(AND(B68&lt;&gt;""),IF($N$9&lt;&gt;0,VLOOKUP(N68/$N$9*100,TRANSMUTATION_TABLE!$A$2:$B$102,2),""),"")</f>
        <v/>
      </c>
      <c r="P68" s="31"/>
      <c r="Q68" s="42" t="str">
        <f>IF(AND(B68&lt;&gt;""),IF($P$9&lt;&gt;0,VLOOKUP(P68/$P$9*100,TRANSMUTATION_TABLE!$A$2:$B$102,2),""),"")</f>
        <v/>
      </c>
      <c r="R68" s="31"/>
      <c r="S68" s="43" t="str">
        <f>IF(AND(B68&lt;&gt;""),IF($R$9&lt;&gt;0,VLOOKUP(R68/$R$9*100,TRANSMUTATION_TABLE!$A$2:$B$102,2),""),"")</f>
        <v/>
      </c>
      <c r="T68" s="48" t="str">
        <f t="shared" si="1"/>
        <v/>
      </c>
      <c r="U68" s="31"/>
      <c r="V68" s="42" t="str">
        <f>IF(AND(B68&lt;&gt;""),IF($U$9&lt;&gt;0,VLOOKUP(U68/$U$9*100,TRANSMUTATION_TABLE!$A$2:$B$102,2),""),"")</f>
        <v/>
      </c>
      <c r="W68" s="31"/>
      <c r="X68" s="42" t="str">
        <f>IF(AND(B68&lt;&gt;""),IF($W$9&lt;&gt;0,VLOOKUP(W68/$W$9*100,TRANSMUTATION_TABLE!$A$2:$B$102,2),""),"")</f>
        <v/>
      </c>
      <c r="Y68" s="31"/>
      <c r="Z68" s="42" t="str">
        <f>IF(AND(B68&lt;&gt;""),IF($Y$9&lt;&gt;0,VLOOKUP(Y68/$Y$9*100,TRANSMUTATION_TABLE!$A$2:$B$102,2),""),"")</f>
        <v/>
      </c>
      <c r="AA68" s="31"/>
      <c r="AB68" s="43" t="str">
        <f>IF(AND(B68&lt;&gt;""),IF($AA$9&lt;&gt;0,VLOOKUP(AA68/$AA$9*100,TRANSMUTATION_TABLE!$A$2:$B$102,2),""),"")</f>
        <v/>
      </c>
      <c r="AC68" s="48" t="str">
        <f t="shared" si="2"/>
        <v/>
      </c>
      <c r="AD68" s="216"/>
      <c r="AE68" s="42" t="str">
        <f>IF(AND(B68&lt;&gt;""),IF($AD$9&lt;&gt;0,VLOOKUP(AD68/$AD$9*100,TRANSMUTATION_TABLE!$A$2:$B$102,2),""),"")</f>
        <v/>
      </c>
      <c r="AF68" s="50">
        <f>Attendance!AM65</f>
        <v>0</v>
      </c>
      <c r="AG68" s="42" t="str">
        <f>IF(AND(B68&lt;&gt;""),IF($AF$9&lt;&gt;0,VLOOKUP(AF68/$AF$9*100,TRANSMUTATION_TABLE!$A$2:$B$102,2),""),"")</f>
        <v/>
      </c>
      <c r="AH68" s="31"/>
      <c r="AI68" s="45" t="str">
        <f>IF(AND(B68&lt;&gt;""),IF($AH$9&lt;&gt;0,VLOOKUP(AH68/$AH$9*100,TRANSMUTATION_TABLE!$A$2:$B$102,2),""),"")</f>
        <v/>
      </c>
      <c r="AJ68" s="45" t="str">
        <f>IF(OR(K68&lt;&gt;"",T68&lt;&gt;"",AC68&lt;&gt;"",AI68&lt;&gt;"",AG68&lt;&gt;""),SUM(PRODUCT(K68,IF(Settings!$F$17&lt;&gt;0,Settings!$F$17/100,0)),PRODUCT(Midterm!T68,IF(Settings!$F$18&lt;&gt;0,Settings!$F$18/100,0)),PRODUCT(Midterm!AC68,IF(Settings!$F$19&lt;&gt;0,Settings!$F$19/100,0)),PRODUCT(Midterm!AG68,IF(Settings!$F$20&lt;&gt;0,Settings!$F$20/100,0)),PRODUCT(Midterm!AI68,IF(Settings!$F$21&lt;&gt;0,Settings!$F$21/100,0))),"")</f>
        <v/>
      </c>
      <c r="AK68" s="83" t="str">
        <f>Prelim!AJ68</f>
        <v/>
      </c>
      <c r="AL68" s="46" t="str">
        <f>IF(Prelim!AJ68&lt;&gt;"",IF(AJ68&lt;&gt;"",AJ68*0.7+Prelim!AJ68*0.3,""),"")</f>
        <v/>
      </c>
    </row>
    <row r="69" spans="1:38" ht="12" customHeight="1" thickBot="1" x14ac:dyDescent="0.35">
      <c r="A69" s="54"/>
      <c r="B69" s="61"/>
      <c r="C69" s="214"/>
      <c r="D69" s="42" t="str">
        <f>IF(AND(B69&lt;&gt;""),IF($C$9&lt;&gt;0,VLOOKUP(C69/$C$9*100,TRANSMUTATION_TABLE!$A$2:$B$102,2),""),"")</f>
        <v/>
      </c>
      <c r="E69" s="214"/>
      <c r="F69" s="42" t="str">
        <f>IF(AND(B69&lt;&gt;""),IF($E$9&lt;&gt;0,VLOOKUP(E69/$E$9*100,TRANSMUTATION_TABLE!$A$2:$B$102,2),""),"")</f>
        <v/>
      </c>
      <c r="G69" s="214"/>
      <c r="H69" s="42" t="str">
        <f>IF(AND(B69&lt;&gt;""),IF($G$9&lt;&gt;0,VLOOKUP(G69/$G$9*100,TRANSMUTATION_TABLE!$A$2:$B$102,2),""),"")</f>
        <v/>
      </c>
      <c r="I69" s="214"/>
      <c r="J69" s="43" t="str">
        <f>IF(AND(B69&lt;&gt;""),IF($I$9&lt;&gt;0,VLOOKUP(I69/$I$9*100,TRANSMUTATION_TABLE!$A$2:$B$102,2),""),"")</f>
        <v/>
      </c>
      <c r="K69" s="48" t="str">
        <f t="shared" si="0"/>
        <v/>
      </c>
      <c r="L69" s="214"/>
      <c r="M69" s="42" t="str">
        <f>IF(AND(B69&lt;&gt;""),IF($L$9&lt;&gt;0,VLOOKUP(L69/$L$9*100,TRANSMUTATION_TABLE!$A$2:$B$102,2),""),"")</f>
        <v/>
      </c>
      <c r="N69" s="214"/>
      <c r="O69" s="42" t="str">
        <f>IF(AND(B69&lt;&gt;""),IF($N$9&lt;&gt;0,VLOOKUP(N69/$N$9*100,TRANSMUTATION_TABLE!$A$2:$B$102,2),""),"")</f>
        <v/>
      </c>
      <c r="P69" s="214"/>
      <c r="Q69" s="42" t="str">
        <f>IF(AND(B69&lt;&gt;""),IF($P$9&lt;&gt;0,VLOOKUP(P69/$P$9*100,TRANSMUTATION_TABLE!$A$2:$B$102,2),""),"")</f>
        <v/>
      </c>
      <c r="R69" s="214"/>
      <c r="S69" s="43" t="str">
        <f>IF(AND(B69&lt;&gt;""),IF($R$9&lt;&gt;0,VLOOKUP(R69/$R$9*100,TRANSMUTATION_TABLE!$A$2:$B$102,2),""),"")</f>
        <v/>
      </c>
      <c r="T69" s="48" t="str">
        <f t="shared" si="1"/>
        <v/>
      </c>
      <c r="U69" s="214"/>
      <c r="V69" s="42" t="str">
        <f>IF(AND(B69&lt;&gt;""),IF($U$9&lt;&gt;0,VLOOKUP(U69/$U$9*100,TRANSMUTATION_TABLE!$A$2:$B$102,2),""),"")</f>
        <v/>
      </c>
      <c r="W69" s="214"/>
      <c r="X69" s="42" t="str">
        <f>IF(AND(B69&lt;&gt;""),IF($W$9&lt;&gt;0,VLOOKUP(W69/$W$9*100,TRANSMUTATION_TABLE!$A$2:$B$102,2),""),"")</f>
        <v/>
      </c>
      <c r="Y69" s="214"/>
      <c r="Z69" s="42" t="str">
        <f>IF(AND(B69&lt;&gt;""),IF($Y$9&lt;&gt;0,VLOOKUP(Y69/$Y$9*100,TRANSMUTATION_TABLE!$A$2:$B$102,2),""),"")</f>
        <v/>
      </c>
      <c r="AA69" s="214"/>
      <c r="AB69" s="43" t="str">
        <f>IF(AND(B69&lt;&gt;""),IF($AA$9&lt;&gt;0,VLOOKUP(AA69/$AA$9*100,TRANSMUTATION_TABLE!$A$2:$B$102,2),""),"")</f>
        <v/>
      </c>
      <c r="AC69" s="48" t="str">
        <f t="shared" si="2"/>
        <v/>
      </c>
      <c r="AD69" s="216"/>
      <c r="AE69" s="42" t="str">
        <f>IF(AND(B69&lt;&gt;""),IF($AD$9&lt;&gt;0,VLOOKUP(AD69/$AD$9*100,TRANSMUTATION_TABLE!$A$2:$B$102,2),""),"")</f>
        <v/>
      </c>
      <c r="AF69" s="50">
        <f>Attendance!AM66</f>
        <v>0</v>
      </c>
      <c r="AG69" s="42" t="str">
        <f>IF(AND(B69&lt;&gt;""),IF($AF$9&lt;&gt;0,VLOOKUP(AF69/$AF$9*100,TRANSMUTATION_TABLE!$A$2:$B$102,2),""),"")</f>
        <v/>
      </c>
      <c r="AH69" s="214"/>
      <c r="AI69" s="45" t="str">
        <f>IF(AND(B69&lt;&gt;""),IF($AH$9&lt;&gt;0,VLOOKUP(AH69/$AH$9*100,TRANSMUTATION_TABLE!$A$2:$B$102,2),""),"")</f>
        <v/>
      </c>
      <c r="AJ69" s="45" t="str">
        <f>IF(OR(K69&lt;&gt;"",T69&lt;&gt;"",AC69&lt;&gt;"",AI69&lt;&gt;"",AG69&lt;&gt;""),SUM(PRODUCT(K69,IF(Settings!$F$17&lt;&gt;0,Settings!$F$17/100,0)),PRODUCT(Midterm!T69,IF(Settings!$F$18&lt;&gt;0,Settings!$F$18/100,0)),PRODUCT(Midterm!AC69,IF(Settings!$F$19&lt;&gt;0,Settings!$F$19/100,0)),PRODUCT(Midterm!AG69,IF(Settings!$F$20&lt;&gt;0,Settings!$F$20/100,0)),PRODUCT(Midterm!AI69,IF(Settings!$F$21&lt;&gt;0,Settings!$F$21/100,0))),"")</f>
        <v/>
      </c>
      <c r="AK69" s="83" t="str">
        <f>Prelim!AJ69</f>
        <v/>
      </c>
      <c r="AL69" s="46" t="str">
        <f>IF(Prelim!AJ69&lt;&gt;"",IF(AJ69&lt;&gt;"",AJ69*0.7+Prelim!AJ69*0.3,""),"")</f>
        <v/>
      </c>
    </row>
    <row r="70" spans="1:38" ht="14.25" customHeight="1" thickBot="1" x14ac:dyDescent="0.35">
      <c r="A70" s="54"/>
      <c r="B70" s="90"/>
      <c r="C70" s="31"/>
      <c r="D70" s="42" t="str">
        <f>IF(AND(B70&lt;&gt;""),IF($C$9&lt;&gt;0,VLOOKUP(C70/$C$9*100,TRANSMUTATION_TABLE!$A$2:$B$102,2),""),"")</f>
        <v/>
      </c>
      <c r="E70" s="31"/>
      <c r="F70" s="42" t="str">
        <f>IF(AND(B70&lt;&gt;""),IF($E$9&lt;&gt;0,VLOOKUP(E70/$E$9*100,TRANSMUTATION_TABLE!$A$2:$B$102,2),""),"")</f>
        <v/>
      </c>
      <c r="G70" s="31"/>
      <c r="H70" s="42" t="str">
        <f>IF(AND(B70&lt;&gt;""),IF($G$9&lt;&gt;0,VLOOKUP(G70/$G$9*100,TRANSMUTATION_TABLE!$A$2:$B$102,2),""),"")</f>
        <v/>
      </c>
      <c r="I70" s="31"/>
      <c r="J70" s="43" t="str">
        <f>IF(AND(B70&lt;&gt;""),IF($I$9&lt;&gt;0,VLOOKUP(I70/$I$9*100,TRANSMUTATION_TABLE!$A$2:$B$102,2),""),"")</f>
        <v/>
      </c>
      <c r="K70" s="48" t="str">
        <f t="shared" ref="K70:K77" si="3">IF(COUNT(D70,F70,H70,J70)&gt;0,AVERAGE(D70,F70,H70,J70),"")</f>
        <v/>
      </c>
      <c r="L70" s="31"/>
      <c r="M70" s="42" t="str">
        <f>IF(AND(B70&lt;&gt;""),IF($L$9&lt;&gt;0,VLOOKUP(L70/$L$9*100,TRANSMUTATION_TABLE!$A$2:$B$102,2),""),"")</f>
        <v/>
      </c>
      <c r="N70" s="31"/>
      <c r="O70" s="42" t="str">
        <f>IF(AND(B70&lt;&gt;""),IF($N$9&lt;&gt;0,VLOOKUP(N70/$N$9*100,TRANSMUTATION_TABLE!$A$2:$B$102,2),""),"")</f>
        <v/>
      </c>
      <c r="P70" s="31"/>
      <c r="Q70" s="42" t="str">
        <f>IF(AND(B70&lt;&gt;""),IF($P$9&lt;&gt;0,VLOOKUP(P70/$P$9*100,TRANSMUTATION_TABLE!$A$2:$B$102,2),""),"")</f>
        <v/>
      </c>
      <c r="R70" s="31"/>
      <c r="S70" s="43" t="str">
        <f>IF(AND(B70&lt;&gt;""),IF($R$9&lt;&gt;0,VLOOKUP(R70/$R$9*100,TRANSMUTATION_TABLE!$A$2:$B$102,2),""),"")</f>
        <v/>
      </c>
      <c r="T70" s="48" t="str">
        <f t="shared" ref="T70:T77" si="4">IF(COUNT(M70,O70,Q70,S70)&gt;0,AVERAGE(M70,O70,Q70,S70),"")</f>
        <v/>
      </c>
      <c r="U70" s="31"/>
      <c r="V70" s="42" t="str">
        <f>IF(AND(B70&lt;&gt;""),IF($U$9&lt;&gt;0,VLOOKUP(U70/$U$9*100,TRANSMUTATION_TABLE!$A$2:$B$102,2),""),"")</f>
        <v/>
      </c>
      <c r="W70" s="31"/>
      <c r="X70" s="42" t="str">
        <f>IF(AND(B70&lt;&gt;""),IF($W$9&lt;&gt;0,VLOOKUP(W70/$W$9*100,TRANSMUTATION_TABLE!$A$2:$B$102,2),""),"")</f>
        <v/>
      </c>
      <c r="Y70" s="31"/>
      <c r="Z70" s="42" t="str">
        <f>IF(AND(B70&lt;&gt;""),IF($Y$9&lt;&gt;0,VLOOKUP(Y70/$Y$9*100,TRANSMUTATION_TABLE!$A$2:$B$102,2),""),"")</f>
        <v/>
      </c>
      <c r="AA70" s="31"/>
      <c r="AB70" s="43" t="str">
        <f>IF(AND(B70&lt;&gt;""),IF($AA$9&lt;&gt;0,VLOOKUP(AA70/$AA$9*100,TRANSMUTATION_TABLE!$A$2:$B$102,2),""),"")</f>
        <v/>
      </c>
      <c r="AC70" s="48" t="str">
        <f t="shared" ref="AC70:AC77" si="5">IF(COUNT(V70,X70,Z70,AB70)&gt;0,AVERAGE(V70,X70,Z70,AB70),"")</f>
        <v/>
      </c>
      <c r="AD70" s="216"/>
      <c r="AE70" s="42" t="str">
        <f>IF(AND(B70&lt;&gt;""),IF($AD$9&lt;&gt;0,VLOOKUP(AD70/$AD$9*100,TRANSMUTATION_TABLE!$A$2:$B$102,2),""),"")</f>
        <v/>
      </c>
      <c r="AF70" s="50">
        <f>Attendance!AM67</f>
        <v>0</v>
      </c>
      <c r="AG70" s="42" t="str">
        <f>IF(AND(B70&lt;&gt;""),IF($AF$9&lt;&gt;0,VLOOKUP(AF70/$AF$9*100,TRANSMUTATION_TABLE!$A$2:$B$102,2),""),"")</f>
        <v/>
      </c>
      <c r="AH70" s="31"/>
      <c r="AI70" s="45" t="str">
        <f>IF(AND(B70&lt;&gt;""),IF($AH$9&lt;&gt;0,VLOOKUP(AH70/$AH$9*100,TRANSMUTATION_TABLE!$A$2:$B$102,2),""),"")</f>
        <v/>
      </c>
      <c r="AJ70" s="45" t="str">
        <f>IF(OR(K70&lt;&gt;"",T70&lt;&gt;"",AC70&lt;&gt;"",AI70&lt;&gt;"",AG70&lt;&gt;""),SUM(PRODUCT(K70,IF(Settings!$F$17&lt;&gt;0,Settings!$F$17/100,0)),PRODUCT(Midterm!T70,IF(Settings!$F$18&lt;&gt;0,Settings!$F$18/100,0)),PRODUCT(Midterm!AC70,IF(Settings!$F$19&lt;&gt;0,Settings!$F$19/100,0)),PRODUCT(Midterm!AG70,IF(Settings!$F$20&lt;&gt;0,Settings!$F$20/100,0)),PRODUCT(Midterm!AI70,IF(Settings!$F$21&lt;&gt;0,Settings!$F$21/100,0))),"")</f>
        <v/>
      </c>
      <c r="AK70" s="83" t="str">
        <f>Prelim!AJ70</f>
        <v/>
      </c>
      <c r="AL70" s="46" t="str">
        <f>IF(Prelim!AJ70&lt;&gt;"",IF(AJ70&lt;&gt;"",AJ70*0.7+Prelim!AJ70*0.3,""),"")</f>
        <v/>
      </c>
    </row>
    <row r="71" spans="1:38" ht="14.25" customHeight="1" thickBot="1" x14ac:dyDescent="0.35">
      <c r="A71" s="54"/>
      <c r="B71" s="90"/>
      <c r="C71" s="31"/>
      <c r="D71" s="42" t="str">
        <f>IF(AND(B71&lt;&gt;""),IF($C$9&lt;&gt;0,VLOOKUP(C71/$C$9*100,TRANSMUTATION_TABLE!$A$2:$B$102,2),""),"")</f>
        <v/>
      </c>
      <c r="E71" s="31"/>
      <c r="F71" s="42" t="str">
        <f>IF(AND(B71&lt;&gt;""),IF($E$9&lt;&gt;0,VLOOKUP(E71/$E$9*100,TRANSMUTATION_TABLE!$A$2:$B$102,2),""),"")</f>
        <v/>
      </c>
      <c r="G71" s="31"/>
      <c r="H71" s="42" t="str">
        <f>IF(AND(B71&lt;&gt;""),IF($G$9&lt;&gt;0,VLOOKUP(G71/$G$9*100,TRANSMUTATION_TABLE!$A$2:$B$102,2),""),"")</f>
        <v/>
      </c>
      <c r="I71" s="31"/>
      <c r="J71" s="43" t="str">
        <f>IF(AND(B71&lt;&gt;""),IF($I$9&lt;&gt;0,VLOOKUP(I71/$I$9*100,TRANSMUTATION_TABLE!$A$2:$B$102,2),""),"")</f>
        <v/>
      </c>
      <c r="K71" s="48" t="str">
        <f t="shared" si="3"/>
        <v/>
      </c>
      <c r="L71" s="31"/>
      <c r="M71" s="42" t="str">
        <f>IF(AND(B71&lt;&gt;""),IF($L$9&lt;&gt;0,VLOOKUP(L71/$L$9*100,TRANSMUTATION_TABLE!$A$2:$B$102,2),""),"")</f>
        <v/>
      </c>
      <c r="N71" s="31"/>
      <c r="O71" s="42" t="str">
        <f>IF(AND(B71&lt;&gt;""),IF($N$9&lt;&gt;0,VLOOKUP(N71/$N$9*100,TRANSMUTATION_TABLE!$A$2:$B$102,2),""),"")</f>
        <v/>
      </c>
      <c r="P71" s="31"/>
      <c r="Q71" s="42" t="str">
        <f>IF(AND(B71&lt;&gt;""),IF($P$9&lt;&gt;0,VLOOKUP(P71/$P$9*100,TRANSMUTATION_TABLE!$A$2:$B$102,2),""),"")</f>
        <v/>
      </c>
      <c r="R71" s="31"/>
      <c r="S71" s="43" t="str">
        <f>IF(AND(B71&lt;&gt;""),IF($R$9&lt;&gt;0,VLOOKUP(R71/$R$9*100,TRANSMUTATION_TABLE!$A$2:$B$102,2),""),"")</f>
        <v/>
      </c>
      <c r="T71" s="48" t="str">
        <f t="shared" si="4"/>
        <v/>
      </c>
      <c r="U71" s="31"/>
      <c r="V71" s="42" t="str">
        <f>IF(AND(B71&lt;&gt;""),IF($U$9&lt;&gt;0,VLOOKUP(U71/$U$9*100,TRANSMUTATION_TABLE!$A$2:$B$102,2),""),"")</f>
        <v/>
      </c>
      <c r="W71" s="31"/>
      <c r="X71" s="42" t="str">
        <f>IF(AND(B71&lt;&gt;""),IF($W$9&lt;&gt;0,VLOOKUP(W71/$W$9*100,TRANSMUTATION_TABLE!$A$2:$B$102,2),""),"")</f>
        <v/>
      </c>
      <c r="Y71" s="31"/>
      <c r="Z71" s="42" t="str">
        <f>IF(AND(B71&lt;&gt;""),IF($Y$9&lt;&gt;0,VLOOKUP(Y71/$Y$9*100,TRANSMUTATION_TABLE!$A$2:$B$102,2),""),"")</f>
        <v/>
      </c>
      <c r="AA71" s="31"/>
      <c r="AB71" s="43" t="str">
        <f>IF(AND(B71&lt;&gt;""),IF($AA$9&lt;&gt;0,VLOOKUP(AA71/$AA$9*100,TRANSMUTATION_TABLE!$A$2:$B$102,2),""),"")</f>
        <v/>
      </c>
      <c r="AC71" s="48" t="str">
        <f t="shared" si="5"/>
        <v/>
      </c>
      <c r="AD71" s="216"/>
      <c r="AE71" s="42" t="str">
        <f>IF(AND(B71&lt;&gt;""),IF($AD$9&lt;&gt;0,VLOOKUP(AD71/$AD$9*100,TRANSMUTATION_TABLE!$A$2:$B$102,2),""),"")</f>
        <v/>
      </c>
      <c r="AF71" s="50">
        <f>Attendance!AM68</f>
        <v>0</v>
      </c>
      <c r="AG71" s="42" t="str">
        <f>IF(AND(B71&lt;&gt;""),IF($AF$9&lt;&gt;0,VLOOKUP(AF71/$AF$9*100,TRANSMUTATION_TABLE!$A$2:$B$102,2),""),"")</f>
        <v/>
      </c>
      <c r="AH71" s="31"/>
      <c r="AI71" s="45" t="str">
        <f>IF(AND(B71&lt;&gt;""),IF($AH$9&lt;&gt;0,VLOOKUP(AH71/$AH$9*100,TRANSMUTATION_TABLE!$A$2:$B$102,2),""),"")</f>
        <v/>
      </c>
      <c r="AJ71" s="45" t="str">
        <f>IF(OR(K71&lt;&gt;"",T71&lt;&gt;"",AC71&lt;&gt;"",AI71&lt;&gt;"",AG71&lt;&gt;""),SUM(PRODUCT(K71,IF(Settings!$F$17&lt;&gt;0,Settings!$F$17/100,0)),PRODUCT(Midterm!T71,IF(Settings!$F$18&lt;&gt;0,Settings!$F$18/100,0)),PRODUCT(Midterm!AC71,IF(Settings!$F$19&lt;&gt;0,Settings!$F$19/100,0)),PRODUCT(Midterm!AG71,IF(Settings!$F$20&lt;&gt;0,Settings!$F$20/100,0)),PRODUCT(Midterm!AI71,IF(Settings!$F$21&lt;&gt;0,Settings!$F$21/100,0))),"")</f>
        <v/>
      </c>
      <c r="AK71" s="83" t="str">
        <f>Prelim!AJ71</f>
        <v/>
      </c>
      <c r="AL71" s="46" t="str">
        <f>IF(Prelim!AJ71&lt;&gt;"",IF(AJ71&lt;&gt;"",AJ71*0.7+Prelim!AJ71*0.3,""),"")</f>
        <v/>
      </c>
    </row>
    <row r="72" spans="1:38" ht="14.25" customHeight="1" thickBot="1" x14ac:dyDescent="0.35">
      <c r="A72" s="54"/>
      <c r="B72" s="90"/>
      <c r="C72" s="31"/>
      <c r="D72" s="42" t="str">
        <f>IF(AND(B72&lt;&gt;""),IF($C$9&lt;&gt;0,VLOOKUP(C72/$C$9*100,TRANSMUTATION_TABLE!$A$2:$B$102,2),""),"")</f>
        <v/>
      </c>
      <c r="E72" s="31"/>
      <c r="F72" s="42" t="str">
        <f>IF(AND(B72&lt;&gt;""),IF($E$9&lt;&gt;0,VLOOKUP(E72/$E$9*100,TRANSMUTATION_TABLE!$A$2:$B$102,2),""),"")</f>
        <v/>
      </c>
      <c r="G72" s="31"/>
      <c r="H72" s="42" t="str">
        <f>IF(AND(B72&lt;&gt;""),IF($G$9&lt;&gt;0,VLOOKUP(G72/$G$9*100,TRANSMUTATION_TABLE!$A$2:$B$102,2),""),"")</f>
        <v/>
      </c>
      <c r="I72" s="31"/>
      <c r="J72" s="43" t="str">
        <f>IF(AND(B72&lt;&gt;""),IF($I$9&lt;&gt;0,VLOOKUP(I72/$I$9*100,TRANSMUTATION_TABLE!$A$2:$B$102,2),""),"")</f>
        <v/>
      </c>
      <c r="K72" s="48" t="str">
        <f t="shared" si="3"/>
        <v/>
      </c>
      <c r="L72" s="31"/>
      <c r="M72" s="42" t="str">
        <f>IF(AND(B72&lt;&gt;""),IF($L$9&lt;&gt;0,VLOOKUP(L72/$L$9*100,TRANSMUTATION_TABLE!$A$2:$B$102,2),""),"")</f>
        <v/>
      </c>
      <c r="N72" s="31"/>
      <c r="O72" s="42" t="str">
        <f>IF(AND(B72&lt;&gt;""),IF($N$9&lt;&gt;0,VLOOKUP(N72/$N$9*100,TRANSMUTATION_TABLE!$A$2:$B$102,2),""),"")</f>
        <v/>
      </c>
      <c r="P72" s="31"/>
      <c r="Q72" s="42" t="str">
        <f>IF(AND(B72&lt;&gt;""),IF($P$9&lt;&gt;0,VLOOKUP(P72/$P$9*100,TRANSMUTATION_TABLE!$A$2:$B$102,2),""),"")</f>
        <v/>
      </c>
      <c r="R72" s="31"/>
      <c r="S72" s="43" t="str">
        <f>IF(AND(B72&lt;&gt;""),IF($R$9&lt;&gt;0,VLOOKUP(R72/$R$9*100,TRANSMUTATION_TABLE!$A$2:$B$102,2),""),"")</f>
        <v/>
      </c>
      <c r="T72" s="48" t="str">
        <f t="shared" si="4"/>
        <v/>
      </c>
      <c r="U72" s="31"/>
      <c r="V72" s="42" t="str">
        <f>IF(AND(B72&lt;&gt;""),IF($U$9&lt;&gt;0,VLOOKUP(U72/$U$9*100,TRANSMUTATION_TABLE!$A$2:$B$102,2),""),"")</f>
        <v/>
      </c>
      <c r="W72" s="31"/>
      <c r="X72" s="42" t="str">
        <f>IF(AND(B72&lt;&gt;""),IF($W$9&lt;&gt;0,VLOOKUP(W72/$W$9*100,TRANSMUTATION_TABLE!$A$2:$B$102,2),""),"")</f>
        <v/>
      </c>
      <c r="Y72" s="31"/>
      <c r="Z72" s="42" t="str">
        <f>IF(AND(B72&lt;&gt;""),IF($Y$9&lt;&gt;0,VLOOKUP(Y72/$Y$9*100,TRANSMUTATION_TABLE!$A$2:$B$102,2),""),"")</f>
        <v/>
      </c>
      <c r="AA72" s="31"/>
      <c r="AB72" s="43" t="str">
        <f>IF(AND(B72&lt;&gt;""),IF($AA$9&lt;&gt;0,VLOOKUP(AA72/$AA$9*100,TRANSMUTATION_TABLE!$A$2:$B$102,2),""),"")</f>
        <v/>
      </c>
      <c r="AC72" s="48" t="str">
        <f t="shared" si="5"/>
        <v/>
      </c>
      <c r="AD72" s="216"/>
      <c r="AE72" s="42" t="str">
        <f>IF(AND(B72&lt;&gt;""),IF($AD$9&lt;&gt;0,VLOOKUP(AD72/$AD$9*100,TRANSMUTATION_TABLE!$A$2:$B$102,2),""),"")</f>
        <v/>
      </c>
      <c r="AF72" s="50">
        <f>Attendance!AM69</f>
        <v>0</v>
      </c>
      <c r="AG72" s="42" t="str">
        <f>IF(AND(B72&lt;&gt;""),IF($AF$9&lt;&gt;0,VLOOKUP(AF72/$AF$9*100,TRANSMUTATION_TABLE!$A$2:$B$102,2),""),"")</f>
        <v/>
      </c>
      <c r="AH72" s="31"/>
      <c r="AI72" s="45" t="str">
        <f>IF(AND(B72&lt;&gt;""),IF($AH$9&lt;&gt;0,VLOOKUP(AH72/$AH$9*100,TRANSMUTATION_TABLE!$A$2:$B$102,2),""),"")</f>
        <v/>
      </c>
      <c r="AJ72" s="45" t="str">
        <f>IF(OR(K72&lt;&gt;"",T72&lt;&gt;"",AC72&lt;&gt;"",AI72&lt;&gt;"",AG72&lt;&gt;""),SUM(PRODUCT(K72,IF(Settings!$F$17&lt;&gt;0,Settings!$F$17/100,0)),PRODUCT(Midterm!T72,IF(Settings!$F$18&lt;&gt;0,Settings!$F$18/100,0)),PRODUCT(Midterm!AC72,IF(Settings!$F$19&lt;&gt;0,Settings!$F$19/100,0)),PRODUCT(Midterm!AG72,IF(Settings!$F$20&lt;&gt;0,Settings!$F$20/100,0)),PRODUCT(Midterm!AI72,IF(Settings!$F$21&lt;&gt;0,Settings!$F$21/100,0))),"")</f>
        <v/>
      </c>
      <c r="AK72" s="83" t="str">
        <f>Prelim!AJ72</f>
        <v/>
      </c>
      <c r="AL72" s="46" t="str">
        <f>IF(Prelim!AJ72&lt;&gt;"",IF(AJ72&lt;&gt;"",AJ72*0.7+Prelim!AJ72*0.3,""),"")</f>
        <v/>
      </c>
    </row>
    <row r="73" spans="1:38" ht="14.25" customHeight="1" thickBot="1" x14ac:dyDescent="0.35">
      <c r="A73" s="54"/>
      <c r="B73" s="90"/>
      <c r="C73" s="31"/>
      <c r="D73" s="42" t="str">
        <f>IF(AND(B73&lt;&gt;""),IF($C$9&lt;&gt;0,VLOOKUP(C73/$C$9*100,TRANSMUTATION_TABLE!$A$2:$B$102,2),""),"")</f>
        <v/>
      </c>
      <c r="E73" s="31"/>
      <c r="F73" s="42" t="str">
        <f>IF(AND(B73&lt;&gt;""),IF($E$9&lt;&gt;0,VLOOKUP(E73/$E$9*100,TRANSMUTATION_TABLE!$A$2:$B$102,2),""),"")</f>
        <v/>
      </c>
      <c r="G73" s="31"/>
      <c r="H73" s="42" t="str">
        <f>IF(AND(B73&lt;&gt;""),IF($G$9&lt;&gt;0,VLOOKUP(G73/$G$9*100,TRANSMUTATION_TABLE!$A$2:$B$102,2),""),"")</f>
        <v/>
      </c>
      <c r="I73" s="31"/>
      <c r="J73" s="43" t="str">
        <f>IF(AND(B73&lt;&gt;""),IF($I$9&lt;&gt;0,VLOOKUP(I73/$I$9*100,TRANSMUTATION_TABLE!$A$2:$B$102,2),""),"")</f>
        <v/>
      </c>
      <c r="K73" s="48" t="str">
        <f t="shared" si="3"/>
        <v/>
      </c>
      <c r="L73" s="31"/>
      <c r="M73" s="42" t="str">
        <f>IF(AND(B73&lt;&gt;""),IF($L$9&lt;&gt;0,VLOOKUP(L73/$L$9*100,TRANSMUTATION_TABLE!$A$2:$B$102,2),""),"")</f>
        <v/>
      </c>
      <c r="N73" s="31"/>
      <c r="O73" s="42" t="str">
        <f>IF(AND(B73&lt;&gt;""),IF($N$9&lt;&gt;0,VLOOKUP(N73/$N$9*100,TRANSMUTATION_TABLE!$A$2:$B$102,2),""),"")</f>
        <v/>
      </c>
      <c r="P73" s="31"/>
      <c r="Q73" s="42" t="str">
        <f>IF(AND(B73&lt;&gt;""),IF($P$9&lt;&gt;0,VLOOKUP(P73/$P$9*100,TRANSMUTATION_TABLE!$A$2:$B$102,2),""),"")</f>
        <v/>
      </c>
      <c r="R73" s="31"/>
      <c r="S73" s="43" t="str">
        <f>IF(AND(B73&lt;&gt;""),IF($R$9&lt;&gt;0,VLOOKUP(R73/$R$9*100,TRANSMUTATION_TABLE!$A$2:$B$102,2),""),"")</f>
        <v/>
      </c>
      <c r="T73" s="48" t="str">
        <f t="shared" si="4"/>
        <v/>
      </c>
      <c r="U73" s="31"/>
      <c r="V73" s="42" t="str">
        <f>IF(AND(B73&lt;&gt;""),IF($U$9&lt;&gt;0,VLOOKUP(U73/$U$9*100,TRANSMUTATION_TABLE!$A$2:$B$102,2),""),"")</f>
        <v/>
      </c>
      <c r="W73" s="31"/>
      <c r="X73" s="42" t="str">
        <f>IF(AND(B73&lt;&gt;""),IF($W$9&lt;&gt;0,VLOOKUP(W73/$W$9*100,TRANSMUTATION_TABLE!$A$2:$B$102,2),""),"")</f>
        <v/>
      </c>
      <c r="Y73" s="31"/>
      <c r="Z73" s="42" t="str">
        <f>IF(AND(B73&lt;&gt;""),IF($Y$9&lt;&gt;0,VLOOKUP(Y73/$Y$9*100,TRANSMUTATION_TABLE!$A$2:$B$102,2),""),"")</f>
        <v/>
      </c>
      <c r="AA73" s="31"/>
      <c r="AB73" s="43" t="str">
        <f>IF(AND(B73&lt;&gt;""),IF($AA$9&lt;&gt;0,VLOOKUP(AA73/$AA$9*100,TRANSMUTATION_TABLE!$A$2:$B$102,2),""),"")</f>
        <v/>
      </c>
      <c r="AC73" s="48" t="str">
        <f t="shared" si="5"/>
        <v/>
      </c>
      <c r="AD73" s="216"/>
      <c r="AE73" s="42" t="str">
        <f>IF(AND(B73&lt;&gt;""),IF($AD$9&lt;&gt;0,VLOOKUP(AD73/$AD$9*100,TRANSMUTATION_TABLE!$A$2:$B$102,2),""),"")</f>
        <v/>
      </c>
      <c r="AF73" s="50">
        <f>Attendance!AM70</f>
        <v>0</v>
      </c>
      <c r="AG73" s="42" t="str">
        <f>IF(AND(B73&lt;&gt;""),IF($AF$9&lt;&gt;0,VLOOKUP(AF73/$AF$9*100,TRANSMUTATION_TABLE!$A$2:$B$102,2),""),"")</f>
        <v/>
      </c>
      <c r="AH73" s="31"/>
      <c r="AI73" s="45" t="str">
        <f>IF(AND(B73&lt;&gt;""),IF($AH$9&lt;&gt;0,VLOOKUP(AH73/$AH$9*100,TRANSMUTATION_TABLE!$A$2:$B$102,2),""),"")</f>
        <v/>
      </c>
      <c r="AJ73" s="45" t="str">
        <f>IF(OR(K73&lt;&gt;"",T73&lt;&gt;"",AC73&lt;&gt;"",AI73&lt;&gt;"",AG73&lt;&gt;""),SUM(PRODUCT(K73,IF(Settings!$F$17&lt;&gt;0,Settings!$F$17/100,0)),PRODUCT(Midterm!T73,IF(Settings!$F$18&lt;&gt;0,Settings!$F$18/100,0)),PRODUCT(Midterm!AC73,IF(Settings!$F$19&lt;&gt;0,Settings!$F$19/100,0)),PRODUCT(Midterm!AG73,IF(Settings!$F$20&lt;&gt;0,Settings!$F$20/100,0)),PRODUCT(Midterm!AI73,IF(Settings!$F$21&lt;&gt;0,Settings!$F$21/100,0))),"")</f>
        <v/>
      </c>
      <c r="AK73" s="83" t="str">
        <f>Prelim!AJ73</f>
        <v/>
      </c>
      <c r="AL73" s="46" t="str">
        <f>IF(Prelim!AJ73&lt;&gt;"",IF(AJ73&lt;&gt;"",AJ73*0.7+Prelim!AJ73*0.3,""),"")</f>
        <v/>
      </c>
    </row>
    <row r="74" spans="1:38" ht="14.25" customHeight="1" thickBot="1" x14ac:dyDescent="0.35">
      <c r="A74" s="54"/>
      <c r="B74" s="61"/>
      <c r="C74" s="214"/>
      <c r="D74" s="42" t="str">
        <f>IF(AND(B74&lt;&gt;""),IF($C$9&lt;&gt;0,VLOOKUP(C74/$C$9*100,TRANSMUTATION_TABLE!$A$2:$B$102,2),""),"")</f>
        <v/>
      </c>
      <c r="E74" s="214"/>
      <c r="F74" s="42" t="str">
        <f>IF(AND(B74&lt;&gt;""),IF($E$9&lt;&gt;0,VLOOKUP(E74/$E$9*100,TRANSMUTATION_TABLE!$A$2:$B$102,2),""),"")</f>
        <v/>
      </c>
      <c r="G74" s="214"/>
      <c r="H74" s="42" t="str">
        <f>IF(AND(B74&lt;&gt;""),IF($G$9&lt;&gt;0,VLOOKUP(G74/$G$9*100,TRANSMUTATION_TABLE!$A$2:$B$102,2),""),"")</f>
        <v/>
      </c>
      <c r="I74" s="214"/>
      <c r="J74" s="43" t="str">
        <f>IF(AND(B74&lt;&gt;""),IF($I$9&lt;&gt;0,VLOOKUP(I74/$I$9*100,TRANSMUTATION_TABLE!$A$2:$B$102,2),""),"")</f>
        <v/>
      </c>
      <c r="K74" s="48" t="str">
        <f t="shared" si="3"/>
        <v/>
      </c>
      <c r="L74" s="214"/>
      <c r="M74" s="42" t="str">
        <f>IF(AND(B74&lt;&gt;""),IF($L$9&lt;&gt;0,VLOOKUP(L74/$L$9*100,TRANSMUTATION_TABLE!$A$2:$B$102,2),""),"")</f>
        <v/>
      </c>
      <c r="N74" s="214"/>
      <c r="O74" s="42" t="str">
        <f>IF(AND(B74&lt;&gt;""),IF($N$9&lt;&gt;0,VLOOKUP(N74/$N$9*100,TRANSMUTATION_TABLE!$A$2:$B$102,2),""),"")</f>
        <v/>
      </c>
      <c r="P74" s="214"/>
      <c r="Q74" s="42" t="str">
        <f>IF(AND(B74&lt;&gt;""),IF($P$9&lt;&gt;0,VLOOKUP(P74/$P$9*100,TRANSMUTATION_TABLE!$A$2:$B$102,2),""),"")</f>
        <v/>
      </c>
      <c r="R74" s="214"/>
      <c r="S74" s="43" t="str">
        <f>IF(AND(B74&lt;&gt;""),IF($R$9&lt;&gt;0,VLOOKUP(R74/$R$9*100,TRANSMUTATION_TABLE!$A$2:$B$102,2),""),"")</f>
        <v/>
      </c>
      <c r="T74" s="48" t="str">
        <f t="shared" si="4"/>
        <v/>
      </c>
      <c r="U74" s="214"/>
      <c r="V74" s="42" t="str">
        <f>IF(AND(B74&lt;&gt;""),IF($U$9&lt;&gt;0,VLOOKUP(U74/$U$9*100,TRANSMUTATION_TABLE!$A$2:$B$102,2),""),"")</f>
        <v/>
      </c>
      <c r="W74" s="214"/>
      <c r="X74" s="42" t="str">
        <f>IF(AND(B74&lt;&gt;""),IF($W$9&lt;&gt;0,VLOOKUP(W74/$W$9*100,TRANSMUTATION_TABLE!$A$2:$B$102,2),""),"")</f>
        <v/>
      </c>
      <c r="Y74" s="214"/>
      <c r="Z74" s="42" t="str">
        <f>IF(AND(B74&lt;&gt;""),IF($Y$9&lt;&gt;0,VLOOKUP(Y74/$Y$9*100,TRANSMUTATION_TABLE!$A$2:$B$102,2),""),"")</f>
        <v/>
      </c>
      <c r="AA74" s="214"/>
      <c r="AB74" s="43" t="str">
        <f>IF(AND(B74&lt;&gt;""),IF($AA$9&lt;&gt;0,VLOOKUP(AA74/$AA$9*100,TRANSMUTATION_TABLE!$A$2:$B$102,2),""),"")</f>
        <v/>
      </c>
      <c r="AC74" s="48" t="str">
        <f t="shared" si="5"/>
        <v/>
      </c>
      <c r="AD74" s="216"/>
      <c r="AE74" s="42" t="str">
        <f>IF(AND(B74&lt;&gt;""),IF($AD$9&lt;&gt;0,VLOOKUP(AD74/$AD$9*100,TRANSMUTATION_TABLE!$A$2:$B$102,2),""),"")</f>
        <v/>
      </c>
      <c r="AF74" s="50">
        <f>Attendance!AM71</f>
        <v>0</v>
      </c>
      <c r="AG74" s="42" t="str">
        <f>IF(AND(B74&lt;&gt;""),IF($AF$9&lt;&gt;0,VLOOKUP(AF74/$AF$9*100,TRANSMUTATION_TABLE!$A$2:$B$102,2),""),"")</f>
        <v/>
      </c>
      <c r="AH74" s="214"/>
      <c r="AI74" s="45" t="str">
        <f>IF(AND(B74&lt;&gt;""),IF($AH$9&lt;&gt;0,VLOOKUP(AH74/$AH$9*100,TRANSMUTATION_TABLE!$A$2:$B$102,2),""),"")</f>
        <v/>
      </c>
      <c r="AJ74" s="45" t="str">
        <f>IF(OR(K74&lt;&gt;"",T74&lt;&gt;"",AC74&lt;&gt;"",AI74&lt;&gt;"",AG74&lt;&gt;""),SUM(PRODUCT(K74,IF(Settings!$F$17&lt;&gt;0,Settings!$F$17/100,0)),PRODUCT(Midterm!T74,IF(Settings!$F$18&lt;&gt;0,Settings!$F$18/100,0)),PRODUCT(Midterm!AC74,IF(Settings!$F$19&lt;&gt;0,Settings!$F$19/100,0)),PRODUCT(Midterm!AG74,IF(Settings!$F$20&lt;&gt;0,Settings!$F$20/100,0)),PRODUCT(Midterm!AI74,IF(Settings!$F$21&lt;&gt;0,Settings!$F$21/100,0))),"")</f>
        <v/>
      </c>
      <c r="AK74" s="83" t="str">
        <f>Prelim!AJ74</f>
        <v/>
      </c>
      <c r="AL74" s="46" t="str">
        <f>IF(Prelim!AJ74&lt;&gt;"",IF(AJ74&lt;&gt;"",AJ74*0.7+Prelim!AJ74*0.3,""),"")</f>
        <v/>
      </c>
    </row>
    <row r="75" spans="1:38" ht="14.25" customHeight="1" thickBot="1" x14ac:dyDescent="0.35">
      <c r="A75" s="54"/>
      <c r="B75" s="90"/>
      <c r="C75" s="31"/>
      <c r="D75" s="42" t="str">
        <f>IF(AND(B75&lt;&gt;""),IF($C$9&lt;&gt;0,VLOOKUP(C75/$C$9*100,TRANSMUTATION_TABLE!$A$2:$B$102,2),""),"")</f>
        <v/>
      </c>
      <c r="E75" s="31"/>
      <c r="F75" s="42" t="str">
        <f>IF(AND(B75&lt;&gt;""),IF($E$9&lt;&gt;0,VLOOKUP(E75/$E$9*100,TRANSMUTATION_TABLE!$A$2:$B$102,2),""),"")</f>
        <v/>
      </c>
      <c r="G75" s="31"/>
      <c r="H75" s="42" t="str">
        <f>IF(AND(B75&lt;&gt;""),IF($G$9&lt;&gt;0,VLOOKUP(G75/$G$9*100,TRANSMUTATION_TABLE!$A$2:$B$102,2),""),"")</f>
        <v/>
      </c>
      <c r="I75" s="31"/>
      <c r="J75" s="43" t="str">
        <f>IF(AND(B75&lt;&gt;""),IF($I$9&lt;&gt;0,VLOOKUP(I75/$I$9*100,TRANSMUTATION_TABLE!$A$2:$B$102,2),""),"")</f>
        <v/>
      </c>
      <c r="K75" s="48" t="str">
        <f t="shared" si="3"/>
        <v/>
      </c>
      <c r="L75" s="31"/>
      <c r="M75" s="42" t="str">
        <f>IF(AND(B75&lt;&gt;""),IF($L$9&lt;&gt;0,VLOOKUP(L75/$L$9*100,TRANSMUTATION_TABLE!$A$2:$B$102,2),""),"")</f>
        <v/>
      </c>
      <c r="N75" s="31"/>
      <c r="O75" s="42" t="str">
        <f>IF(AND(B75&lt;&gt;""),IF($N$9&lt;&gt;0,VLOOKUP(N75/$N$9*100,TRANSMUTATION_TABLE!$A$2:$B$102,2),""),"")</f>
        <v/>
      </c>
      <c r="P75" s="31"/>
      <c r="Q75" s="42" t="str">
        <f>IF(AND(B75&lt;&gt;""),IF($P$9&lt;&gt;0,VLOOKUP(P75/$P$9*100,TRANSMUTATION_TABLE!$A$2:$B$102,2),""),"")</f>
        <v/>
      </c>
      <c r="R75" s="31"/>
      <c r="S75" s="43" t="str">
        <f>IF(AND(B75&lt;&gt;""),IF($R$9&lt;&gt;0,VLOOKUP(R75/$R$9*100,TRANSMUTATION_TABLE!$A$2:$B$102,2),""),"")</f>
        <v/>
      </c>
      <c r="T75" s="48" t="str">
        <f t="shared" si="4"/>
        <v/>
      </c>
      <c r="U75" s="31"/>
      <c r="V75" s="42" t="str">
        <f>IF(AND(B75&lt;&gt;""),IF($U$9&lt;&gt;0,VLOOKUP(U75/$U$9*100,TRANSMUTATION_TABLE!$A$2:$B$102,2),""),"")</f>
        <v/>
      </c>
      <c r="W75" s="31"/>
      <c r="X75" s="42" t="str">
        <f>IF(AND(B75&lt;&gt;""),IF($W$9&lt;&gt;0,VLOOKUP(W75/$W$9*100,TRANSMUTATION_TABLE!$A$2:$B$102,2),""),"")</f>
        <v/>
      </c>
      <c r="Y75" s="31"/>
      <c r="Z75" s="42" t="str">
        <f>IF(AND(B75&lt;&gt;""),IF($Y$9&lt;&gt;0,VLOOKUP(Y75/$Y$9*100,TRANSMUTATION_TABLE!$A$2:$B$102,2),""),"")</f>
        <v/>
      </c>
      <c r="AA75" s="31"/>
      <c r="AB75" s="43" t="str">
        <f>IF(AND(B75&lt;&gt;""),IF($AA$9&lt;&gt;0,VLOOKUP(AA75/$AA$9*100,TRANSMUTATION_TABLE!$A$2:$B$102,2),""),"")</f>
        <v/>
      </c>
      <c r="AC75" s="48" t="str">
        <f t="shared" si="5"/>
        <v/>
      </c>
      <c r="AD75" s="216"/>
      <c r="AE75" s="42" t="str">
        <f>IF(AND(B75&lt;&gt;""),IF($AD$9&lt;&gt;0,VLOOKUP(AD75/$AD$9*100,TRANSMUTATION_TABLE!$A$2:$B$102,2),""),"")</f>
        <v/>
      </c>
      <c r="AF75" s="50">
        <f>Attendance!AM72</f>
        <v>0</v>
      </c>
      <c r="AG75" s="42" t="str">
        <f>IF(AND(B75&lt;&gt;""),IF($AF$9&lt;&gt;0,VLOOKUP(AF75/$AF$9*100,TRANSMUTATION_TABLE!$A$2:$B$102,2),""),"")</f>
        <v/>
      </c>
      <c r="AH75" s="31"/>
      <c r="AI75" s="45" t="str">
        <f>IF(AND(B75&lt;&gt;""),IF($AH$9&lt;&gt;0,VLOOKUP(AH75/$AH$9*100,TRANSMUTATION_TABLE!$A$2:$B$102,2),""),"")</f>
        <v/>
      </c>
      <c r="AJ75" s="45" t="str">
        <f>IF(OR(K75&lt;&gt;"",T75&lt;&gt;"",AC75&lt;&gt;"",AI75&lt;&gt;"",AG75&lt;&gt;""),SUM(PRODUCT(K75,IF(Settings!$F$17&lt;&gt;0,Settings!$F$17/100,0)),PRODUCT(Midterm!T75,IF(Settings!$F$18&lt;&gt;0,Settings!$F$18/100,0)),PRODUCT(Midterm!AC75,IF(Settings!$F$19&lt;&gt;0,Settings!$F$19/100,0)),PRODUCT(Midterm!AG75,IF(Settings!$F$20&lt;&gt;0,Settings!$F$20/100,0)),PRODUCT(Midterm!AI75,IF(Settings!$F$21&lt;&gt;0,Settings!$F$21/100,0))),"")</f>
        <v/>
      </c>
      <c r="AK75" s="83" t="str">
        <f>Prelim!AJ75</f>
        <v/>
      </c>
      <c r="AL75" s="46" t="str">
        <f>IF(Prelim!AJ75&lt;&gt;"",IF(AJ75&lt;&gt;"",AJ75*0.7+Prelim!AJ75*0.3,""),"")</f>
        <v/>
      </c>
    </row>
    <row r="76" spans="1:38" ht="14.25" customHeight="1" thickBot="1" x14ac:dyDescent="0.35">
      <c r="A76" s="54"/>
      <c r="B76" s="90"/>
      <c r="C76" s="31"/>
      <c r="D76" s="42" t="str">
        <f>IF(AND(B76&lt;&gt;""),IF($C$9&lt;&gt;0,VLOOKUP(C76/$C$9*100,TRANSMUTATION_TABLE!$A$2:$B$102,2),""),"")</f>
        <v/>
      </c>
      <c r="E76" s="31"/>
      <c r="F76" s="42" t="str">
        <f>IF(AND(B76&lt;&gt;""),IF($E$9&lt;&gt;0,VLOOKUP(E76/$E$9*100,TRANSMUTATION_TABLE!$A$2:$B$102,2),""),"")</f>
        <v/>
      </c>
      <c r="G76" s="31"/>
      <c r="H76" s="42" t="str">
        <f>IF(AND(B76&lt;&gt;""),IF($G$9&lt;&gt;0,VLOOKUP(G76/$G$9*100,TRANSMUTATION_TABLE!$A$2:$B$102,2),""),"")</f>
        <v/>
      </c>
      <c r="I76" s="31"/>
      <c r="J76" s="43" t="str">
        <f>IF(AND(B76&lt;&gt;""),IF($I$9&lt;&gt;0,VLOOKUP(I76/$I$9*100,TRANSMUTATION_TABLE!$A$2:$B$102,2),""),"")</f>
        <v/>
      </c>
      <c r="K76" s="48" t="str">
        <f t="shared" si="3"/>
        <v/>
      </c>
      <c r="L76" s="31"/>
      <c r="M76" s="42" t="str">
        <f>IF(AND(B76&lt;&gt;""),IF($L$9&lt;&gt;0,VLOOKUP(L76/$L$9*100,TRANSMUTATION_TABLE!$A$2:$B$102,2),""),"")</f>
        <v/>
      </c>
      <c r="N76" s="31"/>
      <c r="O76" s="42" t="str">
        <f>IF(AND(B76&lt;&gt;""),IF($N$9&lt;&gt;0,VLOOKUP(N76/$N$9*100,TRANSMUTATION_TABLE!$A$2:$B$102,2),""),"")</f>
        <v/>
      </c>
      <c r="P76" s="31"/>
      <c r="Q76" s="42" t="str">
        <f>IF(AND(B76&lt;&gt;""),IF($P$9&lt;&gt;0,VLOOKUP(P76/$P$9*100,TRANSMUTATION_TABLE!$A$2:$B$102,2),""),"")</f>
        <v/>
      </c>
      <c r="R76" s="31"/>
      <c r="S76" s="43" t="str">
        <f>IF(AND(B76&lt;&gt;""),IF($R$9&lt;&gt;0,VLOOKUP(R76/$R$9*100,TRANSMUTATION_TABLE!$A$2:$B$102,2),""),"")</f>
        <v/>
      </c>
      <c r="T76" s="48" t="str">
        <f t="shared" si="4"/>
        <v/>
      </c>
      <c r="U76" s="31"/>
      <c r="V76" s="42" t="str">
        <f>IF(AND(B76&lt;&gt;""),IF($U$9&lt;&gt;0,VLOOKUP(U76/$U$9*100,TRANSMUTATION_TABLE!$A$2:$B$102,2),""),"")</f>
        <v/>
      </c>
      <c r="W76" s="31"/>
      <c r="X76" s="42" t="str">
        <f>IF(AND(B76&lt;&gt;""),IF($W$9&lt;&gt;0,VLOOKUP(W76/$W$9*100,TRANSMUTATION_TABLE!$A$2:$B$102,2),""),"")</f>
        <v/>
      </c>
      <c r="Y76" s="31"/>
      <c r="Z76" s="42" t="str">
        <f>IF(AND(B76&lt;&gt;""),IF($Y$9&lt;&gt;0,VLOOKUP(Y76/$Y$9*100,TRANSMUTATION_TABLE!$A$2:$B$102,2),""),"")</f>
        <v/>
      </c>
      <c r="AA76" s="31"/>
      <c r="AB76" s="43" t="str">
        <f>IF(AND(B76&lt;&gt;""),IF($AA$9&lt;&gt;0,VLOOKUP(AA76/$AA$9*100,TRANSMUTATION_TABLE!$A$2:$B$102,2),""),"")</f>
        <v/>
      </c>
      <c r="AC76" s="48" t="str">
        <f t="shared" si="5"/>
        <v/>
      </c>
      <c r="AD76" s="216"/>
      <c r="AE76" s="42" t="str">
        <f>IF(AND(B76&lt;&gt;""),IF($AD$9&lt;&gt;0,VLOOKUP(AD76/$AD$9*100,TRANSMUTATION_TABLE!$A$2:$B$102,2),""),"")</f>
        <v/>
      </c>
      <c r="AF76" s="50">
        <f>Attendance!AM73</f>
        <v>0</v>
      </c>
      <c r="AG76" s="42" t="str">
        <f>IF(AND(B76&lt;&gt;""),IF($AF$9&lt;&gt;0,VLOOKUP(AF76/$AF$9*100,TRANSMUTATION_TABLE!$A$2:$B$102,2),""),"")</f>
        <v/>
      </c>
      <c r="AH76" s="31"/>
      <c r="AI76" s="45" t="str">
        <f>IF(AND(B76&lt;&gt;""),IF($AH$9&lt;&gt;0,VLOOKUP(AH76/$AH$9*100,TRANSMUTATION_TABLE!$A$2:$B$102,2),""),"")</f>
        <v/>
      </c>
      <c r="AJ76" s="45" t="str">
        <f>IF(OR(K76&lt;&gt;"",T76&lt;&gt;"",AC76&lt;&gt;"",AI76&lt;&gt;"",AG76&lt;&gt;""),SUM(PRODUCT(K76,IF(Settings!$F$17&lt;&gt;0,Settings!$F$17/100,0)),PRODUCT(Midterm!T76,IF(Settings!$F$18&lt;&gt;0,Settings!$F$18/100,0)),PRODUCT(Midterm!AC76,IF(Settings!$F$19&lt;&gt;0,Settings!$F$19/100,0)),PRODUCT(Midterm!AG76,IF(Settings!$F$20&lt;&gt;0,Settings!$F$20/100,0)),PRODUCT(Midterm!AI76,IF(Settings!$F$21&lt;&gt;0,Settings!$F$21/100,0))),"")</f>
        <v/>
      </c>
      <c r="AK76" s="83" t="str">
        <f>Prelim!AJ76</f>
        <v/>
      </c>
      <c r="AL76" s="46" t="str">
        <f>IF(Prelim!AJ76&lt;&gt;"",IF(AJ76&lt;&gt;"",AJ76*0.7+Prelim!AJ76*0.3,""),"")</f>
        <v/>
      </c>
    </row>
    <row r="77" spans="1:38" ht="14.25" customHeight="1" thickBot="1" x14ac:dyDescent="0.35">
      <c r="A77" s="54"/>
      <c r="B77" s="90"/>
      <c r="C77" s="124"/>
      <c r="D77" s="219" t="str">
        <f>IF(AND(B77&lt;&gt;""),IF($C$9&lt;&gt;0,VLOOKUP(C77/$C$9*100,TRANSMUTATION_TABLE!$A$2:$B$102,2),""),"")</f>
        <v/>
      </c>
      <c r="E77" s="124"/>
      <c r="F77" s="219" t="str">
        <f>IF(AND(B77&lt;&gt;""),IF($E$9&lt;&gt;0,VLOOKUP(E77/$E$9*100,TRANSMUTATION_TABLE!$A$2:$B$102,2),""),"")</f>
        <v/>
      </c>
      <c r="G77" s="124"/>
      <c r="H77" s="219" t="str">
        <f>IF(AND(B77&lt;&gt;""),IF($G$9&lt;&gt;0,VLOOKUP(G77/$G$9*100,TRANSMUTATION_TABLE!$A$2:$B$102,2),""),"")</f>
        <v/>
      </c>
      <c r="I77" s="124"/>
      <c r="J77" s="220" t="str">
        <f>IF(AND(B77&lt;&gt;""),IF($I$9&lt;&gt;0,VLOOKUP(I77/$I$9*100,TRANSMUTATION_TABLE!$A$2:$B$102,2),""),"")</f>
        <v/>
      </c>
      <c r="K77" s="226" t="str">
        <f t="shared" si="3"/>
        <v/>
      </c>
      <c r="L77" s="124"/>
      <c r="M77" s="219" t="str">
        <f>IF(AND(B77&lt;&gt;""),IF($L$9&lt;&gt;0,VLOOKUP(L77/$L$9*100,TRANSMUTATION_TABLE!$A$2:$B$102,2),""),"")</f>
        <v/>
      </c>
      <c r="N77" s="124"/>
      <c r="O77" s="219" t="str">
        <f>IF(AND(B77&lt;&gt;""),IF($N$9&lt;&gt;0,VLOOKUP(N77/$N$9*100,TRANSMUTATION_TABLE!$A$2:$B$102,2),""),"")</f>
        <v/>
      </c>
      <c r="P77" s="124"/>
      <c r="Q77" s="219" t="str">
        <f>IF(AND(B77&lt;&gt;""),IF($P$9&lt;&gt;0,VLOOKUP(P77/$P$9*100,TRANSMUTATION_TABLE!$A$2:$B$102,2),""),"")</f>
        <v/>
      </c>
      <c r="R77" s="124"/>
      <c r="S77" s="220" t="str">
        <f>IF(AND(B77&lt;&gt;""),IF($R$9&lt;&gt;0,VLOOKUP(R77/$R$9*100,TRANSMUTATION_TABLE!$A$2:$B$102,2),""),"")</f>
        <v/>
      </c>
      <c r="T77" s="226" t="str">
        <f t="shared" si="4"/>
        <v/>
      </c>
      <c r="U77" s="124"/>
      <c r="V77" s="219" t="str">
        <f>IF(AND(B77&lt;&gt;""),IF($U$9&lt;&gt;0,VLOOKUP(U77/$U$9*100,TRANSMUTATION_TABLE!$A$2:$B$102,2),""),"")</f>
        <v/>
      </c>
      <c r="W77" s="124"/>
      <c r="X77" s="219" t="str">
        <f>IF(AND(B77&lt;&gt;""),IF($W$9&lt;&gt;0,VLOOKUP(W77/$W$9*100,TRANSMUTATION_TABLE!$A$2:$B$102,2),""),"")</f>
        <v/>
      </c>
      <c r="Y77" s="124"/>
      <c r="Z77" s="219" t="str">
        <f>IF(AND(B77&lt;&gt;""),IF($Y$9&lt;&gt;0,VLOOKUP(Y77/$Y$9*100,TRANSMUTATION_TABLE!$A$2:$B$102,2),""),"")</f>
        <v/>
      </c>
      <c r="AA77" s="124"/>
      <c r="AB77" s="220" t="str">
        <f>IF(AND(B77&lt;&gt;""),IF($AA$9&lt;&gt;0,VLOOKUP(AA77/$AA$9*100,TRANSMUTATION_TABLE!$A$2:$B$102,2),""),"")</f>
        <v/>
      </c>
      <c r="AC77" s="226" t="str">
        <f t="shared" si="5"/>
        <v/>
      </c>
      <c r="AD77" s="221"/>
      <c r="AE77" s="219" t="str">
        <f>IF(AND(B77&lt;&gt;""),IF($AD$9&lt;&gt;0,VLOOKUP(AD77/$AD$9*100,TRANSMUTATION_TABLE!$A$2:$B$102,2),""),"")</f>
        <v/>
      </c>
      <c r="AF77" s="222">
        <f>Attendance!AM74</f>
        <v>0</v>
      </c>
      <c r="AG77" s="219" t="str">
        <f>IF(AND(B77&lt;&gt;""),IF($AF$9&lt;&gt;0,VLOOKUP(AF77/$AF$9*100,TRANSMUTATION_TABLE!$A$2:$B$102,2),""),"")</f>
        <v/>
      </c>
      <c r="AH77" s="124"/>
      <c r="AI77" s="223" t="str">
        <f>IF(AND(B77&lt;&gt;""),IF($AH$9&lt;&gt;0,VLOOKUP(AH77/$AH$9*100,TRANSMUTATION_TABLE!$A$2:$B$102,2),""),"")</f>
        <v/>
      </c>
      <c r="AJ77" s="223" t="str">
        <f>IF(OR(K77&lt;&gt;"",T77&lt;&gt;"",AC77&lt;&gt;"",AI77&lt;&gt;"",AG77&lt;&gt;""),SUM(PRODUCT(K77,IF(Settings!$F$17&lt;&gt;0,Settings!$F$17/100,0)),PRODUCT(Midterm!T77,IF(Settings!$F$18&lt;&gt;0,Settings!$F$18/100,0)),PRODUCT(Midterm!AC77,IF(Settings!$F$19&lt;&gt;0,Settings!$F$19/100,0)),PRODUCT(Midterm!AG77,IF(Settings!$F$20&lt;&gt;0,Settings!$F$20/100,0)),PRODUCT(Midterm!AI77,IF(Settings!$F$21&lt;&gt;0,Settings!$F$21/100,0))),"")</f>
        <v/>
      </c>
      <c r="AK77" s="224" t="str">
        <f>Prelim!AJ77</f>
        <v/>
      </c>
      <c r="AL77" s="225" t="str">
        <f>IF(Prelim!AJ77&lt;&gt;"",IF(AJ77&lt;&gt;"",AJ77*0.7+Prelim!AJ77*0.3,""),"")</f>
        <v/>
      </c>
    </row>
    <row r="78" spans="1:38" ht="14.25" customHeight="1" thickBot="1" x14ac:dyDescent="0.35">
      <c r="A78" s="54"/>
      <c r="B78" s="90"/>
      <c r="C78" s="31"/>
      <c r="D78" s="42" t="str">
        <f>IF(AND(B78&lt;&gt;""),IF($C$9&lt;&gt;0,VLOOKUP(C78/$C$9*100,TRANSMUTATION_TABLE!$A$2:$B$102,2),""),"")</f>
        <v/>
      </c>
      <c r="E78" s="31"/>
      <c r="F78" s="42" t="str">
        <f>IF(AND(B78&lt;&gt;""),IF($E$9&lt;&gt;0,VLOOKUP(E78/$E$9*100,TRANSMUTATION_TABLE!$A$2:$B$102,2),""),"")</f>
        <v/>
      </c>
      <c r="G78" s="31"/>
      <c r="H78" s="42" t="str">
        <f>IF(AND(B78&lt;&gt;""),IF($G$9&lt;&gt;0,VLOOKUP(G78/$G$9*100,TRANSMUTATION_TABLE!$A$2:$B$102,2),""),"")</f>
        <v/>
      </c>
      <c r="I78" s="31"/>
      <c r="J78" s="43" t="str">
        <f>IF(AND(B78&lt;&gt;""),IF($I$9&lt;&gt;0,VLOOKUP(I78/$I$9*100,TRANSMUTATION_TABLE!$A$2:$B$102,2),""),"")</f>
        <v/>
      </c>
      <c r="K78" s="48" t="str">
        <f t="shared" ref="K78:K79" si="6">IF(COUNT(D78,F78,H78,J78)&gt;0,AVERAGE(D78,F78,H78,J78),"")</f>
        <v/>
      </c>
      <c r="L78" s="31"/>
      <c r="M78" s="42" t="str">
        <f>IF(AND(B78&lt;&gt;""),IF($L$9&lt;&gt;0,VLOOKUP(L78/$L$9*100,TRANSMUTATION_TABLE!$A$2:$B$102,2),""),"")</f>
        <v/>
      </c>
      <c r="N78" s="31"/>
      <c r="O78" s="42" t="str">
        <f>IF(AND(B78&lt;&gt;""),IF($N$9&lt;&gt;0,VLOOKUP(N78/$N$9*100,TRANSMUTATION_TABLE!$A$2:$B$102,2),""),"")</f>
        <v/>
      </c>
      <c r="P78" s="31"/>
      <c r="Q78" s="42" t="str">
        <f>IF(AND(B78&lt;&gt;""),IF($P$9&lt;&gt;0,VLOOKUP(P78/$P$9*100,TRANSMUTATION_TABLE!$A$2:$B$102,2),""),"")</f>
        <v/>
      </c>
      <c r="R78" s="31"/>
      <c r="S78" s="43" t="str">
        <f>IF(AND(B78&lt;&gt;""),IF($R$9&lt;&gt;0,VLOOKUP(R78/$R$9*100,TRANSMUTATION_TABLE!$A$2:$B$102,2),""),"")</f>
        <v/>
      </c>
      <c r="T78" s="48" t="str">
        <f t="shared" ref="T78:T79" si="7">IF(COUNT(M78,O78,Q78,S78)&gt;0,AVERAGE(M78,O78,Q78,S78),"")</f>
        <v/>
      </c>
      <c r="U78" s="31"/>
      <c r="V78" s="42" t="str">
        <f>IF(AND(B78&lt;&gt;""),IF($U$9&lt;&gt;0,VLOOKUP(U78/$U$9*100,TRANSMUTATION_TABLE!$A$2:$B$102,2),""),"")</f>
        <v/>
      </c>
      <c r="W78" s="31"/>
      <c r="X78" s="42" t="str">
        <f>IF(AND(B78&lt;&gt;""),IF($W$9&lt;&gt;0,VLOOKUP(W78/$W$9*100,TRANSMUTATION_TABLE!$A$2:$B$102,2),""),"")</f>
        <v/>
      </c>
      <c r="Y78" s="31"/>
      <c r="Z78" s="42" t="str">
        <f>IF(AND(B78&lt;&gt;""),IF($Y$9&lt;&gt;0,VLOOKUP(Y78/$Y$9*100,TRANSMUTATION_TABLE!$A$2:$B$102,2),""),"")</f>
        <v/>
      </c>
      <c r="AA78" s="31"/>
      <c r="AB78" s="43" t="str">
        <f>IF(AND(B78&lt;&gt;""),IF($AA$9&lt;&gt;0,VLOOKUP(AA78/$AA$9*100,TRANSMUTATION_TABLE!$A$2:$B$102,2),""),"")</f>
        <v/>
      </c>
      <c r="AC78" s="48" t="str">
        <f t="shared" ref="AC78:AC79" si="8">IF(COUNT(V78,X78,Z78,AB78)&gt;0,AVERAGE(V78,X78,Z78,AB78),"")</f>
        <v/>
      </c>
      <c r="AD78" s="216"/>
      <c r="AE78" s="42" t="str">
        <f>IF(AND(B78&lt;&gt;""),IF($AD$9&lt;&gt;0,VLOOKUP(AD78/$AD$9*100,TRANSMUTATION_TABLE!$A$2:$B$102,2),""),"")</f>
        <v/>
      </c>
      <c r="AF78" s="50">
        <f>Attendance!AM75</f>
        <v>0</v>
      </c>
      <c r="AG78" s="42" t="str">
        <f>IF(AND(B78&lt;&gt;""),IF($AF$9&lt;&gt;0,VLOOKUP(AF78/$AF$9*100,TRANSMUTATION_TABLE!$A$2:$B$102,2),""),"")</f>
        <v/>
      </c>
      <c r="AH78" s="31"/>
      <c r="AI78" s="45" t="str">
        <f>IF(AND(B78&lt;&gt;""),IF($AH$9&lt;&gt;0,VLOOKUP(AH78/$AH$9*100,TRANSMUTATION_TABLE!$A$2:$B$102,2),""),"")</f>
        <v/>
      </c>
      <c r="AJ78" s="45" t="str">
        <f>IF(OR(K78&lt;&gt;"",T78&lt;&gt;"",AC78&lt;&gt;"",AI78&lt;&gt;"",AG78&lt;&gt;""),SUM(PRODUCT(K78,IF(Settings!$F$17&lt;&gt;0,Settings!$F$17/100,0)),PRODUCT(Midterm!T78,IF(Settings!$F$18&lt;&gt;0,Settings!$F$18/100,0)),PRODUCT(Midterm!AC78,IF(Settings!$F$19&lt;&gt;0,Settings!$F$19/100,0)),PRODUCT(Midterm!AG78,IF(Settings!$F$20&lt;&gt;0,Settings!$F$20/100,0)),PRODUCT(Midterm!AI78,IF(Settings!$F$21&lt;&gt;0,Settings!$F$21/100,0))),"")</f>
        <v/>
      </c>
      <c r="AK78" s="83" t="str">
        <f>Prelim!AJ78</f>
        <v/>
      </c>
      <c r="AL78" s="46" t="str">
        <f>IF(Prelim!AJ78&lt;&gt;"",IF(AJ78&lt;&gt;"",AJ78*0.7+Prelim!AJ78*0.3,""),"")</f>
        <v/>
      </c>
    </row>
    <row r="79" spans="1:38" ht="14.25" customHeight="1" thickBot="1" x14ac:dyDescent="0.35">
      <c r="A79" s="54" t="str">
        <f>IF(Attendance!A76=0,"",Attendance!A76)</f>
        <v/>
      </c>
      <c r="B79" s="61" t="str">
        <f>IF(Attendance!C76=0,"",Attendance!C76)</f>
        <v/>
      </c>
      <c r="C79" s="214"/>
      <c r="D79" s="42" t="str">
        <f>IF(AND(B79&lt;&gt;""),IF($C$9&lt;&gt;0,VLOOKUP(C79/$C$9*100,TRANSMUTATION_TABLE!$A$2:$B$102,2),""),"")</f>
        <v/>
      </c>
      <c r="E79" s="214"/>
      <c r="F79" s="42" t="str">
        <f>IF(AND(B79&lt;&gt;""),IF($E$9&lt;&gt;0,VLOOKUP(E79/$E$9*100,TRANSMUTATION_TABLE!$A$2:$B$102,2),""),"")</f>
        <v/>
      </c>
      <c r="G79" s="214"/>
      <c r="H79" s="42" t="str">
        <f>IF(AND(B79&lt;&gt;""),IF($G$9&lt;&gt;0,VLOOKUP(G79/$G$9*100,TRANSMUTATION_TABLE!$A$2:$B$102,2),""),"")</f>
        <v/>
      </c>
      <c r="I79" s="214"/>
      <c r="J79" s="43" t="str">
        <f>IF(AND(B79&lt;&gt;""),IF($I$9&lt;&gt;0,VLOOKUP(I79/$I$9*100,TRANSMUTATION_TABLE!$A$2:$B$102,2),""),"")</f>
        <v/>
      </c>
      <c r="K79" s="48" t="str">
        <f t="shared" si="6"/>
        <v/>
      </c>
      <c r="L79" s="214"/>
      <c r="M79" s="42" t="str">
        <f>IF(AND(B79&lt;&gt;""),IF($L$9&lt;&gt;0,VLOOKUP(L79/$L$9*100,TRANSMUTATION_TABLE!$A$2:$B$102,2),""),"")</f>
        <v/>
      </c>
      <c r="N79" s="214"/>
      <c r="O79" s="42" t="str">
        <f>IF(AND(B79&lt;&gt;""),IF($N$9&lt;&gt;0,VLOOKUP(N79/$N$9*100,TRANSMUTATION_TABLE!$A$2:$B$102,2),""),"")</f>
        <v/>
      </c>
      <c r="P79" s="214"/>
      <c r="Q79" s="42" t="str">
        <f>IF(AND(B79&lt;&gt;""),IF($P$9&lt;&gt;0,VLOOKUP(P79/$P$9*100,TRANSMUTATION_TABLE!$A$2:$B$102,2),""),"")</f>
        <v/>
      </c>
      <c r="R79" s="214"/>
      <c r="S79" s="43" t="str">
        <f>IF(AND(B79&lt;&gt;""),IF($R$9&lt;&gt;0,VLOOKUP(R79/$R$9*100,TRANSMUTATION_TABLE!$A$2:$B$102,2),""),"")</f>
        <v/>
      </c>
      <c r="T79" s="48" t="str">
        <f t="shared" si="7"/>
        <v/>
      </c>
      <c r="U79" s="214"/>
      <c r="V79" s="42" t="str">
        <f>IF(AND(B79&lt;&gt;""),IF($U$9&lt;&gt;0,VLOOKUP(U79/$U$9*100,TRANSMUTATION_TABLE!$A$2:$B$102,2),""),"")</f>
        <v/>
      </c>
      <c r="W79" s="214"/>
      <c r="X79" s="42" t="str">
        <f>IF(AND(B79&lt;&gt;""),IF($W$9&lt;&gt;0,VLOOKUP(W79/$W$9*100,TRANSMUTATION_TABLE!$A$2:$B$102,2),""),"")</f>
        <v/>
      </c>
      <c r="Y79" s="214"/>
      <c r="Z79" s="42" t="str">
        <f>IF(AND(B79&lt;&gt;""),IF($Y$9&lt;&gt;0,VLOOKUP(Y79/$Y$9*100,TRANSMUTATION_TABLE!$A$2:$B$102,2),""),"")</f>
        <v/>
      </c>
      <c r="AA79" s="214"/>
      <c r="AB79" s="43" t="str">
        <f>IF(AND(B79&lt;&gt;""),IF($AA$9&lt;&gt;0,VLOOKUP(AA79/$AA$9*100,TRANSMUTATION_TABLE!$A$2:$B$102,2),""),"")</f>
        <v/>
      </c>
      <c r="AC79" s="48" t="str">
        <f t="shared" si="8"/>
        <v/>
      </c>
      <c r="AD79" s="216"/>
      <c r="AE79" s="42" t="str">
        <f>IF(AND(B79&lt;&gt;""),IF($AD$9&lt;&gt;0,VLOOKUP(AD79/$AD$9*100,TRANSMUTATION_TABLE!$A$2:$B$102,2),""),"")</f>
        <v/>
      </c>
      <c r="AF79" s="227">
        <f>Attendance!AM76</f>
        <v>0</v>
      </c>
      <c r="AG79" s="42" t="str">
        <f>IF(AND(B79&lt;&gt;""),IF($AF$9&lt;&gt;0,VLOOKUP(AF79/$AF$9*100,TRANSMUTATION_TABLE!$A$2:$B$102,2),""),"")</f>
        <v/>
      </c>
      <c r="AH79" s="214"/>
      <c r="AI79" s="45" t="str">
        <f>IF(AND(B79&lt;&gt;""),IF($AH$9&lt;&gt;0,VLOOKUP(AH79/$AH$9*100,TRANSMUTATION_TABLE!$A$2:$B$102,2),""),"")</f>
        <v/>
      </c>
      <c r="AJ79" s="45" t="str">
        <f>IF(OR(K79&lt;&gt;"",T79&lt;&gt;"",AC79&lt;&gt;"",AI79&lt;&gt;"",AG79&lt;&gt;""),SUM(PRODUCT(K79,IF(Settings!$F$17&lt;&gt;0,Settings!$F$17/100,0)),PRODUCT(Midterm!T79,IF(Settings!$F$18&lt;&gt;0,Settings!$F$18/100,0)),PRODUCT(Midterm!AC79,IF(Settings!$F$19&lt;&gt;0,Settings!$F$19/100,0)),PRODUCT(Midterm!AG79,IF(Settings!$F$20&lt;&gt;0,Settings!$F$20/100,0)),PRODUCT(Midterm!AI79,IF(Settings!$F$21&lt;&gt;0,Settings!$F$21/100,0))),"")</f>
        <v/>
      </c>
      <c r="AK79" s="83" t="str">
        <f>Prelim!AJ79</f>
        <v/>
      </c>
      <c r="AL79" s="46" t="str">
        <f>IF(Prelim!AJ79&lt;&gt;"",IF(AJ79&lt;&gt;"",AJ79*0.7+Prelim!AJ79*0.3,""),"")</f>
        <v/>
      </c>
    </row>
    <row r="80" spans="1:38" ht="14.25" customHeight="1" x14ac:dyDescent="0.3">
      <c r="A80" s="34"/>
      <c r="B80" s="16"/>
      <c r="C80" s="15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6"/>
      <c r="V80" s="16"/>
      <c r="W80" s="16"/>
      <c r="X80" s="16"/>
      <c r="Y80" s="16"/>
      <c r="Z80" s="16"/>
      <c r="AA80" s="15"/>
      <c r="AB80" s="16"/>
      <c r="AC80" s="16"/>
      <c r="AD80" s="16"/>
      <c r="AE80" s="16"/>
    </row>
    <row r="81" spans="1:38" ht="14.25" customHeight="1" x14ac:dyDescent="0.3">
      <c r="A81" s="34"/>
      <c r="B81" s="16"/>
      <c r="C81" s="15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6"/>
      <c r="V81" s="16"/>
      <c r="W81" s="16"/>
      <c r="X81" s="16"/>
      <c r="Y81" s="16"/>
      <c r="Z81" s="16"/>
      <c r="AA81" s="15"/>
      <c r="AB81" s="16"/>
      <c r="AC81" s="16"/>
      <c r="AD81" s="16"/>
      <c r="AE81" s="16"/>
    </row>
    <row r="82" spans="1:38" ht="14.25" customHeight="1" x14ac:dyDescent="0.3">
      <c r="A82" s="34"/>
      <c r="B82" s="16"/>
      <c r="C82" s="15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6"/>
      <c r="V82" s="16"/>
      <c r="W82" s="16"/>
      <c r="X82" s="16"/>
      <c r="Y82" s="16"/>
      <c r="Z82" s="16"/>
      <c r="AA82" s="15"/>
      <c r="AB82" s="16"/>
      <c r="AC82" s="16"/>
      <c r="AD82" s="16"/>
      <c r="AE82" s="16"/>
    </row>
    <row r="83" spans="1:38" ht="14.25" customHeight="1" x14ac:dyDescent="0.3">
      <c r="A83" s="34"/>
      <c r="B83" s="16"/>
      <c r="C83" s="15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6"/>
      <c r="V83" s="16"/>
      <c r="W83" s="16"/>
      <c r="X83" s="16"/>
      <c r="Y83" s="16"/>
      <c r="Z83" s="16"/>
      <c r="AA83" s="15"/>
      <c r="AB83" s="16"/>
      <c r="AC83" s="16"/>
      <c r="AD83" s="16"/>
      <c r="AE83" s="16"/>
      <c r="AF83" s="259" t="str">
        <f>IF(Settings!$B$6&lt;&gt;0,Settings!$B$6,"")</f>
        <v/>
      </c>
      <c r="AG83" s="260"/>
      <c r="AH83" s="260"/>
      <c r="AI83" s="260"/>
      <c r="AJ83" s="260"/>
      <c r="AK83" s="260"/>
      <c r="AL83" s="260"/>
    </row>
    <row r="84" spans="1:38" ht="14.25" customHeight="1" x14ac:dyDescent="0.3">
      <c r="A84" s="34"/>
      <c r="B84" s="16"/>
      <c r="C84" s="15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6"/>
      <c r="V84" s="16"/>
      <c r="W84" s="16"/>
      <c r="X84" s="16"/>
      <c r="Y84" s="16"/>
      <c r="Z84" s="16"/>
      <c r="AA84" s="15"/>
      <c r="AB84" s="16"/>
      <c r="AC84" s="16"/>
      <c r="AD84" s="16"/>
      <c r="AE84" s="16"/>
      <c r="AF84" s="262"/>
      <c r="AG84" s="263"/>
      <c r="AH84" s="263"/>
      <c r="AI84" s="263"/>
      <c r="AJ84" s="263"/>
      <c r="AK84" s="263"/>
      <c r="AL84" s="263"/>
    </row>
    <row r="85" spans="1:38" ht="14.25" customHeight="1" x14ac:dyDescent="0.3">
      <c r="A85" s="34"/>
      <c r="B85" s="16"/>
      <c r="C85" s="15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6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5"/>
      <c r="AG85" s="15"/>
      <c r="AH85" s="15"/>
      <c r="AI85" s="15"/>
      <c r="AJ85" s="15"/>
      <c r="AK85" s="15"/>
      <c r="AL85" s="15"/>
    </row>
    <row r="86" spans="1:38" ht="14.25" customHeight="1" x14ac:dyDescent="0.3">
      <c r="A86" s="34"/>
      <c r="B86" s="16"/>
      <c r="C86" s="15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6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37"/>
      <c r="AG86" s="37"/>
      <c r="AH86" s="34"/>
      <c r="AI86" s="37"/>
      <c r="AJ86" s="37"/>
      <c r="AK86" s="37"/>
      <c r="AL86" s="37"/>
    </row>
    <row r="87" spans="1:38" ht="14.25" customHeight="1" x14ac:dyDescent="0.3">
      <c r="A87" s="34"/>
      <c r="B87" s="16"/>
      <c r="C87" s="15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6"/>
      <c r="V87" s="16"/>
      <c r="W87" s="16"/>
      <c r="X87" s="16"/>
      <c r="Y87" s="16"/>
      <c r="Z87" s="16"/>
      <c r="AA87" s="15"/>
      <c r="AB87" s="16"/>
      <c r="AC87" s="16"/>
      <c r="AD87" s="16"/>
      <c r="AE87" s="16"/>
      <c r="AF87" s="291" t="str">
        <f>IF(Settings!$B$8&lt;&gt;0,Settings!$B$8,"")</f>
        <v/>
      </c>
      <c r="AG87" s="291"/>
      <c r="AH87" s="291"/>
      <c r="AI87" s="291"/>
      <c r="AJ87" s="291"/>
      <c r="AK87" s="291"/>
      <c r="AL87" s="291"/>
    </row>
    <row r="88" spans="1:38" ht="14.25" customHeight="1" x14ac:dyDescent="0.3">
      <c r="A88" s="34"/>
      <c r="B88" s="16"/>
      <c r="C88" s="15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6"/>
      <c r="V88" s="16"/>
      <c r="W88" s="16"/>
      <c r="X88" s="16"/>
      <c r="Y88" s="16"/>
      <c r="Z88" s="16"/>
      <c r="AA88" s="15"/>
      <c r="AB88" s="16"/>
      <c r="AC88" s="16"/>
      <c r="AD88" s="16"/>
      <c r="AE88" s="16"/>
      <c r="AF88" s="262"/>
      <c r="AG88" s="262"/>
      <c r="AH88" s="262"/>
      <c r="AI88" s="262"/>
      <c r="AJ88" s="262"/>
      <c r="AK88" s="262"/>
      <c r="AL88" s="262"/>
    </row>
    <row r="89" spans="1:38" ht="14.25" customHeight="1" x14ac:dyDescent="0.3">
      <c r="A89" s="34"/>
      <c r="B89" s="16"/>
      <c r="C89" s="15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6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5"/>
      <c r="AI89" s="16"/>
      <c r="AJ89" s="16"/>
      <c r="AK89" s="16"/>
      <c r="AL89" s="37"/>
    </row>
    <row r="90" spans="1:38" ht="14.25" customHeight="1" x14ac:dyDescent="0.3">
      <c r="A90" s="34"/>
      <c r="B90" s="16"/>
      <c r="C90" s="15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6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5"/>
      <c r="AI90" s="16"/>
      <c r="AJ90" s="16"/>
      <c r="AK90" s="16"/>
      <c r="AL90" s="37"/>
    </row>
    <row r="91" spans="1:38" ht="14.25" customHeight="1" x14ac:dyDescent="0.3">
      <c r="A91" s="34"/>
      <c r="B91" s="16"/>
      <c r="C91" s="15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6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5"/>
      <c r="AI91" s="16"/>
      <c r="AJ91" s="16"/>
      <c r="AK91" s="16"/>
      <c r="AL91" s="37"/>
    </row>
    <row r="92" spans="1:38" ht="14.25" customHeight="1" x14ac:dyDescent="0.3">
      <c r="A92" s="34"/>
      <c r="B92" s="16"/>
      <c r="C92" s="15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6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5"/>
      <c r="AI92" s="16"/>
      <c r="AJ92" s="16"/>
      <c r="AK92" s="16"/>
      <c r="AL92" s="37"/>
    </row>
    <row r="93" spans="1:38" ht="14.25" customHeight="1" x14ac:dyDescent="0.3">
      <c r="A93" s="34"/>
      <c r="B93" s="16"/>
      <c r="C93" s="15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6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5"/>
      <c r="AI93" s="16"/>
      <c r="AJ93" s="16"/>
      <c r="AK93" s="16"/>
      <c r="AL93" s="37"/>
    </row>
    <row r="94" spans="1:38" ht="14.25" customHeight="1" x14ac:dyDescent="0.3">
      <c r="A94" s="34"/>
      <c r="B94" s="16"/>
      <c r="C94" s="15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6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5"/>
      <c r="AI94" s="16"/>
      <c r="AJ94" s="16"/>
      <c r="AK94" s="16"/>
      <c r="AL94" s="37"/>
    </row>
    <row r="95" spans="1:38" ht="14.25" customHeight="1" x14ac:dyDescent="0.3">
      <c r="A95" s="34"/>
      <c r="B95" s="16"/>
      <c r="C95" s="15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6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5"/>
      <c r="AI95" s="16"/>
      <c r="AJ95" s="16"/>
      <c r="AK95" s="16"/>
      <c r="AL95" s="37"/>
    </row>
    <row r="96" spans="1:38" ht="14.25" customHeight="1" x14ac:dyDescent="0.3">
      <c r="A96" s="34"/>
      <c r="B96" s="16"/>
      <c r="C96" s="15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6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5"/>
      <c r="AI96" s="16"/>
      <c r="AJ96" s="16"/>
      <c r="AK96" s="16"/>
      <c r="AL96" s="37"/>
    </row>
    <row r="97" spans="1:38" ht="14.25" customHeight="1" x14ac:dyDescent="0.3">
      <c r="A97" s="34"/>
      <c r="B97" s="16"/>
      <c r="C97" s="15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6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5"/>
      <c r="AI97" s="16"/>
      <c r="AJ97" s="16"/>
      <c r="AK97" s="16"/>
      <c r="AL97" s="37"/>
    </row>
    <row r="98" spans="1:38" ht="14.25" customHeight="1" x14ac:dyDescent="0.3">
      <c r="A98" s="34"/>
      <c r="B98" s="16"/>
      <c r="C98" s="15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6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5"/>
      <c r="AI98" s="16"/>
      <c r="AJ98" s="16"/>
      <c r="AK98" s="16"/>
      <c r="AL98" s="37"/>
    </row>
    <row r="99" spans="1:38" ht="14.25" customHeight="1" x14ac:dyDescent="0.3">
      <c r="A99" s="34"/>
      <c r="B99" s="16"/>
      <c r="C99" s="15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6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5"/>
      <c r="AI99" s="16"/>
      <c r="AJ99" s="16"/>
      <c r="AK99" s="16"/>
      <c r="AL99" s="37"/>
    </row>
    <row r="100" spans="1:38" ht="14.25" customHeight="1" x14ac:dyDescent="0.3">
      <c r="A100" s="34"/>
      <c r="B100" s="16"/>
      <c r="C100" s="15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6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5"/>
      <c r="AI100" s="16"/>
      <c r="AJ100" s="16"/>
      <c r="AK100" s="16"/>
      <c r="AL100" s="37"/>
    </row>
    <row r="101" spans="1:38" ht="14.25" customHeight="1" x14ac:dyDescent="0.3">
      <c r="A101" s="34"/>
      <c r="B101" s="16"/>
      <c r="C101" s="15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6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5"/>
      <c r="AI101" s="16"/>
      <c r="AJ101" s="16"/>
      <c r="AK101" s="16"/>
      <c r="AL101" s="37"/>
    </row>
    <row r="102" spans="1:38" ht="14.25" customHeight="1" x14ac:dyDescent="0.3">
      <c r="A102" s="34"/>
      <c r="B102" s="16"/>
      <c r="C102" s="15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6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5"/>
      <c r="AI102" s="16"/>
      <c r="AJ102" s="16"/>
      <c r="AK102" s="16"/>
      <c r="AL102" s="37"/>
    </row>
    <row r="103" spans="1:38" ht="14.25" customHeight="1" x14ac:dyDescent="0.3">
      <c r="A103" s="34"/>
      <c r="B103" s="16"/>
      <c r="C103" s="15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6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5"/>
      <c r="AI103" s="16"/>
      <c r="AJ103" s="16"/>
      <c r="AK103" s="16"/>
      <c r="AL103" s="37"/>
    </row>
    <row r="104" spans="1:38" ht="14.25" customHeight="1" x14ac:dyDescent="0.3">
      <c r="A104" s="34"/>
      <c r="B104" s="16"/>
      <c r="C104" s="15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6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5"/>
      <c r="AI104" s="16"/>
      <c r="AJ104" s="16"/>
      <c r="AK104" s="16"/>
      <c r="AL104" s="37"/>
    </row>
    <row r="105" spans="1:38" ht="14.25" customHeight="1" x14ac:dyDescent="0.3">
      <c r="A105" s="34"/>
      <c r="B105" s="16"/>
      <c r="C105" s="15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6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5"/>
      <c r="AI105" s="16"/>
      <c r="AJ105" s="16"/>
      <c r="AK105" s="16"/>
      <c r="AL105" s="37"/>
    </row>
    <row r="106" spans="1:38" ht="14.25" customHeight="1" x14ac:dyDescent="0.3">
      <c r="A106" s="34"/>
      <c r="B106" s="16"/>
      <c r="C106" s="15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6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5"/>
      <c r="AI106" s="16"/>
      <c r="AJ106" s="16"/>
      <c r="AK106" s="16"/>
      <c r="AL106" s="37"/>
    </row>
    <row r="107" spans="1:38" ht="14.25" customHeight="1" x14ac:dyDescent="0.3">
      <c r="A107" s="34"/>
      <c r="B107" s="16"/>
      <c r="C107" s="15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6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5"/>
      <c r="AI107" s="16"/>
      <c r="AJ107" s="16"/>
      <c r="AK107" s="16"/>
      <c r="AL107" s="37"/>
    </row>
    <row r="108" spans="1:38" ht="14.25" customHeight="1" x14ac:dyDescent="0.3">
      <c r="A108" s="34"/>
      <c r="B108" s="16"/>
      <c r="C108" s="15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6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5"/>
      <c r="AI108" s="16"/>
      <c r="AJ108" s="16"/>
      <c r="AK108" s="16"/>
      <c r="AL108" s="37"/>
    </row>
    <row r="109" spans="1:38" ht="14.25" customHeight="1" x14ac:dyDescent="0.3">
      <c r="A109" s="34"/>
      <c r="B109" s="16"/>
      <c r="C109" s="15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6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5"/>
      <c r="AI109" s="16"/>
      <c r="AJ109" s="16"/>
      <c r="AK109" s="16"/>
      <c r="AL109" s="37"/>
    </row>
    <row r="110" spans="1:38" ht="14.25" customHeight="1" x14ac:dyDescent="0.3">
      <c r="A110" s="34"/>
      <c r="B110" s="16"/>
      <c r="C110" s="15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6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5"/>
      <c r="AI110" s="16"/>
      <c r="AJ110" s="16"/>
      <c r="AK110" s="16"/>
      <c r="AL110" s="37"/>
    </row>
    <row r="111" spans="1:38" ht="14.25" customHeight="1" x14ac:dyDescent="0.3">
      <c r="A111" s="34"/>
      <c r="B111" s="16"/>
      <c r="C111" s="15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6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5"/>
      <c r="AI111" s="16"/>
      <c r="AJ111" s="16"/>
      <c r="AK111" s="16"/>
      <c r="AL111" s="37"/>
    </row>
    <row r="112" spans="1:38" ht="14.25" customHeight="1" x14ac:dyDescent="0.3">
      <c r="A112" s="34"/>
      <c r="B112" s="16"/>
      <c r="C112" s="15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6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5"/>
      <c r="AI112" s="16"/>
      <c r="AJ112" s="16"/>
      <c r="AK112" s="16"/>
      <c r="AL112" s="37"/>
    </row>
    <row r="113" spans="1:38" ht="14.25" customHeight="1" x14ac:dyDescent="0.3">
      <c r="A113" s="34"/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6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5"/>
      <c r="AI113" s="16"/>
      <c r="AJ113" s="16"/>
      <c r="AK113" s="16"/>
      <c r="AL113" s="37"/>
    </row>
    <row r="114" spans="1:38" ht="14.25" customHeight="1" x14ac:dyDescent="0.3">
      <c r="A114" s="34"/>
      <c r="B114" s="16"/>
      <c r="C114" s="15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6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5"/>
      <c r="AI114" s="16"/>
      <c r="AJ114" s="16"/>
      <c r="AK114" s="16"/>
      <c r="AL114" s="37"/>
    </row>
    <row r="115" spans="1:38" ht="14.25" customHeight="1" x14ac:dyDescent="0.3">
      <c r="A115" s="34"/>
      <c r="B115" s="16"/>
      <c r="C115" s="15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6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5"/>
      <c r="AI115" s="16"/>
      <c r="AJ115" s="16"/>
      <c r="AK115" s="16"/>
      <c r="AL115" s="37"/>
    </row>
    <row r="116" spans="1:38" ht="14.25" customHeight="1" x14ac:dyDescent="0.3">
      <c r="A116" s="34"/>
      <c r="B116" s="16"/>
      <c r="C116" s="15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6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5"/>
      <c r="AI116" s="16"/>
      <c r="AJ116" s="16"/>
      <c r="AK116" s="16"/>
      <c r="AL116" s="37"/>
    </row>
    <row r="117" spans="1:38" ht="14.25" customHeight="1" x14ac:dyDescent="0.3">
      <c r="A117" s="34"/>
      <c r="B117" s="16"/>
      <c r="C117" s="15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6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5"/>
      <c r="AI117" s="16"/>
      <c r="AJ117" s="16"/>
      <c r="AK117" s="16"/>
      <c r="AL117" s="37"/>
    </row>
    <row r="118" spans="1:38" ht="14.25" customHeight="1" x14ac:dyDescent="0.3">
      <c r="A118" s="34"/>
      <c r="B118" s="16"/>
      <c r="C118" s="15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6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5"/>
      <c r="AI118" s="16"/>
      <c r="AJ118" s="16"/>
      <c r="AK118" s="16"/>
      <c r="AL118" s="37"/>
    </row>
    <row r="119" spans="1:38" ht="14.25" customHeight="1" x14ac:dyDescent="0.3">
      <c r="A119" s="34"/>
      <c r="B119" s="16"/>
      <c r="C119" s="15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6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5"/>
      <c r="AI119" s="16"/>
      <c r="AJ119" s="16"/>
      <c r="AK119" s="16"/>
      <c r="AL119" s="37"/>
    </row>
    <row r="120" spans="1:38" ht="14.25" customHeight="1" x14ac:dyDescent="0.3">
      <c r="A120" s="34"/>
      <c r="B120" s="16"/>
      <c r="C120" s="15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6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5"/>
      <c r="AI120" s="16"/>
      <c r="AJ120" s="16"/>
      <c r="AK120" s="16"/>
      <c r="AL120" s="37"/>
    </row>
    <row r="121" spans="1:38" ht="14.25" customHeight="1" x14ac:dyDescent="0.3">
      <c r="A121" s="34"/>
      <c r="B121" s="16"/>
      <c r="C121" s="15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6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5"/>
      <c r="AI121" s="16"/>
      <c r="AJ121" s="16"/>
      <c r="AK121" s="16"/>
      <c r="AL121" s="37"/>
    </row>
    <row r="122" spans="1:38" ht="14.25" customHeight="1" x14ac:dyDescent="0.3">
      <c r="A122" s="34"/>
      <c r="B122" s="16"/>
      <c r="C122" s="15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6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5"/>
      <c r="AI122" s="16"/>
      <c r="AJ122" s="16"/>
      <c r="AK122" s="16"/>
      <c r="AL122" s="37"/>
    </row>
    <row r="123" spans="1:38" ht="14.25" customHeight="1" x14ac:dyDescent="0.3">
      <c r="A123" s="34"/>
      <c r="B123" s="16"/>
      <c r="C123" s="15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6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5"/>
      <c r="AI123" s="16"/>
      <c r="AJ123" s="16"/>
      <c r="AK123" s="16"/>
      <c r="AL123" s="37"/>
    </row>
    <row r="124" spans="1:38" ht="14.25" customHeight="1" x14ac:dyDescent="0.3">
      <c r="A124" s="34"/>
      <c r="B124" s="16"/>
      <c r="C124" s="15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6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5"/>
      <c r="AI124" s="16"/>
      <c r="AJ124" s="16"/>
      <c r="AK124" s="16"/>
      <c r="AL124" s="37"/>
    </row>
    <row r="125" spans="1:38" ht="14.25" customHeight="1" x14ac:dyDescent="0.3">
      <c r="A125" s="34"/>
      <c r="B125" s="16"/>
      <c r="C125" s="15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6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5"/>
      <c r="AI125" s="16"/>
      <c r="AJ125" s="16"/>
      <c r="AK125" s="16"/>
      <c r="AL125" s="37"/>
    </row>
    <row r="126" spans="1:38" ht="14.25" customHeight="1" x14ac:dyDescent="0.3">
      <c r="A126" s="34"/>
      <c r="B126" s="16"/>
      <c r="C126" s="15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6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5"/>
      <c r="AI126" s="16"/>
      <c r="AJ126" s="16"/>
      <c r="AK126" s="16"/>
      <c r="AL126" s="37"/>
    </row>
    <row r="127" spans="1:38" ht="14.25" customHeight="1" x14ac:dyDescent="0.3">
      <c r="A127" s="34"/>
      <c r="B127" s="16"/>
      <c r="C127" s="15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6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5"/>
      <c r="AI127" s="16"/>
      <c r="AJ127" s="16"/>
      <c r="AK127" s="16"/>
      <c r="AL127" s="37"/>
    </row>
    <row r="128" spans="1:38" ht="14.25" customHeight="1" x14ac:dyDescent="0.3">
      <c r="A128" s="34"/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6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5"/>
      <c r="AI128" s="16"/>
      <c r="AJ128" s="16"/>
      <c r="AK128" s="16"/>
      <c r="AL128" s="37"/>
    </row>
    <row r="129" spans="1:38" ht="14.25" customHeight="1" x14ac:dyDescent="0.3">
      <c r="A129" s="34"/>
      <c r="B129" s="16"/>
      <c r="C129" s="15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6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5"/>
      <c r="AI129" s="16"/>
      <c r="AJ129" s="16"/>
      <c r="AK129" s="16"/>
      <c r="AL129" s="37"/>
    </row>
    <row r="130" spans="1:38" ht="14.25" customHeight="1" x14ac:dyDescent="0.3">
      <c r="A130" s="34"/>
      <c r="B130" s="16"/>
      <c r="C130" s="15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6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5"/>
      <c r="AI130" s="16"/>
      <c r="AJ130" s="16"/>
      <c r="AK130" s="16"/>
      <c r="AL130" s="37"/>
    </row>
    <row r="131" spans="1:38" ht="14.25" customHeight="1" x14ac:dyDescent="0.3">
      <c r="A131" s="34"/>
      <c r="B131" s="16"/>
      <c r="C131" s="15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6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5"/>
      <c r="AI131" s="16"/>
      <c r="AJ131" s="16"/>
      <c r="AK131" s="16"/>
      <c r="AL131" s="37"/>
    </row>
    <row r="132" spans="1:38" ht="14.25" customHeight="1" x14ac:dyDescent="0.3">
      <c r="A132" s="34"/>
      <c r="B132" s="16"/>
      <c r="C132" s="15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6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5"/>
      <c r="AI132" s="16"/>
      <c r="AJ132" s="16"/>
      <c r="AK132" s="16"/>
      <c r="AL132" s="37"/>
    </row>
    <row r="133" spans="1:38" ht="14.25" customHeight="1" x14ac:dyDescent="0.3">
      <c r="A133" s="34"/>
      <c r="B133" s="16"/>
      <c r="C133" s="15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6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5"/>
      <c r="AI133" s="16"/>
      <c r="AJ133" s="16"/>
      <c r="AK133" s="16"/>
      <c r="AL133" s="37"/>
    </row>
    <row r="134" spans="1:38" ht="14.25" customHeight="1" x14ac:dyDescent="0.3">
      <c r="A134" s="34"/>
      <c r="B134" s="16"/>
      <c r="C134" s="15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6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5"/>
      <c r="AI134" s="16"/>
      <c r="AJ134" s="16"/>
      <c r="AK134" s="16"/>
      <c r="AL134" s="37"/>
    </row>
    <row r="135" spans="1:38" ht="14.25" customHeight="1" x14ac:dyDescent="0.3">
      <c r="A135" s="34"/>
      <c r="B135" s="16"/>
      <c r="C135" s="15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6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5"/>
      <c r="AI135" s="16"/>
      <c r="AJ135" s="16"/>
      <c r="AK135" s="16"/>
      <c r="AL135" s="37"/>
    </row>
    <row r="136" spans="1:38" ht="14.25" customHeight="1" x14ac:dyDescent="0.3">
      <c r="A136" s="34"/>
      <c r="B136" s="16"/>
      <c r="C136" s="15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6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5"/>
      <c r="AI136" s="16"/>
      <c r="AJ136" s="16"/>
      <c r="AK136" s="16"/>
      <c r="AL136" s="37"/>
    </row>
    <row r="137" spans="1:38" ht="14.25" customHeight="1" x14ac:dyDescent="0.3">
      <c r="A137" s="34"/>
      <c r="B137" s="16"/>
      <c r="C137" s="15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6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5"/>
      <c r="AI137" s="16"/>
      <c r="AJ137" s="16"/>
      <c r="AK137" s="16"/>
      <c r="AL137" s="37"/>
    </row>
    <row r="138" spans="1:38" ht="14.25" customHeight="1" x14ac:dyDescent="0.3">
      <c r="A138" s="34"/>
      <c r="B138" s="16"/>
      <c r="C138" s="15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6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5"/>
      <c r="AI138" s="16"/>
      <c r="AJ138" s="16"/>
      <c r="AK138" s="16"/>
      <c r="AL138" s="37"/>
    </row>
    <row r="139" spans="1:38" ht="14.25" customHeight="1" x14ac:dyDescent="0.3">
      <c r="A139" s="34"/>
      <c r="B139" s="16"/>
      <c r="C139" s="15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6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5"/>
      <c r="AI139" s="16"/>
      <c r="AJ139" s="16"/>
      <c r="AK139" s="16"/>
      <c r="AL139" s="37"/>
    </row>
    <row r="140" spans="1:38" ht="14.25" customHeight="1" x14ac:dyDescent="0.3">
      <c r="A140" s="34"/>
      <c r="B140" s="16"/>
      <c r="C140" s="15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6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5"/>
      <c r="AI140" s="16"/>
      <c r="AJ140" s="16"/>
      <c r="AK140" s="16"/>
      <c r="AL140" s="37"/>
    </row>
    <row r="141" spans="1:38" ht="14.25" customHeight="1" x14ac:dyDescent="0.3">
      <c r="A141" s="34"/>
      <c r="B141" s="16"/>
      <c r="C141" s="15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6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5"/>
      <c r="AI141" s="16"/>
      <c r="AJ141" s="16"/>
      <c r="AK141" s="16"/>
      <c r="AL141" s="37"/>
    </row>
    <row r="142" spans="1:38" ht="14.25" customHeight="1" x14ac:dyDescent="0.3">
      <c r="A142" s="34"/>
      <c r="B142" s="16"/>
      <c r="C142" s="15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6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5"/>
      <c r="AI142" s="16"/>
      <c r="AJ142" s="16"/>
      <c r="AK142" s="16"/>
      <c r="AL142" s="37"/>
    </row>
    <row r="143" spans="1:38" ht="14.25" customHeight="1" x14ac:dyDescent="0.3">
      <c r="A143" s="34"/>
      <c r="B143" s="16"/>
      <c r="C143" s="15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6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5"/>
      <c r="AI143" s="16"/>
      <c r="AJ143" s="16"/>
      <c r="AK143" s="16"/>
      <c r="AL143" s="37"/>
    </row>
    <row r="144" spans="1:38" ht="14.25" customHeight="1" x14ac:dyDescent="0.3">
      <c r="A144" s="34"/>
      <c r="B144" s="16"/>
      <c r="C144" s="15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6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5"/>
      <c r="AI144" s="16"/>
      <c r="AJ144" s="16"/>
      <c r="AK144" s="16"/>
      <c r="AL144" s="37"/>
    </row>
    <row r="145" spans="1:38" ht="14.25" customHeight="1" x14ac:dyDescent="0.3">
      <c r="A145" s="34"/>
      <c r="B145" s="16"/>
      <c r="C145" s="15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6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5"/>
      <c r="AI145" s="16"/>
      <c r="AJ145" s="16"/>
      <c r="AK145" s="16"/>
      <c r="AL145" s="37"/>
    </row>
    <row r="146" spans="1:38" ht="14.25" customHeight="1" x14ac:dyDescent="0.3">
      <c r="A146" s="34"/>
      <c r="B146" s="16"/>
      <c r="C146" s="15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6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5"/>
      <c r="AI146" s="16"/>
      <c r="AJ146" s="16"/>
      <c r="AK146" s="16"/>
      <c r="AL146" s="37"/>
    </row>
    <row r="147" spans="1:38" ht="14.25" customHeight="1" x14ac:dyDescent="0.3">
      <c r="A147" s="34"/>
      <c r="B147" s="16"/>
      <c r="C147" s="15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6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5"/>
      <c r="AI147" s="16"/>
      <c r="AJ147" s="16"/>
      <c r="AK147" s="16"/>
      <c r="AL147" s="37"/>
    </row>
    <row r="148" spans="1:38" ht="14.25" customHeight="1" x14ac:dyDescent="0.3">
      <c r="A148" s="34"/>
      <c r="B148" s="16"/>
      <c r="C148" s="15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6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5"/>
      <c r="AI148" s="16"/>
      <c r="AJ148" s="16"/>
      <c r="AK148" s="16"/>
      <c r="AL148" s="37"/>
    </row>
    <row r="149" spans="1:38" ht="14.25" customHeight="1" x14ac:dyDescent="0.3">
      <c r="A149" s="34"/>
      <c r="B149" s="16"/>
      <c r="C149" s="15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6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5"/>
      <c r="AI149" s="16"/>
      <c r="AJ149" s="16"/>
      <c r="AK149" s="16"/>
      <c r="AL149" s="37"/>
    </row>
    <row r="150" spans="1:38" ht="14.25" customHeight="1" x14ac:dyDescent="0.3">
      <c r="A150" s="34"/>
      <c r="B150" s="16"/>
      <c r="C150" s="15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6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5"/>
      <c r="AI150" s="16"/>
      <c r="AJ150" s="16"/>
      <c r="AK150" s="16"/>
      <c r="AL150" s="37"/>
    </row>
    <row r="151" spans="1:38" ht="14.25" customHeight="1" x14ac:dyDescent="0.3">
      <c r="A151" s="34"/>
      <c r="B151" s="16"/>
      <c r="C151" s="15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6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5"/>
      <c r="AI151" s="16"/>
      <c r="AJ151" s="16"/>
      <c r="AK151" s="16"/>
      <c r="AL151" s="37"/>
    </row>
    <row r="152" spans="1:38" ht="14.25" customHeight="1" x14ac:dyDescent="0.3">
      <c r="A152" s="34"/>
      <c r="B152" s="16"/>
      <c r="C152" s="15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6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5"/>
      <c r="AI152" s="16"/>
      <c r="AJ152" s="16"/>
      <c r="AK152" s="16"/>
      <c r="AL152" s="37"/>
    </row>
    <row r="153" spans="1:38" ht="14.25" customHeight="1" x14ac:dyDescent="0.3">
      <c r="A153" s="34"/>
      <c r="B153" s="16"/>
      <c r="C153" s="15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6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5"/>
      <c r="AI153" s="16"/>
      <c r="AJ153" s="16"/>
      <c r="AK153" s="16"/>
      <c r="AL153" s="37"/>
    </row>
    <row r="154" spans="1:38" ht="14.25" customHeight="1" x14ac:dyDescent="0.3">
      <c r="A154" s="34"/>
      <c r="B154" s="16"/>
      <c r="C154" s="15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6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5"/>
      <c r="AI154" s="16"/>
      <c r="AJ154" s="16"/>
      <c r="AK154" s="16"/>
      <c r="AL154" s="37"/>
    </row>
    <row r="155" spans="1:38" ht="14.25" customHeight="1" x14ac:dyDescent="0.3">
      <c r="A155" s="34"/>
      <c r="B155" s="16"/>
      <c r="C155" s="15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6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5"/>
      <c r="AI155" s="16"/>
      <c r="AJ155" s="16"/>
      <c r="AK155" s="16"/>
      <c r="AL155" s="37"/>
    </row>
    <row r="156" spans="1:38" ht="14.25" customHeight="1" x14ac:dyDescent="0.3">
      <c r="A156" s="34"/>
      <c r="B156" s="16"/>
      <c r="C156" s="15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6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5"/>
      <c r="AI156" s="16"/>
      <c r="AJ156" s="16"/>
      <c r="AK156" s="16"/>
      <c r="AL156" s="37"/>
    </row>
    <row r="157" spans="1:38" ht="14.25" customHeight="1" x14ac:dyDescent="0.3">
      <c r="A157" s="34"/>
      <c r="B157" s="16"/>
      <c r="C157" s="15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6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5"/>
      <c r="AI157" s="16"/>
      <c r="AJ157" s="16"/>
      <c r="AK157" s="16"/>
      <c r="AL157" s="37"/>
    </row>
    <row r="158" spans="1:38" ht="14.25" customHeight="1" x14ac:dyDescent="0.3">
      <c r="A158" s="34"/>
      <c r="B158" s="16"/>
      <c r="C158" s="15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6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5"/>
      <c r="AI158" s="16"/>
      <c r="AJ158" s="16"/>
      <c r="AK158" s="16"/>
      <c r="AL158" s="37"/>
    </row>
    <row r="159" spans="1:38" ht="14.25" customHeight="1" x14ac:dyDescent="0.3">
      <c r="A159" s="34"/>
      <c r="B159" s="16"/>
      <c r="C159" s="15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6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5"/>
      <c r="AI159" s="16"/>
      <c r="AJ159" s="16"/>
      <c r="AK159" s="16"/>
      <c r="AL159" s="37"/>
    </row>
    <row r="160" spans="1:38" ht="14.25" customHeight="1" x14ac:dyDescent="0.3">
      <c r="A160" s="34"/>
      <c r="B160" s="16"/>
      <c r="C160" s="15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6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5"/>
      <c r="AI160" s="16"/>
      <c r="AJ160" s="16"/>
      <c r="AK160" s="16"/>
      <c r="AL160" s="37"/>
    </row>
    <row r="161" spans="1:38" ht="14.25" customHeight="1" x14ac:dyDescent="0.3">
      <c r="A161" s="34"/>
      <c r="B161" s="16"/>
      <c r="C161" s="15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6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5"/>
      <c r="AI161" s="16"/>
      <c r="AJ161" s="16"/>
      <c r="AK161" s="16"/>
      <c r="AL161" s="37"/>
    </row>
    <row r="162" spans="1:38" ht="14.25" customHeight="1" x14ac:dyDescent="0.3">
      <c r="A162" s="34"/>
      <c r="B162" s="16"/>
      <c r="C162" s="15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6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5"/>
      <c r="AI162" s="16"/>
      <c r="AJ162" s="16"/>
      <c r="AK162" s="16"/>
      <c r="AL162" s="37"/>
    </row>
    <row r="163" spans="1:38" ht="14.25" customHeight="1" x14ac:dyDescent="0.3">
      <c r="A163" s="34"/>
      <c r="B163" s="16"/>
      <c r="C163" s="15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6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5"/>
      <c r="AI163" s="16"/>
      <c r="AJ163" s="16"/>
      <c r="AK163" s="16"/>
      <c r="AL163" s="37"/>
    </row>
    <row r="164" spans="1:38" ht="14.25" customHeight="1" x14ac:dyDescent="0.3">
      <c r="A164" s="34"/>
      <c r="B164" s="16"/>
      <c r="C164" s="15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6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5"/>
      <c r="AI164" s="16"/>
      <c r="AJ164" s="16"/>
      <c r="AK164" s="16"/>
      <c r="AL164" s="37"/>
    </row>
    <row r="165" spans="1:38" ht="14.25" customHeight="1" x14ac:dyDescent="0.3">
      <c r="A165" s="34"/>
      <c r="B165" s="16"/>
      <c r="C165" s="15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6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5"/>
      <c r="AI165" s="16"/>
      <c r="AJ165" s="16"/>
      <c r="AK165" s="16"/>
      <c r="AL165" s="37"/>
    </row>
    <row r="166" spans="1:38" ht="14.25" customHeight="1" x14ac:dyDescent="0.3">
      <c r="A166" s="34"/>
      <c r="B166" s="16"/>
      <c r="C166" s="15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6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5"/>
      <c r="AI166" s="16"/>
      <c r="AJ166" s="16"/>
      <c r="AK166" s="16"/>
      <c r="AL166" s="37"/>
    </row>
    <row r="167" spans="1:38" ht="14.25" customHeight="1" x14ac:dyDescent="0.3">
      <c r="A167" s="34"/>
      <c r="B167" s="16"/>
      <c r="C167" s="15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6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5"/>
      <c r="AI167" s="16"/>
      <c r="AJ167" s="16"/>
      <c r="AK167" s="16"/>
      <c r="AL167" s="37"/>
    </row>
    <row r="168" spans="1:38" ht="14.25" customHeight="1" x14ac:dyDescent="0.3">
      <c r="A168" s="34"/>
      <c r="B168" s="16"/>
      <c r="C168" s="15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6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5"/>
      <c r="AI168" s="16"/>
      <c r="AJ168" s="16"/>
      <c r="AK168" s="16"/>
      <c r="AL168" s="37"/>
    </row>
    <row r="169" spans="1:38" ht="14.25" customHeight="1" x14ac:dyDescent="0.3">
      <c r="A169" s="34"/>
      <c r="B169" s="16"/>
      <c r="C169" s="15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6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5"/>
      <c r="AI169" s="16"/>
      <c r="AJ169" s="16"/>
      <c r="AK169" s="16"/>
      <c r="AL169" s="37"/>
    </row>
    <row r="170" spans="1:38" ht="14.25" customHeight="1" x14ac:dyDescent="0.3">
      <c r="A170" s="34"/>
      <c r="B170" s="16"/>
      <c r="C170" s="15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6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5"/>
      <c r="AI170" s="16"/>
      <c r="AJ170" s="16"/>
      <c r="AK170" s="16"/>
      <c r="AL170" s="37"/>
    </row>
    <row r="171" spans="1:38" ht="14.25" customHeight="1" x14ac:dyDescent="0.3">
      <c r="A171" s="34"/>
      <c r="B171" s="16"/>
      <c r="C171" s="15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6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5"/>
      <c r="AI171" s="16"/>
      <c r="AJ171" s="16"/>
      <c r="AK171" s="16"/>
      <c r="AL171" s="37"/>
    </row>
    <row r="172" spans="1:38" ht="14.25" customHeight="1" x14ac:dyDescent="0.3">
      <c r="A172" s="34"/>
      <c r="B172" s="16"/>
      <c r="C172" s="15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6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5"/>
      <c r="AI172" s="16"/>
      <c r="AJ172" s="16"/>
      <c r="AK172" s="16"/>
      <c r="AL172" s="37"/>
    </row>
    <row r="173" spans="1:38" ht="14.25" customHeight="1" x14ac:dyDescent="0.3">
      <c r="A173" s="34"/>
      <c r="B173" s="16"/>
      <c r="C173" s="15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6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5"/>
      <c r="AI173" s="16"/>
      <c r="AJ173" s="16"/>
      <c r="AK173" s="16"/>
      <c r="AL173" s="37"/>
    </row>
    <row r="174" spans="1:38" ht="14.25" customHeight="1" x14ac:dyDescent="0.3">
      <c r="A174" s="34"/>
      <c r="B174" s="16"/>
      <c r="C174" s="15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6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5"/>
      <c r="AI174" s="16"/>
      <c r="AJ174" s="16"/>
      <c r="AK174" s="16"/>
      <c r="AL174" s="37"/>
    </row>
    <row r="175" spans="1:38" ht="14.25" customHeight="1" x14ac:dyDescent="0.3">
      <c r="A175" s="34"/>
      <c r="B175" s="16"/>
      <c r="C175" s="15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6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5"/>
      <c r="AI175" s="16"/>
      <c r="AJ175" s="16"/>
      <c r="AK175" s="16"/>
      <c r="AL175" s="37"/>
    </row>
    <row r="176" spans="1:38" ht="14.25" customHeight="1" x14ac:dyDescent="0.3">
      <c r="A176" s="34"/>
      <c r="B176" s="16"/>
      <c r="C176" s="15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6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5"/>
      <c r="AI176" s="16"/>
      <c r="AJ176" s="16"/>
      <c r="AK176" s="16"/>
      <c r="AL176" s="37"/>
    </row>
    <row r="177" spans="1:38" ht="14.25" customHeight="1" x14ac:dyDescent="0.3">
      <c r="A177" s="34"/>
      <c r="B177" s="16"/>
      <c r="C177" s="15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6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5"/>
      <c r="AI177" s="16"/>
      <c r="AJ177" s="16"/>
      <c r="AK177" s="16"/>
      <c r="AL177" s="37"/>
    </row>
    <row r="178" spans="1:38" ht="14.25" customHeight="1" x14ac:dyDescent="0.3">
      <c r="A178" s="34"/>
      <c r="B178" s="16"/>
      <c r="C178" s="15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6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5"/>
      <c r="AI178" s="16"/>
      <c r="AJ178" s="16"/>
      <c r="AK178" s="16"/>
      <c r="AL178" s="37"/>
    </row>
    <row r="179" spans="1:38" ht="14.25" customHeight="1" x14ac:dyDescent="0.3">
      <c r="A179" s="34"/>
      <c r="B179" s="16"/>
      <c r="C179" s="15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6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5"/>
      <c r="AI179" s="16"/>
      <c r="AJ179" s="16"/>
      <c r="AK179" s="16"/>
      <c r="AL179" s="37"/>
    </row>
    <row r="180" spans="1:38" ht="14.25" customHeight="1" x14ac:dyDescent="0.3">
      <c r="A180" s="34"/>
      <c r="B180" s="16"/>
      <c r="C180" s="15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6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5"/>
      <c r="AI180" s="16"/>
      <c r="AJ180" s="16"/>
      <c r="AK180" s="16"/>
      <c r="AL180" s="37"/>
    </row>
    <row r="181" spans="1:38" ht="14.25" customHeight="1" x14ac:dyDescent="0.3">
      <c r="A181" s="34"/>
      <c r="B181" s="16"/>
      <c r="C181" s="15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6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5"/>
      <c r="AI181" s="16"/>
      <c r="AJ181" s="16"/>
      <c r="AK181" s="16"/>
      <c r="AL181" s="37"/>
    </row>
    <row r="182" spans="1:38" ht="14.25" customHeight="1" x14ac:dyDescent="0.3">
      <c r="A182" s="34"/>
      <c r="B182" s="16"/>
      <c r="C182" s="15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6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5"/>
      <c r="AI182" s="16"/>
      <c r="AJ182" s="16"/>
      <c r="AK182" s="16"/>
      <c r="AL182" s="37"/>
    </row>
    <row r="183" spans="1:38" ht="14.25" customHeight="1" x14ac:dyDescent="0.3">
      <c r="A183" s="34"/>
      <c r="B183" s="16"/>
      <c r="C183" s="15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6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5"/>
      <c r="AI183" s="16"/>
      <c r="AJ183" s="16"/>
      <c r="AK183" s="16"/>
      <c r="AL183" s="37"/>
    </row>
    <row r="184" spans="1:38" ht="14.25" customHeight="1" x14ac:dyDescent="0.3">
      <c r="A184" s="34"/>
      <c r="B184" s="16"/>
      <c r="C184" s="15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6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5"/>
      <c r="AI184" s="16"/>
      <c r="AJ184" s="16"/>
      <c r="AK184" s="16"/>
      <c r="AL184" s="37"/>
    </row>
    <row r="185" spans="1:38" ht="14.25" customHeight="1" x14ac:dyDescent="0.3">
      <c r="A185" s="34"/>
      <c r="B185" s="16"/>
      <c r="C185" s="15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6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5"/>
      <c r="AI185" s="16"/>
      <c r="AJ185" s="16"/>
      <c r="AK185" s="16"/>
      <c r="AL185" s="37"/>
    </row>
    <row r="186" spans="1:38" ht="14.25" customHeight="1" x14ac:dyDescent="0.3">
      <c r="A186" s="34"/>
      <c r="B186" s="16"/>
      <c r="C186" s="15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6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5"/>
      <c r="AI186" s="16"/>
      <c r="AJ186" s="16"/>
      <c r="AK186" s="16"/>
      <c r="AL186" s="37"/>
    </row>
    <row r="187" spans="1:38" ht="14.25" customHeight="1" x14ac:dyDescent="0.3">
      <c r="A187" s="34"/>
      <c r="B187" s="16"/>
      <c r="C187" s="15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6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5"/>
      <c r="AI187" s="16"/>
      <c r="AJ187" s="16"/>
      <c r="AK187" s="16"/>
      <c r="AL187" s="37"/>
    </row>
    <row r="188" spans="1:38" ht="14.25" customHeight="1" x14ac:dyDescent="0.3">
      <c r="A188" s="34"/>
      <c r="B188" s="16"/>
      <c r="C188" s="15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6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5"/>
      <c r="AI188" s="16"/>
      <c r="AJ188" s="16"/>
      <c r="AK188" s="16"/>
      <c r="AL188" s="37"/>
    </row>
    <row r="189" spans="1:38" ht="14.25" customHeight="1" x14ac:dyDescent="0.3">
      <c r="A189" s="34"/>
      <c r="B189" s="16"/>
      <c r="C189" s="15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6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5"/>
      <c r="AI189" s="16"/>
      <c r="AJ189" s="16"/>
      <c r="AK189" s="16"/>
      <c r="AL189" s="37"/>
    </row>
    <row r="190" spans="1:38" ht="14.25" customHeight="1" x14ac:dyDescent="0.3">
      <c r="A190" s="34"/>
      <c r="B190" s="16"/>
      <c r="C190" s="15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6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5"/>
      <c r="AI190" s="16"/>
      <c r="AJ190" s="16"/>
      <c r="AK190" s="16"/>
      <c r="AL190" s="37"/>
    </row>
    <row r="191" spans="1:38" ht="14.25" customHeight="1" x14ac:dyDescent="0.3">
      <c r="A191" s="34"/>
      <c r="B191" s="16"/>
      <c r="C191" s="15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6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5"/>
      <c r="AI191" s="16"/>
      <c r="AJ191" s="16"/>
      <c r="AK191" s="16"/>
      <c r="AL191" s="37"/>
    </row>
    <row r="192" spans="1:38" ht="14.25" customHeight="1" x14ac:dyDescent="0.3">
      <c r="A192" s="34"/>
      <c r="B192" s="16"/>
      <c r="C192" s="15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6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5"/>
      <c r="AI192" s="16"/>
      <c r="AJ192" s="16"/>
      <c r="AK192" s="16"/>
      <c r="AL192" s="37"/>
    </row>
    <row r="193" spans="1:38" ht="14.25" customHeight="1" x14ac:dyDescent="0.3">
      <c r="A193" s="34"/>
      <c r="B193" s="16"/>
      <c r="C193" s="15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6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5"/>
      <c r="AI193" s="16"/>
      <c r="AJ193" s="16"/>
      <c r="AK193" s="16"/>
      <c r="AL193" s="37"/>
    </row>
    <row r="194" spans="1:38" ht="14.25" customHeight="1" x14ac:dyDescent="0.3">
      <c r="A194" s="34"/>
      <c r="B194" s="16"/>
      <c r="C194" s="15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6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5"/>
      <c r="AI194" s="16"/>
      <c r="AJ194" s="16"/>
      <c r="AK194" s="16"/>
      <c r="AL194" s="37"/>
    </row>
    <row r="195" spans="1:38" ht="14.25" customHeight="1" x14ac:dyDescent="0.3">
      <c r="A195" s="34"/>
      <c r="B195" s="16"/>
      <c r="C195" s="15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6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5"/>
      <c r="AI195" s="16"/>
      <c r="AJ195" s="16"/>
      <c r="AK195" s="16"/>
      <c r="AL195" s="37"/>
    </row>
    <row r="196" spans="1:38" ht="14.25" customHeight="1" x14ac:dyDescent="0.3">
      <c r="A196" s="34"/>
      <c r="B196" s="16"/>
      <c r="C196" s="15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6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5"/>
      <c r="AI196" s="16"/>
      <c r="AJ196" s="16"/>
      <c r="AK196" s="16"/>
      <c r="AL196" s="37"/>
    </row>
    <row r="197" spans="1:38" ht="14.25" customHeight="1" x14ac:dyDescent="0.3">
      <c r="A197" s="34"/>
      <c r="B197" s="16"/>
      <c r="C197" s="15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6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5"/>
      <c r="AI197" s="16"/>
      <c r="AJ197" s="16"/>
      <c r="AK197" s="16"/>
      <c r="AL197" s="37"/>
    </row>
    <row r="198" spans="1:38" ht="14.25" customHeight="1" x14ac:dyDescent="0.3">
      <c r="A198" s="34"/>
      <c r="B198" s="16"/>
      <c r="C198" s="15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6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5"/>
      <c r="AI198" s="16"/>
      <c r="AJ198" s="16"/>
      <c r="AK198" s="16"/>
      <c r="AL198" s="37"/>
    </row>
    <row r="199" spans="1:38" ht="14.25" customHeight="1" x14ac:dyDescent="0.3">
      <c r="A199" s="34"/>
      <c r="B199" s="16"/>
      <c r="C199" s="15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6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5"/>
      <c r="AI199" s="16"/>
      <c r="AJ199" s="16"/>
      <c r="AK199" s="16"/>
      <c r="AL199" s="37"/>
    </row>
    <row r="200" spans="1:38" ht="14.25" customHeight="1" x14ac:dyDescent="0.3">
      <c r="A200" s="34"/>
      <c r="B200" s="16"/>
      <c r="C200" s="15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6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5"/>
      <c r="AI200" s="16"/>
      <c r="AJ200" s="16"/>
      <c r="AK200" s="16"/>
      <c r="AL200" s="37"/>
    </row>
    <row r="201" spans="1:38" ht="14.25" customHeight="1" x14ac:dyDescent="0.3">
      <c r="A201" s="34"/>
      <c r="B201" s="16"/>
      <c r="C201" s="15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6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5"/>
      <c r="AI201" s="16"/>
      <c r="AJ201" s="16"/>
      <c r="AK201" s="16"/>
      <c r="AL201" s="37"/>
    </row>
    <row r="202" spans="1:38" ht="14.25" customHeight="1" x14ac:dyDescent="0.3">
      <c r="A202" s="34"/>
      <c r="B202" s="16"/>
      <c r="C202" s="15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6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5"/>
      <c r="AI202" s="16"/>
      <c r="AJ202" s="16"/>
      <c r="AK202" s="16"/>
      <c r="AL202" s="37"/>
    </row>
    <row r="203" spans="1:38" ht="14.25" customHeight="1" x14ac:dyDescent="0.3">
      <c r="A203" s="34"/>
      <c r="B203" s="16"/>
      <c r="C203" s="15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6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5"/>
      <c r="AI203" s="16"/>
      <c r="AJ203" s="16"/>
      <c r="AK203" s="16"/>
      <c r="AL203" s="37"/>
    </row>
    <row r="204" spans="1:38" ht="14.25" customHeight="1" x14ac:dyDescent="0.3">
      <c r="A204" s="34"/>
      <c r="B204" s="16"/>
      <c r="C204" s="15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6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5"/>
      <c r="AI204" s="16"/>
      <c r="AJ204" s="16"/>
      <c r="AK204" s="16"/>
      <c r="AL204" s="37"/>
    </row>
    <row r="205" spans="1:38" ht="14.25" customHeight="1" x14ac:dyDescent="0.3">
      <c r="A205" s="34"/>
      <c r="B205" s="16"/>
      <c r="C205" s="15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6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5"/>
      <c r="AI205" s="16"/>
      <c r="AJ205" s="16"/>
      <c r="AK205" s="16"/>
      <c r="AL205" s="37"/>
    </row>
    <row r="206" spans="1:38" ht="14.25" customHeight="1" x14ac:dyDescent="0.3">
      <c r="A206" s="34"/>
      <c r="B206" s="16"/>
      <c r="C206" s="15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6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5"/>
      <c r="AI206" s="16"/>
      <c r="AJ206" s="16"/>
      <c r="AK206" s="16"/>
      <c r="AL206" s="37"/>
    </row>
    <row r="207" spans="1:38" ht="14.25" customHeight="1" x14ac:dyDescent="0.3">
      <c r="A207" s="34"/>
      <c r="B207" s="16"/>
      <c r="C207" s="15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6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5"/>
      <c r="AI207" s="16"/>
      <c r="AJ207" s="16"/>
      <c r="AK207" s="16"/>
      <c r="AL207" s="37"/>
    </row>
    <row r="208" spans="1:38" ht="14.25" customHeight="1" x14ac:dyDescent="0.3">
      <c r="A208" s="34"/>
      <c r="B208" s="16"/>
      <c r="C208" s="15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6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5"/>
      <c r="AI208" s="16"/>
      <c r="AJ208" s="16"/>
      <c r="AK208" s="16"/>
      <c r="AL208" s="37"/>
    </row>
    <row r="209" spans="1:38" ht="14.25" customHeight="1" x14ac:dyDescent="0.3">
      <c r="A209" s="34"/>
      <c r="B209" s="16"/>
      <c r="C209" s="15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6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5"/>
      <c r="AI209" s="16"/>
      <c r="AJ209" s="16"/>
      <c r="AK209" s="16"/>
      <c r="AL209" s="37"/>
    </row>
    <row r="210" spans="1:38" ht="14.25" customHeight="1" x14ac:dyDescent="0.3">
      <c r="A210" s="34"/>
      <c r="B210" s="16"/>
      <c r="C210" s="15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6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5"/>
      <c r="AI210" s="16"/>
      <c r="AJ210" s="16"/>
      <c r="AK210" s="16"/>
      <c r="AL210" s="37"/>
    </row>
    <row r="211" spans="1:38" ht="14.25" customHeight="1" x14ac:dyDescent="0.3">
      <c r="A211" s="34"/>
      <c r="B211" s="16"/>
      <c r="C211" s="15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6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5"/>
      <c r="AI211" s="16"/>
      <c r="AJ211" s="16"/>
      <c r="AK211" s="16"/>
      <c r="AL211" s="37"/>
    </row>
    <row r="212" spans="1:38" ht="14.25" customHeight="1" x14ac:dyDescent="0.3">
      <c r="A212" s="34"/>
      <c r="B212" s="16"/>
      <c r="C212" s="15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6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5"/>
      <c r="AI212" s="16"/>
      <c r="AJ212" s="16"/>
      <c r="AK212" s="16"/>
      <c r="AL212" s="37"/>
    </row>
    <row r="213" spans="1:38" ht="14.25" customHeight="1" x14ac:dyDescent="0.3">
      <c r="A213" s="34"/>
      <c r="B213" s="16"/>
      <c r="C213" s="15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6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5"/>
      <c r="AI213" s="16"/>
      <c r="AJ213" s="16"/>
      <c r="AK213" s="16"/>
      <c r="AL213" s="37"/>
    </row>
    <row r="214" spans="1:38" ht="14.25" customHeight="1" x14ac:dyDescent="0.3">
      <c r="A214" s="34"/>
      <c r="B214" s="16"/>
      <c r="C214" s="15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6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5"/>
      <c r="AI214" s="16"/>
      <c r="AJ214" s="16"/>
      <c r="AK214" s="16"/>
      <c r="AL214" s="37"/>
    </row>
    <row r="215" spans="1:38" ht="14.25" customHeight="1" x14ac:dyDescent="0.3">
      <c r="A215" s="34"/>
      <c r="B215" s="16"/>
      <c r="C215" s="15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6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5"/>
      <c r="AI215" s="16"/>
      <c r="AJ215" s="16"/>
      <c r="AK215" s="16"/>
      <c r="AL215" s="37"/>
    </row>
    <row r="216" spans="1:38" ht="14.25" customHeight="1" x14ac:dyDescent="0.3">
      <c r="A216" s="34"/>
      <c r="B216" s="16"/>
      <c r="C216" s="15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6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5"/>
      <c r="AI216" s="16"/>
      <c r="AJ216" s="16"/>
      <c r="AK216" s="16"/>
      <c r="AL216" s="37"/>
    </row>
    <row r="217" spans="1:38" ht="14.25" customHeight="1" x14ac:dyDescent="0.3">
      <c r="A217" s="34"/>
      <c r="B217" s="16"/>
      <c r="C217" s="15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6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5"/>
      <c r="AI217" s="16"/>
      <c r="AJ217" s="16"/>
      <c r="AK217" s="16"/>
      <c r="AL217" s="37"/>
    </row>
    <row r="218" spans="1:38" ht="14.25" customHeight="1" x14ac:dyDescent="0.3">
      <c r="A218" s="34"/>
      <c r="B218" s="16"/>
      <c r="C218" s="15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6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5"/>
      <c r="AI218" s="16"/>
      <c r="AJ218" s="16"/>
      <c r="AK218" s="16"/>
      <c r="AL218" s="37"/>
    </row>
    <row r="219" spans="1:38" ht="14.25" customHeight="1" x14ac:dyDescent="0.3">
      <c r="A219" s="34"/>
      <c r="B219" s="16"/>
      <c r="C219" s="15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6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5"/>
      <c r="AI219" s="16"/>
      <c r="AJ219" s="16"/>
      <c r="AK219" s="16"/>
      <c r="AL219" s="37"/>
    </row>
    <row r="220" spans="1:38" ht="14.25" customHeight="1" x14ac:dyDescent="0.3">
      <c r="A220" s="34"/>
      <c r="B220" s="16"/>
      <c r="C220" s="15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6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5"/>
      <c r="AI220" s="16"/>
      <c r="AJ220" s="16"/>
      <c r="AK220" s="16"/>
      <c r="AL220" s="37"/>
    </row>
    <row r="221" spans="1:38" ht="14.25" customHeight="1" x14ac:dyDescent="0.3">
      <c r="A221" s="34"/>
      <c r="B221" s="16"/>
      <c r="C221" s="15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6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5"/>
      <c r="AI221" s="16"/>
      <c r="AJ221" s="16"/>
      <c r="AK221" s="16"/>
      <c r="AL221" s="37"/>
    </row>
    <row r="222" spans="1:38" ht="14.25" customHeight="1" x14ac:dyDescent="0.3">
      <c r="A222" s="34"/>
      <c r="B222" s="16"/>
      <c r="C222" s="15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6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5"/>
      <c r="AI222" s="16"/>
      <c r="AJ222" s="16"/>
      <c r="AK222" s="16"/>
      <c r="AL222" s="37"/>
    </row>
    <row r="223" spans="1:38" ht="14.25" customHeight="1" x14ac:dyDescent="0.3">
      <c r="A223" s="34"/>
      <c r="B223" s="16"/>
      <c r="C223" s="15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6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5"/>
      <c r="AI223" s="16"/>
      <c r="AJ223" s="16"/>
      <c r="AK223" s="16"/>
      <c r="AL223" s="37"/>
    </row>
    <row r="224" spans="1:38" ht="14.25" customHeight="1" x14ac:dyDescent="0.3">
      <c r="A224" s="34"/>
      <c r="B224" s="16"/>
      <c r="C224" s="15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6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5"/>
      <c r="AI224" s="16"/>
      <c r="AJ224" s="16"/>
      <c r="AK224" s="16"/>
      <c r="AL224" s="37"/>
    </row>
    <row r="225" spans="1:38" ht="14.25" customHeight="1" x14ac:dyDescent="0.3">
      <c r="A225" s="34"/>
      <c r="B225" s="16"/>
      <c r="C225" s="15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6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5"/>
      <c r="AI225" s="16"/>
      <c r="AJ225" s="16"/>
      <c r="AK225" s="16"/>
      <c r="AL225" s="37"/>
    </row>
    <row r="226" spans="1:38" ht="14.25" customHeight="1" x14ac:dyDescent="0.3">
      <c r="A226" s="34"/>
      <c r="B226" s="16"/>
      <c r="C226" s="15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6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5"/>
      <c r="AI226" s="16"/>
      <c r="AJ226" s="16"/>
      <c r="AK226" s="16"/>
      <c r="AL226" s="37"/>
    </row>
    <row r="227" spans="1:38" ht="14.25" customHeight="1" x14ac:dyDescent="0.3">
      <c r="A227" s="34"/>
      <c r="B227" s="16"/>
      <c r="C227" s="15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6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5"/>
      <c r="AI227" s="16"/>
      <c r="AJ227" s="16"/>
      <c r="AK227" s="16"/>
      <c r="AL227" s="37"/>
    </row>
    <row r="228" spans="1:38" ht="14.25" customHeight="1" x14ac:dyDescent="0.3">
      <c r="A228" s="34"/>
      <c r="B228" s="16"/>
      <c r="C228" s="15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6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5"/>
      <c r="AI228" s="16"/>
      <c r="AJ228" s="16"/>
      <c r="AK228" s="16"/>
      <c r="AL228" s="37"/>
    </row>
    <row r="229" spans="1:38" ht="14.25" customHeight="1" x14ac:dyDescent="0.3">
      <c r="A229" s="34"/>
      <c r="B229" s="16"/>
      <c r="C229" s="15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6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5"/>
      <c r="AI229" s="16"/>
      <c r="AJ229" s="16"/>
      <c r="AK229" s="16"/>
      <c r="AL229" s="37"/>
    </row>
    <row r="230" spans="1:38" ht="14.25" customHeight="1" x14ac:dyDescent="0.3">
      <c r="A230" s="34"/>
      <c r="B230" s="16"/>
      <c r="C230" s="15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6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5"/>
      <c r="AI230" s="16"/>
      <c r="AJ230" s="16"/>
      <c r="AK230" s="16"/>
      <c r="AL230" s="37"/>
    </row>
    <row r="231" spans="1:38" ht="14.25" customHeight="1" x14ac:dyDescent="0.3">
      <c r="A231" s="34"/>
      <c r="B231" s="16"/>
      <c r="C231" s="15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6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5"/>
      <c r="AI231" s="16"/>
      <c r="AJ231" s="16"/>
      <c r="AK231" s="16"/>
      <c r="AL231" s="37"/>
    </row>
    <row r="232" spans="1:38" ht="14.25" customHeight="1" x14ac:dyDescent="0.3">
      <c r="A232" s="34"/>
      <c r="B232" s="16"/>
      <c r="C232" s="15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6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5"/>
      <c r="AI232" s="16"/>
      <c r="AJ232" s="16"/>
      <c r="AK232" s="16"/>
      <c r="AL232" s="37"/>
    </row>
    <row r="233" spans="1:38" ht="14.25" customHeight="1" x14ac:dyDescent="0.3">
      <c r="A233" s="34"/>
      <c r="B233" s="16"/>
      <c r="C233" s="15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6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5"/>
      <c r="AI233" s="16"/>
      <c r="AJ233" s="16"/>
      <c r="AK233" s="16"/>
      <c r="AL233" s="37"/>
    </row>
    <row r="234" spans="1:38" ht="14.25" customHeight="1" x14ac:dyDescent="0.3">
      <c r="A234" s="34"/>
      <c r="B234" s="16"/>
      <c r="C234" s="15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6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5"/>
      <c r="AI234" s="16"/>
      <c r="AJ234" s="16"/>
      <c r="AK234" s="16"/>
      <c r="AL234" s="37"/>
    </row>
    <row r="235" spans="1:38" ht="14.25" customHeight="1" x14ac:dyDescent="0.3">
      <c r="A235" s="34"/>
      <c r="B235" s="16"/>
      <c r="C235" s="15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6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5"/>
      <c r="AI235" s="16"/>
      <c r="AJ235" s="16"/>
      <c r="AK235" s="16"/>
      <c r="AL235" s="37"/>
    </row>
    <row r="236" spans="1:38" ht="14.25" customHeight="1" x14ac:dyDescent="0.3">
      <c r="A236" s="34"/>
      <c r="B236" s="16"/>
      <c r="C236" s="15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6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5"/>
      <c r="AI236" s="16"/>
      <c r="AJ236" s="16"/>
      <c r="AK236" s="16"/>
      <c r="AL236" s="37"/>
    </row>
    <row r="237" spans="1:38" ht="14.25" customHeight="1" x14ac:dyDescent="0.3">
      <c r="A237" s="34"/>
      <c r="B237" s="16"/>
      <c r="C237" s="15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6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5"/>
      <c r="AI237" s="16"/>
      <c r="AJ237" s="16"/>
      <c r="AK237" s="16"/>
      <c r="AL237" s="37"/>
    </row>
    <row r="238" spans="1:38" ht="14.25" customHeight="1" x14ac:dyDescent="0.3">
      <c r="A238" s="34"/>
      <c r="B238" s="16"/>
      <c r="C238" s="15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6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5"/>
      <c r="AI238" s="16"/>
      <c r="AJ238" s="16"/>
      <c r="AK238" s="16"/>
      <c r="AL238" s="37"/>
    </row>
    <row r="239" spans="1:38" ht="14.25" customHeight="1" x14ac:dyDescent="0.3">
      <c r="A239" s="34"/>
      <c r="B239" s="16"/>
      <c r="C239" s="15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6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5"/>
      <c r="AI239" s="16"/>
      <c r="AJ239" s="16"/>
      <c r="AK239" s="16"/>
      <c r="AL239" s="37"/>
    </row>
    <row r="240" spans="1:38" ht="14.25" customHeight="1" x14ac:dyDescent="0.3">
      <c r="A240" s="34"/>
      <c r="B240" s="16"/>
      <c r="C240" s="15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6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5"/>
      <c r="AI240" s="16"/>
      <c r="AJ240" s="16"/>
      <c r="AK240" s="16"/>
      <c r="AL240" s="37"/>
    </row>
    <row r="241" spans="1:38" ht="14.25" customHeight="1" x14ac:dyDescent="0.3">
      <c r="A241" s="34"/>
      <c r="B241" s="16"/>
      <c r="C241" s="15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6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5"/>
      <c r="AI241" s="16"/>
      <c r="AJ241" s="16"/>
      <c r="AK241" s="16"/>
      <c r="AL241" s="37"/>
    </row>
    <row r="242" spans="1:38" ht="14.25" customHeight="1" x14ac:dyDescent="0.3">
      <c r="A242" s="34"/>
      <c r="B242" s="16"/>
      <c r="C242" s="15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6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5"/>
      <c r="AI242" s="16"/>
      <c r="AJ242" s="16"/>
      <c r="AK242" s="16"/>
      <c r="AL242" s="37"/>
    </row>
    <row r="243" spans="1:38" ht="14.25" customHeight="1" x14ac:dyDescent="0.3">
      <c r="A243" s="34"/>
      <c r="B243" s="16"/>
      <c r="C243" s="15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6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5"/>
      <c r="AI243" s="16"/>
      <c r="AJ243" s="16"/>
      <c r="AK243" s="16"/>
      <c r="AL243" s="37"/>
    </row>
    <row r="244" spans="1:38" ht="14.25" customHeight="1" x14ac:dyDescent="0.3">
      <c r="A244" s="34"/>
      <c r="B244" s="16"/>
      <c r="C244" s="15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6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5"/>
      <c r="AI244" s="16"/>
      <c r="AJ244" s="16"/>
      <c r="AK244" s="16"/>
      <c r="AL244" s="37"/>
    </row>
    <row r="245" spans="1:38" ht="14.25" customHeight="1" x14ac:dyDescent="0.3">
      <c r="A245" s="34"/>
      <c r="B245" s="16"/>
      <c r="C245" s="15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6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5"/>
      <c r="AI245" s="16"/>
      <c r="AJ245" s="16"/>
      <c r="AK245" s="16"/>
      <c r="AL245" s="37"/>
    </row>
    <row r="246" spans="1:38" ht="14.25" customHeight="1" x14ac:dyDescent="0.3">
      <c r="A246" s="34"/>
      <c r="B246" s="16"/>
      <c r="C246" s="15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6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5"/>
      <c r="AI246" s="16"/>
      <c r="AJ246" s="16"/>
      <c r="AK246" s="16"/>
      <c r="AL246" s="37"/>
    </row>
    <row r="247" spans="1:38" ht="14.25" customHeight="1" x14ac:dyDescent="0.3">
      <c r="A247" s="34"/>
      <c r="B247" s="16"/>
      <c r="C247" s="15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6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5"/>
      <c r="AI247" s="16"/>
      <c r="AJ247" s="16"/>
      <c r="AK247" s="16"/>
      <c r="AL247" s="37"/>
    </row>
    <row r="248" spans="1:38" ht="14.25" customHeight="1" x14ac:dyDescent="0.3">
      <c r="A248" s="34"/>
      <c r="B248" s="16"/>
      <c r="C248" s="15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6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5"/>
      <c r="AI248" s="16"/>
      <c r="AJ248" s="16"/>
      <c r="AK248" s="16"/>
      <c r="AL248" s="37"/>
    </row>
    <row r="249" spans="1:38" ht="14.25" customHeight="1" x14ac:dyDescent="0.3">
      <c r="A249" s="34"/>
      <c r="B249" s="16"/>
      <c r="C249" s="15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6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5"/>
      <c r="AI249" s="16"/>
      <c r="AJ249" s="16"/>
      <c r="AK249" s="16"/>
      <c r="AL249" s="37"/>
    </row>
    <row r="250" spans="1:38" ht="14.25" customHeight="1" x14ac:dyDescent="0.3">
      <c r="A250" s="34"/>
      <c r="B250" s="16"/>
      <c r="C250" s="15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6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5"/>
      <c r="AI250" s="16"/>
      <c r="AJ250" s="16"/>
      <c r="AK250" s="16"/>
      <c r="AL250" s="37"/>
    </row>
    <row r="251" spans="1:38" ht="14.25" customHeight="1" x14ac:dyDescent="0.3">
      <c r="A251" s="34"/>
      <c r="B251" s="16"/>
      <c r="C251" s="15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6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5"/>
      <c r="AI251" s="16"/>
      <c r="AJ251" s="16"/>
      <c r="AK251" s="16"/>
      <c r="AL251" s="37"/>
    </row>
    <row r="252" spans="1:38" ht="14.25" customHeight="1" x14ac:dyDescent="0.3">
      <c r="A252" s="34"/>
      <c r="B252" s="16"/>
      <c r="C252" s="15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6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5"/>
      <c r="AI252" s="16"/>
      <c r="AJ252" s="16"/>
      <c r="AK252" s="16"/>
      <c r="AL252" s="37"/>
    </row>
    <row r="253" spans="1:38" ht="14.25" customHeight="1" x14ac:dyDescent="0.3">
      <c r="A253" s="34"/>
      <c r="B253" s="16"/>
      <c r="C253" s="15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6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5"/>
      <c r="AI253" s="16"/>
      <c r="AJ253" s="16"/>
      <c r="AK253" s="16"/>
      <c r="AL253" s="37"/>
    </row>
    <row r="254" spans="1:38" ht="14.25" customHeight="1" x14ac:dyDescent="0.3">
      <c r="A254" s="34"/>
      <c r="B254" s="16"/>
      <c r="C254" s="15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6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5"/>
      <c r="AI254" s="16"/>
      <c r="AJ254" s="16"/>
      <c r="AK254" s="16"/>
      <c r="AL254" s="37"/>
    </row>
    <row r="255" spans="1:38" ht="14.25" customHeight="1" x14ac:dyDescent="0.3">
      <c r="A255" s="34"/>
      <c r="B255" s="16"/>
      <c r="C255" s="15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6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5"/>
      <c r="AI255" s="16"/>
      <c r="AJ255" s="16"/>
      <c r="AK255" s="16"/>
      <c r="AL255" s="37"/>
    </row>
    <row r="256" spans="1:38" ht="14.25" customHeight="1" x14ac:dyDescent="0.3">
      <c r="A256" s="34"/>
      <c r="B256" s="16"/>
      <c r="C256" s="15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6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5"/>
      <c r="AI256" s="16"/>
      <c r="AJ256" s="16"/>
      <c r="AK256" s="16"/>
      <c r="AL256" s="37"/>
    </row>
    <row r="257" spans="1:38" ht="14.25" customHeight="1" x14ac:dyDescent="0.3">
      <c r="A257" s="34"/>
      <c r="B257" s="16"/>
      <c r="C257" s="15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6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5"/>
      <c r="AI257" s="16"/>
      <c r="AJ257" s="16"/>
      <c r="AK257" s="16"/>
      <c r="AL257" s="37"/>
    </row>
    <row r="258" spans="1:38" ht="14.25" customHeight="1" x14ac:dyDescent="0.3">
      <c r="A258" s="34"/>
      <c r="B258" s="16"/>
      <c r="C258" s="15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6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5"/>
      <c r="AI258" s="16"/>
      <c r="AJ258" s="16"/>
      <c r="AK258" s="16"/>
      <c r="AL258" s="37"/>
    </row>
    <row r="259" spans="1:38" ht="14.25" customHeight="1" x14ac:dyDescent="0.3">
      <c r="A259" s="34"/>
      <c r="B259" s="16"/>
      <c r="C259" s="15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6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5"/>
      <c r="AI259" s="16"/>
      <c r="AJ259" s="16"/>
      <c r="AK259" s="16"/>
      <c r="AL259" s="37"/>
    </row>
    <row r="260" spans="1:38" ht="14.25" customHeight="1" x14ac:dyDescent="0.3">
      <c r="A260" s="34"/>
      <c r="B260" s="16"/>
      <c r="C260" s="15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6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5"/>
      <c r="AI260" s="16"/>
      <c r="AJ260" s="16"/>
      <c r="AK260" s="16"/>
      <c r="AL260" s="37"/>
    </row>
    <row r="261" spans="1:38" ht="14.25" customHeight="1" x14ac:dyDescent="0.3">
      <c r="A261" s="34"/>
      <c r="B261" s="16"/>
      <c r="C261" s="15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6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5"/>
      <c r="AI261" s="16"/>
      <c r="AJ261" s="16"/>
      <c r="AK261" s="16"/>
      <c r="AL261" s="37"/>
    </row>
    <row r="262" spans="1:38" ht="14.25" customHeight="1" x14ac:dyDescent="0.3">
      <c r="A262" s="34"/>
      <c r="B262" s="16"/>
      <c r="C262" s="15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6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5"/>
      <c r="AI262" s="16"/>
      <c r="AJ262" s="16"/>
      <c r="AK262" s="16"/>
      <c r="AL262" s="37"/>
    </row>
    <row r="263" spans="1:38" ht="14.25" customHeight="1" x14ac:dyDescent="0.3">
      <c r="A263" s="34"/>
      <c r="B263" s="16"/>
      <c r="C263" s="15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6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5"/>
      <c r="AI263" s="16"/>
      <c r="AJ263" s="16"/>
      <c r="AK263" s="16"/>
      <c r="AL263" s="37"/>
    </row>
    <row r="264" spans="1:38" ht="14.25" customHeight="1" x14ac:dyDescent="0.3">
      <c r="A264" s="34"/>
      <c r="B264" s="16"/>
      <c r="C264" s="15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6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5"/>
      <c r="AI264" s="16"/>
      <c r="AJ264" s="16"/>
      <c r="AK264" s="16"/>
      <c r="AL264" s="37"/>
    </row>
    <row r="265" spans="1:38" ht="14.25" customHeight="1" x14ac:dyDescent="0.3">
      <c r="A265" s="34"/>
      <c r="B265" s="16"/>
      <c r="C265" s="15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6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5"/>
      <c r="AI265" s="16"/>
      <c r="AJ265" s="16"/>
      <c r="AK265" s="16"/>
      <c r="AL265" s="37"/>
    </row>
    <row r="266" spans="1:38" ht="14.25" customHeight="1" x14ac:dyDescent="0.3">
      <c r="A266" s="34"/>
      <c r="B266" s="16"/>
      <c r="C266" s="15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6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5"/>
      <c r="AI266" s="16"/>
      <c r="AJ266" s="16"/>
      <c r="AK266" s="16"/>
      <c r="AL266" s="37"/>
    </row>
    <row r="267" spans="1:38" ht="14.25" customHeight="1" x14ac:dyDescent="0.3">
      <c r="A267" s="34"/>
      <c r="B267" s="16"/>
      <c r="C267" s="15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6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5"/>
      <c r="AI267" s="16"/>
      <c r="AJ267" s="16"/>
      <c r="AK267" s="16"/>
      <c r="AL267" s="37"/>
    </row>
    <row r="268" spans="1:38" ht="14.25" customHeight="1" x14ac:dyDescent="0.3">
      <c r="A268" s="34"/>
      <c r="B268" s="16"/>
      <c r="C268" s="15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6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5"/>
      <c r="AI268" s="16"/>
      <c r="AJ268" s="16"/>
      <c r="AK268" s="16"/>
      <c r="AL268" s="37"/>
    </row>
    <row r="269" spans="1:38" ht="14.25" customHeight="1" x14ac:dyDescent="0.3">
      <c r="A269" s="34"/>
      <c r="B269" s="16"/>
      <c r="C269" s="15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6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5"/>
      <c r="AI269" s="16"/>
      <c r="AJ269" s="16"/>
      <c r="AK269" s="16"/>
      <c r="AL269" s="37"/>
    </row>
    <row r="270" spans="1:38" ht="14.25" customHeight="1" x14ac:dyDescent="0.3">
      <c r="A270" s="34"/>
      <c r="B270" s="16"/>
      <c r="C270" s="15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6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5"/>
      <c r="AI270" s="16"/>
      <c r="AJ270" s="16"/>
      <c r="AK270" s="16"/>
      <c r="AL270" s="37"/>
    </row>
    <row r="271" spans="1:38" ht="14.25" customHeight="1" x14ac:dyDescent="0.3">
      <c r="A271" s="34"/>
      <c r="B271" s="16"/>
      <c r="C271" s="15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6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5"/>
      <c r="AI271" s="16"/>
      <c r="AJ271" s="16"/>
      <c r="AK271" s="16"/>
      <c r="AL271" s="37"/>
    </row>
    <row r="272" spans="1:38" ht="14.25" customHeight="1" x14ac:dyDescent="0.3">
      <c r="A272" s="34"/>
      <c r="B272" s="16"/>
      <c r="C272" s="15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6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5"/>
      <c r="AI272" s="16"/>
      <c r="AJ272" s="16"/>
      <c r="AK272" s="16"/>
      <c r="AL272" s="37"/>
    </row>
    <row r="273" spans="1:38" ht="14.25" customHeight="1" x14ac:dyDescent="0.3">
      <c r="A273" s="34"/>
      <c r="B273" s="16"/>
      <c r="C273" s="15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6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5"/>
      <c r="AI273" s="16"/>
      <c r="AJ273" s="16"/>
      <c r="AK273" s="16"/>
      <c r="AL273" s="37"/>
    </row>
    <row r="274" spans="1:38" ht="14.25" customHeight="1" x14ac:dyDescent="0.3">
      <c r="A274" s="34"/>
      <c r="B274" s="16"/>
      <c r="C274" s="15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6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5"/>
      <c r="AI274" s="16"/>
      <c r="AJ274" s="16"/>
      <c r="AK274" s="16"/>
      <c r="AL274" s="37"/>
    </row>
    <row r="275" spans="1:38" ht="14.25" customHeight="1" x14ac:dyDescent="0.3">
      <c r="A275" s="34"/>
      <c r="B275" s="16"/>
      <c r="C275" s="15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6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5"/>
      <c r="AI275" s="16"/>
      <c r="AJ275" s="16"/>
      <c r="AK275" s="16"/>
      <c r="AL275" s="37"/>
    </row>
    <row r="276" spans="1:38" ht="14.25" customHeight="1" x14ac:dyDescent="0.3">
      <c r="A276" s="34"/>
      <c r="B276" s="16"/>
      <c r="C276" s="15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6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5"/>
      <c r="AI276" s="16"/>
      <c r="AJ276" s="16"/>
      <c r="AK276" s="16"/>
      <c r="AL276" s="37"/>
    </row>
    <row r="277" spans="1:38" ht="14.25" customHeight="1" x14ac:dyDescent="0.3">
      <c r="A277" s="34"/>
      <c r="B277" s="16"/>
      <c r="C277" s="15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6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5"/>
      <c r="AI277" s="16"/>
      <c r="AJ277" s="16"/>
      <c r="AK277" s="16"/>
      <c r="AL277" s="37"/>
    </row>
    <row r="278" spans="1:38" ht="14.25" customHeight="1" x14ac:dyDescent="0.3">
      <c r="A278" s="34"/>
      <c r="B278" s="16"/>
      <c r="C278" s="15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6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5"/>
      <c r="AI278" s="16"/>
      <c r="AJ278" s="16"/>
      <c r="AK278" s="16"/>
      <c r="AL278" s="37"/>
    </row>
    <row r="279" spans="1:38" ht="14.25" customHeight="1" x14ac:dyDescent="0.3">
      <c r="A279" s="34"/>
      <c r="B279" s="16"/>
      <c r="C279" s="15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6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5"/>
      <c r="AI279" s="16"/>
      <c r="AJ279" s="16"/>
      <c r="AK279" s="16"/>
      <c r="AL279" s="37"/>
    </row>
    <row r="280" spans="1:38" ht="14.25" customHeight="1" x14ac:dyDescent="0.3">
      <c r="A280" s="34"/>
      <c r="B280" s="16"/>
      <c r="C280" s="15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6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5"/>
      <c r="AI280" s="16"/>
      <c r="AJ280" s="16"/>
      <c r="AK280" s="16"/>
      <c r="AL280" s="37"/>
    </row>
    <row r="281" spans="1:38" ht="14.25" customHeight="1" x14ac:dyDescent="0.3">
      <c r="A281" s="34"/>
      <c r="B281" s="16"/>
      <c r="C281" s="15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6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5"/>
      <c r="AI281" s="16"/>
      <c r="AJ281" s="16"/>
      <c r="AK281" s="16"/>
      <c r="AL281" s="37"/>
    </row>
    <row r="282" spans="1:38" ht="14.25" customHeight="1" x14ac:dyDescent="0.3">
      <c r="A282" s="34"/>
      <c r="B282" s="16"/>
      <c r="C282" s="15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6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5"/>
      <c r="AI282" s="16"/>
      <c r="AJ282" s="16"/>
      <c r="AK282" s="16"/>
      <c r="AL282" s="37"/>
    </row>
    <row r="283" spans="1:38" ht="14.25" customHeight="1" x14ac:dyDescent="0.3">
      <c r="A283" s="34"/>
      <c r="B283" s="16"/>
      <c r="C283" s="15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6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5"/>
      <c r="AI283" s="16"/>
      <c r="AJ283" s="16"/>
      <c r="AK283" s="16"/>
      <c r="AL283" s="37"/>
    </row>
    <row r="284" spans="1:38" ht="14.25" customHeight="1" x14ac:dyDescent="0.3">
      <c r="A284" s="34"/>
      <c r="B284" s="16"/>
      <c r="C284" s="15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6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5"/>
      <c r="AI284" s="16"/>
      <c r="AJ284" s="16"/>
      <c r="AK284" s="16"/>
      <c r="AL284" s="37"/>
    </row>
    <row r="285" spans="1:38" ht="14.25" customHeight="1" x14ac:dyDescent="0.3">
      <c r="A285" s="34"/>
      <c r="B285" s="16"/>
      <c r="C285" s="15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6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5"/>
      <c r="AI285" s="16"/>
      <c r="AJ285" s="16"/>
      <c r="AK285" s="16"/>
      <c r="AL285" s="37"/>
    </row>
    <row r="286" spans="1:38" ht="14.25" customHeight="1" x14ac:dyDescent="0.3">
      <c r="A286" s="34"/>
      <c r="B286" s="16"/>
      <c r="C286" s="15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6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5"/>
      <c r="AI286" s="16"/>
      <c r="AJ286" s="16"/>
      <c r="AK286" s="16"/>
      <c r="AL286" s="37"/>
    </row>
    <row r="287" spans="1:38" ht="14.25" customHeight="1" x14ac:dyDescent="0.3">
      <c r="A287" s="34"/>
      <c r="B287" s="16"/>
      <c r="C287" s="15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6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5"/>
      <c r="AI287" s="16"/>
      <c r="AJ287" s="16"/>
      <c r="AK287" s="16"/>
      <c r="AL287" s="37"/>
    </row>
    <row r="288" spans="1:38" ht="14.25" customHeight="1" x14ac:dyDescent="0.3">
      <c r="A288" s="34"/>
      <c r="B288" s="16"/>
      <c r="C288" s="15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6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5"/>
      <c r="AI288" s="16"/>
      <c r="AJ288" s="16"/>
      <c r="AK288" s="16"/>
      <c r="AL288" s="37"/>
    </row>
    <row r="289" spans="1:38" ht="14.25" customHeight="1" x14ac:dyDescent="0.3">
      <c r="A289" s="34"/>
      <c r="B289" s="16"/>
      <c r="C289" s="15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6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5"/>
      <c r="AI289" s="16"/>
      <c r="AJ289" s="16"/>
      <c r="AK289" s="16"/>
      <c r="AL289" s="37"/>
    </row>
    <row r="290" spans="1:38" ht="14.25" customHeight="1" x14ac:dyDescent="0.3">
      <c r="A290" s="34"/>
      <c r="B290" s="16"/>
      <c r="C290" s="15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6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5"/>
      <c r="AI290" s="16"/>
      <c r="AJ290" s="16"/>
      <c r="AK290" s="16"/>
      <c r="AL290" s="37"/>
    </row>
    <row r="291" spans="1:38" ht="14.25" customHeight="1" x14ac:dyDescent="0.3">
      <c r="A291" s="34"/>
      <c r="B291" s="16"/>
      <c r="C291" s="15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6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5"/>
      <c r="AI291" s="16"/>
      <c r="AJ291" s="16"/>
      <c r="AK291" s="16"/>
      <c r="AL291" s="37"/>
    </row>
    <row r="292" spans="1:38" ht="14.25" customHeight="1" x14ac:dyDescent="0.3">
      <c r="A292" s="34"/>
      <c r="B292" s="16"/>
      <c r="C292" s="15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6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5"/>
      <c r="AI292" s="16"/>
      <c r="AJ292" s="16"/>
      <c r="AK292" s="16"/>
      <c r="AL292" s="37"/>
    </row>
    <row r="293" spans="1:38" ht="14.25" customHeight="1" x14ac:dyDescent="0.3">
      <c r="A293" s="34"/>
      <c r="B293" s="16"/>
      <c r="C293" s="15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6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5"/>
      <c r="AI293" s="16"/>
      <c r="AJ293" s="16"/>
      <c r="AK293" s="16"/>
      <c r="AL293" s="37"/>
    </row>
    <row r="294" spans="1:38" ht="14.25" customHeight="1" x14ac:dyDescent="0.3">
      <c r="A294" s="34"/>
      <c r="B294" s="16"/>
      <c r="C294" s="15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6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5"/>
      <c r="AI294" s="16"/>
      <c r="AJ294" s="16"/>
      <c r="AK294" s="16"/>
      <c r="AL294" s="37"/>
    </row>
    <row r="295" spans="1:38" ht="14.25" customHeight="1" x14ac:dyDescent="0.3">
      <c r="A295" s="34"/>
      <c r="B295" s="16"/>
      <c r="C295" s="15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6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5"/>
      <c r="AI295" s="16"/>
      <c r="AJ295" s="16"/>
      <c r="AK295" s="16"/>
      <c r="AL295" s="37"/>
    </row>
    <row r="296" spans="1:38" ht="14.25" customHeight="1" x14ac:dyDescent="0.3">
      <c r="A296" s="34"/>
      <c r="B296" s="16"/>
      <c r="C296" s="15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6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5"/>
      <c r="AI296" s="16"/>
      <c r="AJ296" s="16"/>
      <c r="AK296" s="16"/>
      <c r="AL296" s="37"/>
    </row>
    <row r="297" spans="1:38" ht="14.25" customHeight="1" x14ac:dyDescent="0.3">
      <c r="A297" s="34"/>
      <c r="B297" s="16"/>
      <c r="C297" s="15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6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5"/>
      <c r="AI297" s="16"/>
      <c r="AJ297" s="16"/>
      <c r="AK297" s="16"/>
      <c r="AL297" s="37"/>
    </row>
    <row r="298" spans="1:38" ht="14.25" customHeight="1" x14ac:dyDescent="0.3">
      <c r="A298" s="34"/>
      <c r="B298" s="16"/>
      <c r="C298" s="15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6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5"/>
      <c r="AI298" s="16"/>
      <c r="AJ298" s="16"/>
      <c r="AK298" s="16"/>
      <c r="AL298" s="37"/>
    </row>
    <row r="299" spans="1:38" ht="14.25" customHeight="1" x14ac:dyDescent="0.3">
      <c r="A299" s="34"/>
      <c r="B299" s="16"/>
      <c r="C299" s="15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6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5"/>
      <c r="AI299" s="16"/>
      <c r="AJ299" s="16"/>
      <c r="AK299" s="16"/>
      <c r="AL299" s="37"/>
    </row>
    <row r="300" spans="1:38" ht="14.25" customHeight="1" x14ac:dyDescent="0.3">
      <c r="A300" s="34"/>
      <c r="B300" s="16"/>
      <c r="C300" s="15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6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5"/>
      <c r="AI300" s="16"/>
      <c r="AJ300" s="16"/>
      <c r="AK300" s="16"/>
      <c r="AL300" s="37"/>
    </row>
    <row r="301" spans="1:38" ht="14.25" customHeight="1" x14ac:dyDescent="0.3">
      <c r="A301" s="34"/>
      <c r="B301" s="16"/>
      <c r="C301" s="15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6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5"/>
      <c r="AI301" s="16"/>
      <c r="AJ301" s="16"/>
      <c r="AK301" s="16"/>
      <c r="AL301" s="37"/>
    </row>
    <row r="302" spans="1:38" ht="14.25" customHeight="1" x14ac:dyDescent="0.3">
      <c r="A302" s="34"/>
      <c r="B302" s="16"/>
      <c r="C302" s="15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6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5"/>
      <c r="AI302" s="16"/>
      <c r="AJ302" s="16"/>
      <c r="AK302" s="16"/>
      <c r="AL302" s="37"/>
    </row>
    <row r="303" spans="1:38" ht="14.25" customHeight="1" x14ac:dyDescent="0.3">
      <c r="A303" s="34"/>
      <c r="B303" s="16"/>
      <c r="C303" s="15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6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5"/>
      <c r="AI303" s="16"/>
      <c r="AJ303" s="16"/>
      <c r="AK303" s="16"/>
      <c r="AL303" s="37"/>
    </row>
    <row r="304" spans="1:38" ht="14.25" customHeight="1" x14ac:dyDescent="0.3">
      <c r="A304" s="34"/>
      <c r="B304" s="16"/>
      <c r="C304" s="15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6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5"/>
      <c r="AI304" s="16"/>
      <c r="AJ304" s="16"/>
      <c r="AK304" s="16"/>
      <c r="AL304" s="37"/>
    </row>
    <row r="305" spans="1:38" ht="14.25" customHeight="1" x14ac:dyDescent="0.3">
      <c r="A305" s="34"/>
      <c r="B305" s="16"/>
      <c r="C305" s="15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6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5"/>
      <c r="AI305" s="16"/>
      <c r="AJ305" s="16"/>
      <c r="AK305" s="16"/>
      <c r="AL305" s="37"/>
    </row>
    <row r="306" spans="1:38" ht="14.25" customHeight="1" x14ac:dyDescent="0.3">
      <c r="A306" s="34"/>
      <c r="B306" s="16"/>
      <c r="C306" s="15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6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5"/>
      <c r="AI306" s="16"/>
      <c r="AJ306" s="16"/>
      <c r="AK306" s="16"/>
      <c r="AL306" s="37"/>
    </row>
    <row r="307" spans="1:38" ht="14.25" customHeight="1" x14ac:dyDescent="0.3">
      <c r="A307" s="34"/>
      <c r="B307" s="16"/>
      <c r="C307" s="15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6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5"/>
      <c r="AI307" s="16"/>
      <c r="AJ307" s="16"/>
      <c r="AK307" s="16"/>
      <c r="AL307" s="37"/>
    </row>
    <row r="308" spans="1:38" ht="14.25" customHeight="1" x14ac:dyDescent="0.3">
      <c r="A308" s="34"/>
      <c r="B308" s="16"/>
      <c r="C308" s="15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6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5"/>
      <c r="AI308" s="16"/>
      <c r="AJ308" s="16"/>
      <c r="AK308" s="16"/>
      <c r="AL308" s="37"/>
    </row>
    <row r="309" spans="1:38" ht="14.25" customHeight="1" x14ac:dyDescent="0.3">
      <c r="A309" s="34"/>
      <c r="B309" s="16"/>
      <c r="C309" s="15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6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5"/>
      <c r="AI309" s="16"/>
      <c r="AJ309" s="16"/>
      <c r="AK309" s="16"/>
      <c r="AL309" s="37"/>
    </row>
    <row r="310" spans="1:38" ht="14.25" customHeight="1" x14ac:dyDescent="0.3">
      <c r="A310" s="34"/>
      <c r="B310" s="16"/>
      <c r="C310" s="15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6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5"/>
      <c r="AI310" s="16"/>
      <c r="AJ310" s="16"/>
      <c r="AK310" s="16"/>
      <c r="AL310" s="37"/>
    </row>
    <row r="311" spans="1:38" ht="14.25" customHeight="1" x14ac:dyDescent="0.3">
      <c r="A311" s="34"/>
      <c r="B311" s="16"/>
      <c r="C311" s="15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6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5"/>
      <c r="AI311" s="16"/>
      <c r="AJ311" s="16"/>
      <c r="AK311" s="16"/>
      <c r="AL311" s="37"/>
    </row>
    <row r="312" spans="1:38" ht="14.25" customHeight="1" x14ac:dyDescent="0.3">
      <c r="A312" s="34"/>
      <c r="B312" s="16"/>
      <c r="C312" s="15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6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5"/>
      <c r="AI312" s="16"/>
      <c r="AJ312" s="16"/>
      <c r="AK312" s="16"/>
      <c r="AL312" s="37"/>
    </row>
    <row r="313" spans="1:38" ht="14.25" customHeight="1" x14ac:dyDescent="0.3">
      <c r="A313" s="34"/>
      <c r="B313" s="16"/>
      <c r="C313" s="15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6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5"/>
      <c r="AI313" s="16"/>
      <c r="AJ313" s="16"/>
      <c r="AK313" s="16"/>
      <c r="AL313" s="37"/>
    </row>
    <row r="314" spans="1:38" ht="14.25" customHeight="1" x14ac:dyDescent="0.3">
      <c r="A314" s="34"/>
      <c r="B314" s="16"/>
      <c r="C314" s="15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6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5"/>
      <c r="AI314" s="16"/>
      <c r="AJ314" s="16"/>
      <c r="AK314" s="16"/>
      <c r="AL314" s="37"/>
    </row>
    <row r="315" spans="1:38" ht="14.25" customHeight="1" x14ac:dyDescent="0.3">
      <c r="A315" s="34"/>
      <c r="B315" s="16"/>
      <c r="C315" s="15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6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5"/>
      <c r="AI315" s="16"/>
      <c r="AJ315" s="16"/>
      <c r="AK315" s="16"/>
      <c r="AL315" s="37"/>
    </row>
    <row r="316" spans="1:38" ht="14.25" customHeight="1" x14ac:dyDescent="0.3">
      <c r="A316" s="34"/>
      <c r="B316" s="16"/>
      <c r="C316" s="15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6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5"/>
      <c r="AI316" s="16"/>
      <c r="AJ316" s="16"/>
      <c r="AK316" s="16"/>
      <c r="AL316" s="37"/>
    </row>
    <row r="317" spans="1:38" ht="14.25" customHeight="1" x14ac:dyDescent="0.3">
      <c r="A317" s="34"/>
      <c r="B317" s="16"/>
      <c r="C317" s="15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6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5"/>
      <c r="AI317" s="16"/>
      <c r="AJ317" s="16"/>
      <c r="AK317" s="16"/>
      <c r="AL317" s="37"/>
    </row>
    <row r="318" spans="1:38" ht="14.25" customHeight="1" x14ac:dyDescent="0.3">
      <c r="A318" s="34"/>
      <c r="B318" s="16"/>
      <c r="C318" s="15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6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5"/>
      <c r="AI318" s="16"/>
      <c r="AJ318" s="16"/>
      <c r="AK318" s="16"/>
      <c r="AL318" s="37"/>
    </row>
    <row r="319" spans="1:38" ht="14.25" customHeight="1" x14ac:dyDescent="0.3">
      <c r="A319" s="34"/>
      <c r="B319" s="16"/>
      <c r="C319" s="15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6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5"/>
      <c r="AI319" s="16"/>
      <c r="AJ319" s="16"/>
      <c r="AK319" s="16"/>
      <c r="AL319" s="37"/>
    </row>
    <row r="320" spans="1:38" ht="14.25" customHeight="1" x14ac:dyDescent="0.3">
      <c r="A320" s="34"/>
      <c r="B320" s="16"/>
      <c r="C320" s="15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6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5"/>
      <c r="AI320" s="16"/>
      <c r="AJ320" s="16"/>
      <c r="AK320" s="16"/>
      <c r="AL320" s="37"/>
    </row>
    <row r="321" spans="1:38" ht="14.25" customHeight="1" x14ac:dyDescent="0.3">
      <c r="A321" s="34"/>
      <c r="B321" s="16"/>
      <c r="C321" s="15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6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5"/>
      <c r="AI321" s="16"/>
      <c r="AJ321" s="16"/>
      <c r="AK321" s="16"/>
      <c r="AL321" s="37"/>
    </row>
    <row r="322" spans="1:38" ht="14.25" customHeight="1" x14ac:dyDescent="0.3">
      <c r="A322" s="34"/>
      <c r="B322" s="16"/>
      <c r="C322" s="15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6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5"/>
      <c r="AI322" s="16"/>
      <c r="AJ322" s="16"/>
      <c r="AK322" s="16"/>
      <c r="AL322" s="37"/>
    </row>
    <row r="323" spans="1:38" ht="14.25" customHeight="1" x14ac:dyDescent="0.3">
      <c r="A323" s="34"/>
      <c r="B323" s="16"/>
      <c r="C323" s="15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6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5"/>
      <c r="AI323" s="16"/>
      <c r="AJ323" s="16"/>
      <c r="AK323" s="16"/>
      <c r="AL323" s="37"/>
    </row>
    <row r="324" spans="1:38" ht="14.25" customHeight="1" x14ac:dyDescent="0.3">
      <c r="A324" s="34"/>
      <c r="B324" s="16"/>
      <c r="C324" s="15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6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5"/>
      <c r="AI324" s="16"/>
      <c r="AJ324" s="16"/>
      <c r="AK324" s="16"/>
      <c r="AL324" s="37"/>
    </row>
    <row r="325" spans="1:38" ht="14.25" customHeight="1" x14ac:dyDescent="0.3">
      <c r="A325" s="34"/>
      <c r="B325" s="16"/>
      <c r="C325" s="15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6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5"/>
      <c r="AI325" s="16"/>
      <c r="AJ325" s="16"/>
      <c r="AK325" s="16"/>
      <c r="AL325" s="37"/>
    </row>
    <row r="326" spans="1:38" ht="14.25" customHeight="1" x14ac:dyDescent="0.3">
      <c r="A326" s="34"/>
      <c r="B326" s="16"/>
      <c r="C326" s="15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6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5"/>
      <c r="AI326" s="16"/>
      <c r="AJ326" s="16"/>
      <c r="AK326" s="16"/>
      <c r="AL326" s="37"/>
    </row>
    <row r="327" spans="1:38" ht="14.25" customHeight="1" x14ac:dyDescent="0.3">
      <c r="A327" s="34"/>
      <c r="B327" s="16"/>
      <c r="C327" s="15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6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5"/>
      <c r="AI327" s="16"/>
      <c r="AJ327" s="16"/>
      <c r="AK327" s="16"/>
      <c r="AL327" s="37"/>
    </row>
    <row r="328" spans="1:38" ht="14.25" customHeight="1" x14ac:dyDescent="0.3">
      <c r="A328" s="34"/>
      <c r="B328" s="16"/>
      <c r="C328" s="15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6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5"/>
      <c r="AI328" s="16"/>
      <c r="AJ328" s="16"/>
      <c r="AK328" s="16"/>
      <c r="AL328" s="37"/>
    </row>
    <row r="329" spans="1:38" ht="14.25" customHeight="1" x14ac:dyDescent="0.3">
      <c r="A329" s="34"/>
      <c r="B329" s="16"/>
      <c r="C329" s="15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6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5"/>
      <c r="AI329" s="16"/>
      <c r="AJ329" s="16"/>
      <c r="AK329" s="16"/>
      <c r="AL329" s="37"/>
    </row>
    <row r="330" spans="1:38" ht="14.25" customHeight="1" x14ac:dyDescent="0.3">
      <c r="A330" s="34"/>
      <c r="B330" s="16"/>
      <c r="C330" s="15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6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5"/>
      <c r="AI330" s="16"/>
      <c r="AJ330" s="16"/>
      <c r="AK330" s="16"/>
      <c r="AL330" s="37"/>
    </row>
    <row r="331" spans="1:38" ht="14.25" customHeight="1" x14ac:dyDescent="0.3">
      <c r="A331" s="34"/>
      <c r="B331" s="16"/>
      <c r="C331" s="15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6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5"/>
      <c r="AI331" s="16"/>
      <c r="AJ331" s="16"/>
      <c r="AK331" s="16"/>
      <c r="AL331" s="37"/>
    </row>
    <row r="332" spans="1:38" ht="14.25" customHeight="1" x14ac:dyDescent="0.3">
      <c r="A332" s="34"/>
      <c r="B332" s="16"/>
      <c r="C332" s="15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6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5"/>
      <c r="AI332" s="16"/>
      <c r="AJ332" s="16"/>
      <c r="AK332" s="16"/>
      <c r="AL332" s="37"/>
    </row>
    <row r="333" spans="1:38" ht="14.25" customHeight="1" x14ac:dyDescent="0.3">
      <c r="A333" s="34"/>
      <c r="B333" s="16"/>
      <c r="C333" s="15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6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5"/>
      <c r="AI333" s="16"/>
      <c r="AJ333" s="16"/>
      <c r="AK333" s="16"/>
      <c r="AL333" s="37"/>
    </row>
    <row r="334" spans="1:38" ht="14.25" customHeight="1" x14ac:dyDescent="0.3">
      <c r="A334" s="34"/>
      <c r="B334" s="16"/>
      <c r="C334" s="15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6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5"/>
      <c r="AI334" s="16"/>
      <c r="AJ334" s="16"/>
      <c r="AK334" s="16"/>
      <c r="AL334" s="37"/>
    </row>
    <row r="335" spans="1:38" ht="14.25" customHeight="1" x14ac:dyDescent="0.3">
      <c r="A335" s="34"/>
      <c r="B335" s="16"/>
      <c r="C335" s="15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6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5"/>
      <c r="AI335" s="16"/>
      <c r="AJ335" s="16"/>
      <c r="AK335" s="16"/>
      <c r="AL335" s="37"/>
    </row>
    <row r="336" spans="1:38" ht="14.25" customHeight="1" x14ac:dyDescent="0.3">
      <c r="A336" s="34"/>
      <c r="B336" s="16"/>
      <c r="C336" s="15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6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5"/>
      <c r="AI336" s="16"/>
      <c r="AJ336" s="16"/>
      <c r="AK336" s="16"/>
      <c r="AL336" s="37"/>
    </row>
    <row r="337" spans="1:38" ht="14.25" customHeight="1" x14ac:dyDescent="0.3">
      <c r="A337" s="34"/>
      <c r="B337" s="16"/>
      <c r="C337" s="15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6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5"/>
      <c r="AI337" s="16"/>
      <c r="AJ337" s="16"/>
      <c r="AK337" s="16"/>
      <c r="AL337" s="37"/>
    </row>
    <row r="338" spans="1:38" ht="14.25" customHeight="1" x14ac:dyDescent="0.3">
      <c r="A338" s="34"/>
      <c r="B338" s="16"/>
      <c r="C338" s="15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6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5"/>
      <c r="AI338" s="16"/>
      <c r="AJ338" s="16"/>
      <c r="AK338" s="16"/>
      <c r="AL338" s="37"/>
    </row>
    <row r="339" spans="1:38" ht="14.25" customHeight="1" x14ac:dyDescent="0.3">
      <c r="A339" s="34"/>
      <c r="B339" s="16"/>
      <c r="C339" s="15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6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5"/>
      <c r="AI339" s="16"/>
      <c r="AJ339" s="16"/>
      <c r="AK339" s="16"/>
      <c r="AL339" s="37"/>
    </row>
    <row r="340" spans="1:38" ht="14.25" customHeight="1" x14ac:dyDescent="0.3">
      <c r="A340" s="34"/>
      <c r="B340" s="16"/>
      <c r="C340" s="15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6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5"/>
      <c r="AI340" s="16"/>
      <c r="AJ340" s="16"/>
      <c r="AK340" s="16"/>
      <c r="AL340" s="37"/>
    </row>
    <row r="341" spans="1:38" ht="14.25" customHeight="1" x14ac:dyDescent="0.3">
      <c r="A341" s="34"/>
      <c r="B341" s="16"/>
      <c r="C341" s="15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6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5"/>
      <c r="AI341" s="16"/>
      <c r="AJ341" s="16"/>
      <c r="AK341" s="16"/>
      <c r="AL341" s="37"/>
    </row>
    <row r="342" spans="1:38" ht="14.25" customHeight="1" x14ac:dyDescent="0.3">
      <c r="A342" s="34"/>
      <c r="B342" s="16"/>
      <c r="C342" s="15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6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5"/>
      <c r="AI342" s="16"/>
      <c r="AJ342" s="16"/>
      <c r="AK342" s="16"/>
      <c r="AL342" s="37"/>
    </row>
    <row r="343" spans="1:38" ht="14.25" customHeight="1" x14ac:dyDescent="0.3">
      <c r="A343" s="34"/>
      <c r="B343" s="16"/>
      <c r="C343" s="15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6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5"/>
      <c r="AI343" s="16"/>
      <c r="AJ343" s="16"/>
      <c r="AK343" s="16"/>
      <c r="AL343" s="37"/>
    </row>
    <row r="344" spans="1:38" ht="14.25" customHeight="1" x14ac:dyDescent="0.3">
      <c r="A344" s="34"/>
      <c r="B344" s="16"/>
      <c r="C344" s="15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6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5"/>
      <c r="AI344" s="16"/>
      <c r="AJ344" s="16"/>
      <c r="AK344" s="16"/>
      <c r="AL344" s="37"/>
    </row>
    <row r="345" spans="1:38" ht="14.25" customHeight="1" x14ac:dyDescent="0.3">
      <c r="A345" s="34"/>
      <c r="B345" s="16"/>
      <c r="C345" s="15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6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5"/>
      <c r="AI345" s="16"/>
      <c r="AJ345" s="16"/>
      <c r="AK345" s="16"/>
      <c r="AL345" s="37"/>
    </row>
    <row r="346" spans="1:38" ht="14.25" customHeight="1" x14ac:dyDescent="0.3">
      <c r="A346" s="34"/>
      <c r="B346" s="16"/>
      <c r="C346" s="15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6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5"/>
      <c r="AI346" s="16"/>
      <c r="AJ346" s="16"/>
      <c r="AK346" s="16"/>
      <c r="AL346" s="37"/>
    </row>
    <row r="347" spans="1:38" ht="14.25" customHeight="1" x14ac:dyDescent="0.3">
      <c r="A347" s="34"/>
      <c r="B347" s="16"/>
      <c r="C347" s="15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6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5"/>
      <c r="AI347" s="16"/>
      <c r="AJ347" s="16"/>
      <c r="AK347" s="16"/>
      <c r="AL347" s="37"/>
    </row>
    <row r="348" spans="1:38" ht="14.25" customHeight="1" x14ac:dyDescent="0.3">
      <c r="A348" s="34"/>
      <c r="B348" s="16"/>
      <c r="C348" s="15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6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5"/>
      <c r="AI348" s="16"/>
      <c r="AJ348" s="16"/>
      <c r="AK348" s="16"/>
      <c r="AL348" s="37"/>
    </row>
    <row r="349" spans="1:38" ht="14.25" customHeight="1" x14ac:dyDescent="0.3">
      <c r="A349" s="34"/>
      <c r="B349" s="16"/>
      <c r="C349" s="15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6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5"/>
      <c r="AI349" s="16"/>
      <c r="AJ349" s="16"/>
      <c r="AK349" s="16"/>
      <c r="AL349" s="37"/>
    </row>
    <row r="350" spans="1:38" ht="14.25" customHeight="1" x14ac:dyDescent="0.3">
      <c r="A350" s="34"/>
      <c r="B350" s="16"/>
      <c r="C350" s="15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6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5"/>
      <c r="AI350" s="16"/>
      <c r="AJ350" s="16"/>
      <c r="AK350" s="16"/>
      <c r="AL350" s="37"/>
    </row>
    <row r="351" spans="1:38" ht="14.25" customHeight="1" x14ac:dyDescent="0.3">
      <c r="A351" s="34"/>
      <c r="B351" s="16"/>
      <c r="C351" s="15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6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5"/>
      <c r="AI351" s="16"/>
      <c r="AJ351" s="16"/>
      <c r="AK351" s="16"/>
      <c r="AL351" s="37"/>
    </row>
    <row r="352" spans="1:38" ht="14.25" customHeight="1" x14ac:dyDescent="0.3">
      <c r="A352" s="34"/>
      <c r="B352" s="16"/>
      <c r="C352" s="15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6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5"/>
      <c r="AI352" s="16"/>
      <c r="AJ352" s="16"/>
      <c r="AK352" s="16"/>
      <c r="AL352" s="37"/>
    </row>
    <row r="353" spans="1:38" ht="14.25" customHeight="1" x14ac:dyDescent="0.3">
      <c r="A353" s="34"/>
      <c r="B353" s="16"/>
      <c r="C353" s="15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6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5"/>
      <c r="AI353" s="16"/>
      <c r="AJ353" s="16"/>
      <c r="AK353" s="16"/>
      <c r="AL353" s="37"/>
    </row>
    <row r="354" spans="1:38" ht="14.25" customHeight="1" x14ac:dyDescent="0.3">
      <c r="A354" s="34"/>
      <c r="B354" s="16"/>
      <c r="C354" s="15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6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5"/>
      <c r="AI354" s="16"/>
      <c r="AJ354" s="16"/>
      <c r="AK354" s="16"/>
      <c r="AL354" s="37"/>
    </row>
    <row r="355" spans="1:38" ht="14.25" customHeight="1" x14ac:dyDescent="0.3">
      <c r="A355" s="34"/>
      <c r="B355" s="16"/>
      <c r="C355" s="15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6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5"/>
      <c r="AI355" s="16"/>
      <c r="AJ355" s="16"/>
      <c r="AK355" s="16"/>
      <c r="AL355" s="37"/>
    </row>
    <row r="356" spans="1:38" ht="14.25" customHeight="1" x14ac:dyDescent="0.3">
      <c r="A356" s="34"/>
      <c r="B356" s="16"/>
      <c r="C356" s="15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6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5"/>
      <c r="AI356" s="16"/>
      <c r="AJ356" s="16"/>
      <c r="AK356" s="16"/>
      <c r="AL356" s="37"/>
    </row>
    <row r="357" spans="1:38" ht="14.25" customHeight="1" x14ac:dyDescent="0.3">
      <c r="A357" s="34"/>
      <c r="B357" s="16"/>
      <c r="C357" s="15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6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5"/>
      <c r="AI357" s="16"/>
      <c r="AJ357" s="16"/>
      <c r="AK357" s="16"/>
      <c r="AL357" s="37"/>
    </row>
    <row r="358" spans="1:38" ht="14.25" customHeight="1" x14ac:dyDescent="0.3">
      <c r="A358" s="34"/>
      <c r="B358" s="16"/>
      <c r="C358" s="15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6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5"/>
      <c r="AI358" s="16"/>
      <c r="AJ358" s="16"/>
      <c r="AK358" s="16"/>
      <c r="AL358" s="37"/>
    </row>
    <row r="359" spans="1:38" ht="14.25" customHeight="1" x14ac:dyDescent="0.3">
      <c r="A359" s="34"/>
      <c r="B359" s="16"/>
      <c r="C359" s="15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6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5"/>
      <c r="AI359" s="16"/>
      <c r="AJ359" s="16"/>
      <c r="AK359" s="16"/>
      <c r="AL359" s="37"/>
    </row>
    <row r="360" spans="1:38" ht="14.25" customHeight="1" x14ac:dyDescent="0.3">
      <c r="A360" s="34"/>
      <c r="B360" s="16"/>
      <c r="C360" s="15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6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5"/>
      <c r="AI360" s="16"/>
      <c r="AJ360" s="16"/>
      <c r="AK360" s="16"/>
      <c r="AL360" s="37"/>
    </row>
    <row r="361" spans="1:38" ht="14.25" customHeight="1" x14ac:dyDescent="0.3">
      <c r="A361" s="34"/>
      <c r="B361" s="16"/>
      <c r="C361" s="15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6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5"/>
      <c r="AI361" s="16"/>
      <c r="AJ361" s="16"/>
      <c r="AK361" s="16"/>
      <c r="AL361" s="37"/>
    </row>
    <row r="362" spans="1:38" ht="14.25" customHeight="1" x14ac:dyDescent="0.3">
      <c r="A362" s="34"/>
      <c r="B362" s="16"/>
      <c r="C362" s="15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6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5"/>
      <c r="AI362" s="16"/>
      <c r="AJ362" s="16"/>
      <c r="AK362" s="16"/>
      <c r="AL362" s="37"/>
    </row>
    <row r="363" spans="1:38" ht="14.25" customHeight="1" x14ac:dyDescent="0.3">
      <c r="A363" s="34"/>
      <c r="B363" s="16"/>
      <c r="C363" s="15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6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5"/>
      <c r="AI363" s="16"/>
      <c r="AJ363" s="16"/>
      <c r="AK363" s="16"/>
      <c r="AL363" s="37"/>
    </row>
    <row r="364" spans="1:38" ht="14.25" customHeight="1" x14ac:dyDescent="0.3">
      <c r="A364" s="34"/>
      <c r="B364" s="16"/>
      <c r="C364" s="15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6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5"/>
      <c r="AI364" s="16"/>
      <c r="AJ364" s="16"/>
      <c r="AK364" s="16"/>
      <c r="AL364" s="37"/>
    </row>
    <row r="365" spans="1:38" ht="14.25" customHeight="1" x14ac:dyDescent="0.3">
      <c r="A365" s="34"/>
      <c r="B365" s="16"/>
      <c r="C365" s="15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6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5"/>
      <c r="AI365" s="16"/>
      <c r="AJ365" s="16"/>
      <c r="AK365" s="16"/>
      <c r="AL365" s="37"/>
    </row>
    <row r="366" spans="1:38" ht="14.25" customHeight="1" x14ac:dyDescent="0.3">
      <c r="A366" s="34"/>
      <c r="B366" s="16"/>
      <c r="C366" s="15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6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5"/>
      <c r="AI366" s="16"/>
      <c r="AJ366" s="16"/>
      <c r="AK366" s="16"/>
      <c r="AL366" s="37"/>
    </row>
    <row r="367" spans="1:38" ht="14.25" customHeight="1" x14ac:dyDescent="0.3">
      <c r="A367" s="34"/>
      <c r="B367" s="16"/>
      <c r="C367" s="15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6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5"/>
      <c r="AI367" s="16"/>
      <c r="AJ367" s="16"/>
      <c r="AK367" s="16"/>
      <c r="AL367" s="37"/>
    </row>
    <row r="368" spans="1:38" ht="14.25" customHeight="1" x14ac:dyDescent="0.3">
      <c r="A368" s="34"/>
      <c r="B368" s="16"/>
      <c r="C368" s="15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6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5"/>
      <c r="AI368" s="16"/>
      <c r="AJ368" s="16"/>
      <c r="AK368" s="16"/>
      <c r="AL368" s="37"/>
    </row>
    <row r="369" spans="1:38" ht="14.25" customHeight="1" x14ac:dyDescent="0.3">
      <c r="A369" s="34"/>
      <c r="B369" s="16"/>
      <c r="C369" s="15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6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5"/>
      <c r="AI369" s="16"/>
      <c r="AJ369" s="16"/>
      <c r="AK369" s="16"/>
      <c r="AL369" s="37"/>
    </row>
    <row r="370" spans="1:38" ht="14.25" customHeight="1" x14ac:dyDescent="0.3">
      <c r="A370" s="34"/>
      <c r="B370" s="16"/>
      <c r="C370" s="15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6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5"/>
      <c r="AI370" s="16"/>
      <c r="AJ370" s="16"/>
      <c r="AK370" s="16"/>
      <c r="AL370" s="37"/>
    </row>
    <row r="371" spans="1:38" ht="14.25" customHeight="1" x14ac:dyDescent="0.3">
      <c r="A371" s="34"/>
      <c r="B371" s="16"/>
      <c r="C371" s="15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6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5"/>
      <c r="AI371" s="16"/>
      <c r="AJ371" s="16"/>
      <c r="AK371" s="16"/>
      <c r="AL371" s="37"/>
    </row>
    <row r="372" spans="1:38" ht="14.25" customHeight="1" x14ac:dyDescent="0.3">
      <c r="A372" s="34"/>
      <c r="B372" s="16"/>
      <c r="C372" s="15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6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5"/>
      <c r="AI372" s="16"/>
      <c r="AJ372" s="16"/>
      <c r="AK372" s="16"/>
      <c r="AL372" s="37"/>
    </row>
    <row r="373" spans="1:38" ht="14.25" customHeight="1" x14ac:dyDescent="0.3">
      <c r="A373" s="34"/>
      <c r="B373" s="16"/>
      <c r="C373" s="15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6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5"/>
      <c r="AI373" s="16"/>
      <c r="AJ373" s="16"/>
      <c r="AK373" s="16"/>
      <c r="AL373" s="37"/>
    </row>
    <row r="374" spans="1:38" ht="14.25" customHeight="1" x14ac:dyDescent="0.3">
      <c r="A374" s="34"/>
      <c r="B374" s="16"/>
      <c r="C374" s="15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6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5"/>
      <c r="AI374" s="16"/>
      <c r="AJ374" s="16"/>
      <c r="AK374" s="16"/>
      <c r="AL374" s="37"/>
    </row>
    <row r="375" spans="1:38" ht="14.25" customHeight="1" x14ac:dyDescent="0.3">
      <c r="A375" s="34"/>
      <c r="B375" s="16"/>
      <c r="C375" s="15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6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5"/>
      <c r="AI375" s="16"/>
      <c r="AJ375" s="16"/>
      <c r="AK375" s="16"/>
      <c r="AL375" s="37"/>
    </row>
    <row r="376" spans="1:38" ht="14.25" customHeight="1" x14ac:dyDescent="0.3">
      <c r="A376" s="34"/>
      <c r="B376" s="16"/>
      <c r="C376" s="15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6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5"/>
      <c r="AI376" s="16"/>
      <c r="AJ376" s="16"/>
      <c r="AK376" s="16"/>
      <c r="AL376" s="37"/>
    </row>
    <row r="377" spans="1:38" ht="14.25" customHeight="1" x14ac:dyDescent="0.3">
      <c r="A377" s="34"/>
      <c r="B377" s="16"/>
      <c r="C377" s="15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6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5"/>
      <c r="AI377" s="16"/>
      <c r="AJ377" s="16"/>
      <c r="AK377" s="16"/>
      <c r="AL377" s="37"/>
    </row>
    <row r="378" spans="1:38" ht="14.25" customHeight="1" x14ac:dyDescent="0.3">
      <c r="A378" s="34"/>
      <c r="B378" s="16"/>
      <c r="C378" s="15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6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5"/>
      <c r="AI378" s="16"/>
      <c r="AJ378" s="16"/>
      <c r="AK378" s="16"/>
      <c r="AL378" s="37"/>
    </row>
    <row r="379" spans="1:38" ht="14.25" customHeight="1" x14ac:dyDescent="0.3">
      <c r="A379" s="34"/>
      <c r="B379" s="16"/>
      <c r="C379" s="15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6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5"/>
      <c r="AI379" s="16"/>
      <c r="AJ379" s="16"/>
      <c r="AK379" s="16"/>
      <c r="AL379" s="37"/>
    </row>
    <row r="380" spans="1:38" ht="14.25" customHeight="1" x14ac:dyDescent="0.3">
      <c r="A380" s="34"/>
      <c r="B380" s="16"/>
      <c r="C380" s="15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6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5"/>
      <c r="AI380" s="16"/>
      <c r="AJ380" s="16"/>
      <c r="AK380" s="16"/>
      <c r="AL380" s="37"/>
    </row>
    <row r="381" spans="1:38" ht="14.25" customHeight="1" x14ac:dyDescent="0.3">
      <c r="A381" s="34"/>
      <c r="B381" s="16"/>
      <c r="C381" s="15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6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5"/>
      <c r="AI381" s="16"/>
      <c r="AJ381" s="16"/>
      <c r="AK381" s="16"/>
      <c r="AL381" s="37"/>
    </row>
    <row r="382" spans="1:38" ht="14.25" customHeight="1" x14ac:dyDescent="0.3">
      <c r="A382" s="34"/>
      <c r="B382" s="16"/>
      <c r="C382" s="15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6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5"/>
      <c r="AI382" s="16"/>
      <c r="AJ382" s="16"/>
      <c r="AK382" s="16"/>
      <c r="AL382" s="37"/>
    </row>
    <row r="383" spans="1:38" ht="14.25" customHeight="1" x14ac:dyDescent="0.3">
      <c r="A383" s="34"/>
      <c r="B383" s="16"/>
      <c r="C383" s="15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6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5"/>
      <c r="AI383" s="16"/>
      <c r="AJ383" s="16"/>
      <c r="AK383" s="16"/>
      <c r="AL383" s="37"/>
    </row>
    <row r="384" spans="1:38" ht="14.25" customHeight="1" x14ac:dyDescent="0.3">
      <c r="A384" s="34"/>
      <c r="B384" s="16"/>
      <c r="C384" s="15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6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5"/>
      <c r="AI384" s="16"/>
      <c r="AJ384" s="16"/>
      <c r="AK384" s="16"/>
      <c r="AL384" s="37"/>
    </row>
    <row r="385" spans="1:38" ht="14.25" customHeight="1" x14ac:dyDescent="0.3">
      <c r="A385" s="34"/>
      <c r="B385" s="16"/>
      <c r="C385" s="15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6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5"/>
      <c r="AI385" s="16"/>
      <c r="AJ385" s="16"/>
      <c r="AK385" s="16"/>
      <c r="AL385" s="37"/>
    </row>
    <row r="386" spans="1:38" ht="14.25" customHeight="1" x14ac:dyDescent="0.3">
      <c r="A386" s="34"/>
      <c r="B386" s="16"/>
      <c r="C386" s="15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6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5"/>
      <c r="AI386" s="16"/>
      <c r="AJ386" s="16"/>
      <c r="AK386" s="16"/>
      <c r="AL386" s="37"/>
    </row>
    <row r="387" spans="1:38" ht="14.25" customHeight="1" x14ac:dyDescent="0.3">
      <c r="A387" s="34"/>
      <c r="B387" s="16"/>
      <c r="C387" s="15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6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5"/>
      <c r="AI387" s="16"/>
      <c r="AJ387" s="16"/>
      <c r="AK387" s="16"/>
      <c r="AL387" s="37"/>
    </row>
    <row r="388" spans="1:38" ht="14.25" customHeight="1" x14ac:dyDescent="0.3">
      <c r="A388" s="34"/>
      <c r="B388" s="16"/>
      <c r="C388" s="15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6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5"/>
      <c r="AI388" s="16"/>
      <c r="AJ388" s="16"/>
      <c r="AK388" s="16"/>
      <c r="AL388" s="37"/>
    </row>
    <row r="389" spans="1:38" ht="14.25" customHeight="1" x14ac:dyDescent="0.3">
      <c r="A389" s="34"/>
      <c r="B389" s="16"/>
      <c r="C389" s="15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6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5"/>
      <c r="AI389" s="16"/>
      <c r="AJ389" s="16"/>
      <c r="AK389" s="16"/>
      <c r="AL389" s="37"/>
    </row>
    <row r="390" spans="1:38" ht="14.25" customHeight="1" x14ac:dyDescent="0.3">
      <c r="A390" s="34"/>
      <c r="B390" s="16"/>
      <c r="C390" s="15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6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5"/>
      <c r="AI390" s="16"/>
      <c r="AJ390" s="16"/>
      <c r="AK390" s="16"/>
      <c r="AL390" s="37"/>
    </row>
    <row r="391" spans="1:38" ht="14.25" customHeight="1" x14ac:dyDescent="0.3">
      <c r="A391" s="34"/>
      <c r="B391" s="16"/>
      <c r="C391" s="15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6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5"/>
      <c r="AI391" s="16"/>
      <c r="AJ391" s="16"/>
      <c r="AK391" s="16"/>
      <c r="AL391" s="37"/>
    </row>
    <row r="392" spans="1:38" ht="14.25" customHeight="1" x14ac:dyDescent="0.3">
      <c r="A392" s="34"/>
      <c r="B392" s="16"/>
      <c r="C392" s="15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6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5"/>
      <c r="AI392" s="16"/>
      <c r="AJ392" s="16"/>
      <c r="AK392" s="16"/>
      <c r="AL392" s="37"/>
    </row>
    <row r="393" spans="1:38" ht="14.25" customHeight="1" x14ac:dyDescent="0.3">
      <c r="A393" s="34"/>
      <c r="B393" s="16"/>
      <c r="C393" s="15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6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5"/>
      <c r="AI393" s="16"/>
      <c r="AJ393" s="16"/>
      <c r="AK393" s="16"/>
      <c r="AL393" s="37"/>
    </row>
    <row r="394" spans="1:38" ht="14.25" customHeight="1" x14ac:dyDescent="0.3">
      <c r="A394" s="34"/>
      <c r="B394" s="16"/>
      <c r="C394" s="15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6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5"/>
      <c r="AI394" s="16"/>
      <c r="AJ394" s="16"/>
      <c r="AK394" s="16"/>
      <c r="AL394" s="37"/>
    </row>
    <row r="395" spans="1:38" ht="14.25" customHeight="1" x14ac:dyDescent="0.3">
      <c r="A395" s="34"/>
      <c r="B395" s="16"/>
      <c r="C395" s="15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6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5"/>
      <c r="AI395" s="16"/>
      <c r="AJ395" s="16"/>
      <c r="AK395" s="16"/>
      <c r="AL395" s="37"/>
    </row>
    <row r="396" spans="1:38" ht="14.25" customHeight="1" x14ac:dyDescent="0.3">
      <c r="A396" s="34"/>
      <c r="B396" s="16"/>
      <c r="C396" s="15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6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5"/>
      <c r="AI396" s="16"/>
      <c r="AJ396" s="16"/>
      <c r="AK396" s="16"/>
      <c r="AL396" s="37"/>
    </row>
    <row r="397" spans="1:38" ht="14.25" customHeight="1" x14ac:dyDescent="0.3">
      <c r="A397" s="34"/>
      <c r="B397" s="16"/>
      <c r="C397" s="15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6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5"/>
      <c r="AI397" s="16"/>
      <c r="AJ397" s="16"/>
      <c r="AK397" s="16"/>
      <c r="AL397" s="37"/>
    </row>
    <row r="398" spans="1:38" ht="14.25" customHeight="1" x14ac:dyDescent="0.3">
      <c r="A398" s="34"/>
      <c r="B398" s="16"/>
      <c r="C398" s="15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6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5"/>
      <c r="AI398" s="16"/>
      <c r="AJ398" s="16"/>
      <c r="AK398" s="16"/>
      <c r="AL398" s="37"/>
    </row>
    <row r="399" spans="1:38" ht="14.25" customHeight="1" x14ac:dyDescent="0.3">
      <c r="A399" s="34"/>
      <c r="B399" s="16"/>
      <c r="C399" s="15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6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5"/>
      <c r="AI399" s="16"/>
      <c r="AJ399" s="16"/>
      <c r="AK399" s="16"/>
      <c r="AL399" s="37"/>
    </row>
    <row r="400" spans="1:38" ht="14.25" customHeight="1" x14ac:dyDescent="0.3">
      <c r="A400" s="34"/>
      <c r="B400" s="16"/>
      <c r="C400" s="15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6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5"/>
      <c r="AI400" s="16"/>
      <c r="AJ400" s="16"/>
      <c r="AK400" s="16"/>
      <c r="AL400" s="37"/>
    </row>
    <row r="401" spans="1:38" ht="14.25" customHeight="1" x14ac:dyDescent="0.3">
      <c r="A401" s="34"/>
      <c r="B401" s="16"/>
      <c r="C401" s="15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6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5"/>
      <c r="AI401" s="16"/>
      <c r="AJ401" s="16"/>
      <c r="AK401" s="16"/>
      <c r="AL401" s="37"/>
    </row>
    <row r="402" spans="1:38" ht="14.25" customHeight="1" x14ac:dyDescent="0.3">
      <c r="A402" s="34"/>
      <c r="B402" s="16"/>
      <c r="C402" s="15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6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5"/>
      <c r="AI402" s="16"/>
      <c r="AJ402" s="16"/>
      <c r="AK402" s="16"/>
      <c r="AL402" s="37"/>
    </row>
    <row r="403" spans="1:38" ht="14.25" customHeight="1" x14ac:dyDescent="0.3">
      <c r="A403" s="34"/>
      <c r="B403" s="16"/>
      <c r="C403" s="15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6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5"/>
      <c r="AI403" s="16"/>
      <c r="AJ403" s="16"/>
      <c r="AK403" s="16"/>
      <c r="AL403" s="37"/>
    </row>
    <row r="404" spans="1:38" ht="14.25" customHeight="1" x14ac:dyDescent="0.3">
      <c r="A404" s="34"/>
      <c r="B404" s="16"/>
      <c r="C404" s="15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6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5"/>
      <c r="AI404" s="16"/>
      <c r="AJ404" s="16"/>
      <c r="AK404" s="16"/>
      <c r="AL404" s="37"/>
    </row>
    <row r="405" spans="1:38" ht="14.25" customHeight="1" x14ac:dyDescent="0.3">
      <c r="A405" s="34"/>
      <c r="B405" s="16"/>
      <c r="C405" s="15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6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5"/>
      <c r="AI405" s="16"/>
      <c r="AJ405" s="16"/>
      <c r="AK405" s="16"/>
      <c r="AL405" s="37"/>
    </row>
    <row r="406" spans="1:38" ht="14.25" customHeight="1" x14ac:dyDescent="0.3">
      <c r="A406" s="34"/>
      <c r="B406" s="16"/>
      <c r="C406" s="15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6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5"/>
      <c r="AI406" s="16"/>
      <c r="AJ406" s="16"/>
      <c r="AK406" s="16"/>
      <c r="AL406" s="37"/>
    </row>
    <row r="407" spans="1:38" ht="14.25" customHeight="1" x14ac:dyDescent="0.3">
      <c r="A407" s="34"/>
      <c r="B407" s="16"/>
      <c r="C407" s="15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6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5"/>
      <c r="AI407" s="16"/>
      <c r="AJ407" s="16"/>
      <c r="AK407" s="16"/>
      <c r="AL407" s="37"/>
    </row>
    <row r="408" spans="1:38" ht="14.25" customHeight="1" x14ac:dyDescent="0.3">
      <c r="A408" s="34"/>
      <c r="B408" s="16"/>
      <c r="C408" s="15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6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5"/>
      <c r="AI408" s="16"/>
      <c r="AJ408" s="16"/>
      <c r="AK408" s="16"/>
      <c r="AL408" s="37"/>
    </row>
    <row r="409" spans="1:38" ht="14.25" customHeight="1" x14ac:dyDescent="0.3">
      <c r="A409" s="34"/>
      <c r="B409" s="16"/>
      <c r="C409" s="15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6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5"/>
      <c r="AI409" s="16"/>
      <c r="AJ409" s="16"/>
      <c r="AK409" s="16"/>
      <c r="AL409" s="37"/>
    </row>
    <row r="410" spans="1:38" ht="14.25" customHeight="1" x14ac:dyDescent="0.3">
      <c r="A410" s="34"/>
      <c r="B410" s="16"/>
      <c r="C410" s="15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6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5"/>
      <c r="AI410" s="16"/>
      <c r="AJ410" s="16"/>
      <c r="AK410" s="16"/>
      <c r="AL410" s="37"/>
    </row>
    <row r="411" spans="1:38" ht="14.25" customHeight="1" x14ac:dyDescent="0.3">
      <c r="A411" s="34"/>
      <c r="B411" s="16"/>
      <c r="C411" s="15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6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5"/>
      <c r="AI411" s="16"/>
      <c r="AJ411" s="16"/>
      <c r="AK411" s="16"/>
      <c r="AL411" s="37"/>
    </row>
    <row r="412" spans="1:38" ht="14.25" customHeight="1" x14ac:dyDescent="0.3">
      <c r="A412" s="34"/>
      <c r="B412" s="16"/>
      <c r="C412" s="15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6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5"/>
      <c r="AI412" s="16"/>
      <c r="AJ412" s="16"/>
      <c r="AK412" s="16"/>
      <c r="AL412" s="37"/>
    </row>
    <row r="413" spans="1:38" ht="14.25" customHeight="1" x14ac:dyDescent="0.3">
      <c r="A413" s="34"/>
      <c r="B413" s="16"/>
      <c r="C413" s="15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6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5"/>
      <c r="AI413" s="16"/>
      <c r="AJ413" s="16"/>
      <c r="AK413" s="16"/>
      <c r="AL413" s="37"/>
    </row>
    <row r="414" spans="1:38" ht="14.25" customHeight="1" x14ac:dyDescent="0.3">
      <c r="A414" s="34"/>
      <c r="B414" s="16"/>
      <c r="C414" s="15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6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5"/>
      <c r="AI414" s="16"/>
      <c r="AJ414" s="16"/>
      <c r="AK414" s="16"/>
      <c r="AL414" s="37"/>
    </row>
    <row r="415" spans="1:38" ht="14.25" customHeight="1" x14ac:dyDescent="0.3">
      <c r="A415" s="34"/>
      <c r="B415" s="16"/>
      <c r="C415" s="15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6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5"/>
      <c r="AI415" s="16"/>
      <c r="AJ415" s="16"/>
      <c r="AK415" s="16"/>
      <c r="AL415" s="37"/>
    </row>
    <row r="416" spans="1:38" ht="14.25" customHeight="1" x14ac:dyDescent="0.3">
      <c r="A416" s="34"/>
      <c r="B416" s="16"/>
      <c r="C416" s="15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6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5"/>
      <c r="AI416" s="16"/>
      <c r="AJ416" s="16"/>
      <c r="AK416" s="16"/>
      <c r="AL416" s="37"/>
    </row>
    <row r="417" spans="1:38" ht="14.25" customHeight="1" x14ac:dyDescent="0.3">
      <c r="A417" s="34"/>
      <c r="B417" s="16"/>
      <c r="C417" s="15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6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5"/>
      <c r="AI417" s="16"/>
      <c r="AJ417" s="16"/>
      <c r="AK417" s="16"/>
      <c r="AL417" s="37"/>
    </row>
    <row r="418" spans="1:38" ht="14.25" customHeight="1" x14ac:dyDescent="0.3">
      <c r="A418" s="34"/>
      <c r="B418" s="16"/>
      <c r="C418" s="15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6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5"/>
      <c r="AI418" s="16"/>
      <c r="AJ418" s="16"/>
      <c r="AK418" s="16"/>
      <c r="AL418" s="37"/>
    </row>
    <row r="419" spans="1:38" ht="14.25" customHeight="1" x14ac:dyDescent="0.3">
      <c r="A419" s="34"/>
      <c r="B419" s="16"/>
      <c r="C419" s="15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6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5"/>
      <c r="AI419" s="16"/>
      <c r="AJ419" s="16"/>
      <c r="AK419" s="16"/>
      <c r="AL419" s="37"/>
    </row>
    <row r="420" spans="1:38" ht="14.25" customHeight="1" x14ac:dyDescent="0.3">
      <c r="A420" s="34"/>
      <c r="B420" s="16"/>
      <c r="C420" s="15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6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5"/>
      <c r="AI420" s="16"/>
      <c r="AJ420" s="16"/>
      <c r="AK420" s="16"/>
      <c r="AL420" s="37"/>
    </row>
    <row r="421" spans="1:38" ht="14.25" customHeight="1" x14ac:dyDescent="0.3">
      <c r="A421" s="34"/>
      <c r="B421" s="16"/>
      <c r="C421" s="15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6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5"/>
      <c r="AI421" s="16"/>
      <c r="AJ421" s="16"/>
      <c r="AK421" s="16"/>
      <c r="AL421" s="37"/>
    </row>
    <row r="422" spans="1:38" ht="14.25" customHeight="1" x14ac:dyDescent="0.3">
      <c r="A422" s="34"/>
      <c r="B422" s="16"/>
      <c r="C422" s="15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6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5"/>
      <c r="AI422" s="16"/>
      <c r="AJ422" s="16"/>
      <c r="AK422" s="16"/>
      <c r="AL422" s="37"/>
    </row>
    <row r="423" spans="1:38" ht="14.25" customHeight="1" x14ac:dyDescent="0.3">
      <c r="A423" s="34"/>
      <c r="B423" s="16"/>
      <c r="C423" s="15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6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5"/>
      <c r="AI423" s="16"/>
      <c r="AJ423" s="16"/>
      <c r="AK423" s="16"/>
      <c r="AL423" s="37"/>
    </row>
    <row r="424" spans="1:38" ht="14.25" customHeight="1" x14ac:dyDescent="0.3">
      <c r="A424" s="34"/>
      <c r="B424" s="16"/>
      <c r="C424" s="15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6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5"/>
      <c r="AI424" s="16"/>
      <c r="AJ424" s="16"/>
      <c r="AK424" s="16"/>
      <c r="AL424" s="37"/>
    </row>
    <row r="425" spans="1:38" ht="14.25" customHeight="1" x14ac:dyDescent="0.3">
      <c r="A425" s="34"/>
      <c r="B425" s="16"/>
      <c r="C425" s="15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6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5"/>
      <c r="AI425" s="16"/>
      <c r="AJ425" s="16"/>
      <c r="AK425" s="16"/>
      <c r="AL425" s="37"/>
    </row>
    <row r="426" spans="1:38" ht="14.25" customHeight="1" x14ac:dyDescent="0.3">
      <c r="A426" s="34"/>
      <c r="B426" s="16"/>
      <c r="C426" s="15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6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5"/>
      <c r="AI426" s="16"/>
      <c r="AJ426" s="16"/>
      <c r="AK426" s="16"/>
      <c r="AL426" s="37"/>
    </row>
    <row r="427" spans="1:38" ht="14.25" customHeight="1" x14ac:dyDescent="0.3">
      <c r="A427" s="34"/>
      <c r="B427" s="16"/>
      <c r="C427" s="15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6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5"/>
      <c r="AI427" s="16"/>
      <c r="AJ427" s="16"/>
      <c r="AK427" s="16"/>
      <c r="AL427" s="37"/>
    </row>
    <row r="428" spans="1:38" ht="14.25" customHeight="1" x14ac:dyDescent="0.3">
      <c r="A428" s="34"/>
      <c r="B428" s="16"/>
      <c r="C428" s="15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6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5"/>
      <c r="AI428" s="16"/>
      <c r="AJ428" s="16"/>
      <c r="AK428" s="16"/>
      <c r="AL428" s="37"/>
    </row>
    <row r="429" spans="1:38" ht="14.25" customHeight="1" x14ac:dyDescent="0.3">
      <c r="A429" s="34"/>
      <c r="B429" s="16"/>
      <c r="C429" s="15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6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5"/>
      <c r="AI429" s="16"/>
      <c r="AJ429" s="16"/>
      <c r="AK429" s="16"/>
      <c r="AL429" s="37"/>
    </row>
    <row r="430" spans="1:38" ht="14.25" customHeight="1" x14ac:dyDescent="0.3">
      <c r="A430" s="34"/>
      <c r="B430" s="16"/>
      <c r="C430" s="15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6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5"/>
      <c r="AI430" s="16"/>
      <c r="AJ430" s="16"/>
      <c r="AK430" s="16"/>
      <c r="AL430" s="37"/>
    </row>
    <row r="431" spans="1:38" ht="14.25" customHeight="1" x14ac:dyDescent="0.3">
      <c r="A431" s="34"/>
      <c r="B431" s="16"/>
      <c r="C431" s="15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6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5"/>
      <c r="AI431" s="16"/>
      <c r="AJ431" s="16"/>
      <c r="AK431" s="16"/>
      <c r="AL431" s="37"/>
    </row>
    <row r="432" spans="1:38" ht="14.25" customHeight="1" x14ac:dyDescent="0.3">
      <c r="A432" s="34"/>
      <c r="B432" s="16"/>
      <c r="C432" s="15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6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5"/>
      <c r="AI432" s="16"/>
      <c r="AJ432" s="16"/>
      <c r="AK432" s="16"/>
      <c r="AL432" s="37"/>
    </row>
    <row r="433" spans="1:38" ht="14.25" customHeight="1" x14ac:dyDescent="0.3">
      <c r="A433" s="34"/>
      <c r="B433" s="16"/>
      <c r="C433" s="15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6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5"/>
      <c r="AI433" s="16"/>
      <c r="AJ433" s="16"/>
      <c r="AK433" s="16"/>
      <c r="AL433" s="37"/>
    </row>
    <row r="434" spans="1:38" ht="14.25" customHeight="1" x14ac:dyDescent="0.3">
      <c r="A434" s="34"/>
      <c r="B434" s="16"/>
      <c r="C434" s="15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6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5"/>
      <c r="AI434" s="16"/>
      <c r="AJ434" s="16"/>
      <c r="AK434" s="16"/>
      <c r="AL434" s="37"/>
    </row>
    <row r="435" spans="1:38" ht="14.25" customHeight="1" x14ac:dyDescent="0.3">
      <c r="A435" s="34"/>
      <c r="B435" s="16"/>
      <c r="C435" s="15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6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5"/>
      <c r="AI435" s="16"/>
      <c r="AJ435" s="16"/>
      <c r="AK435" s="16"/>
      <c r="AL435" s="37"/>
    </row>
    <row r="436" spans="1:38" ht="14.25" customHeight="1" x14ac:dyDescent="0.3">
      <c r="A436" s="34"/>
      <c r="B436" s="16"/>
      <c r="C436" s="15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6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5"/>
      <c r="AI436" s="16"/>
      <c r="AJ436" s="16"/>
      <c r="AK436" s="16"/>
      <c r="AL436" s="37"/>
    </row>
    <row r="437" spans="1:38" ht="14.25" customHeight="1" x14ac:dyDescent="0.3">
      <c r="A437" s="34"/>
      <c r="B437" s="16"/>
      <c r="C437" s="15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6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5"/>
      <c r="AI437" s="16"/>
      <c r="AJ437" s="16"/>
      <c r="AK437" s="16"/>
      <c r="AL437" s="37"/>
    </row>
    <row r="438" spans="1:38" ht="14.25" customHeight="1" x14ac:dyDescent="0.3">
      <c r="A438" s="34"/>
      <c r="B438" s="16"/>
      <c r="C438" s="15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6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5"/>
      <c r="AI438" s="16"/>
      <c r="AJ438" s="16"/>
      <c r="AK438" s="16"/>
      <c r="AL438" s="37"/>
    </row>
    <row r="439" spans="1:38" ht="14.25" customHeight="1" x14ac:dyDescent="0.3">
      <c r="A439" s="34"/>
      <c r="B439" s="16"/>
      <c r="C439" s="15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6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5"/>
      <c r="AI439" s="16"/>
      <c r="AJ439" s="16"/>
      <c r="AK439" s="16"/>
      <c r="AL439" s="37"/>
    </row>
    <row r="440" spans="1:38" ht="14.25" customHeight="1" x14ac:dyDescent="0.3">
      <c r="A440" s="34"/>
      <c r="B440" s="16"/>
      <c r="C440" s="15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6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5"/>
      <c r="AI440" s="16"/>
      <c r="AJ440" s="16"/>
      <c r="AK440" s="16"/>
      <c r="AL440" s="37"/>
    </row>
    <row r="441" spans="1:38" ht="14.25" customHeight="1" x14ac:dyDescent="0.3">
      <c r="A441" s="34"/>
      <c r="B441" s="16"/>
      <c r="C441" s="15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6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5"/>
      <c r="AI441" s="16"/>
      <c r="AJ441" s="16"/>
      <c r="AK441" s="16"/>
      <c r="AL441" s="37"/>
    </row>
    <row r="442" spans="1:38" ht="14.25" customHeight="1" x14ac:dyDescent="0.3">
      <c r="A442" s="34"/>
      <c r="B442" s="16"/>
      <c r="C442" s="15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6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5"/>
      <c r="AI442" s="16"/>
      <c r="AJ442" s="16"/>
      <c r="AK442" s="16"/>
      <c r="AL442" s="37"/>
    </row>
    <row r="443" spans="1:38" ht="14.25" customHeight="1" x14ac:dyDescent="0.3">
      <c r="A443" s="34"/>
      <c r="B443" s="16"/>
      <c r="C443" s="15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6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5"/>
      <c r="AI443" s="16"/>
      <c r="AJ443" s="16"/>
      <c r="AK443" s="16"/>
      <c r="AL443" s="37"/>
    </row>
    <row r="444" spans="1:38" ht="14.25" customHeight="1" x14ac:dyDescent="0.3">
      <c r="A444" s="34"/>
      <c r="B444" s="16"/>
      <c r="C444" s="15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6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5"/>
      <c r="AI444" s="16"/>
      <c r="AJ444" s="16"/>
      <c r="AK444" s="16"/>
      <c r="AL444" s="37"/>
    </row>
    <row r="445" spans="1:38" ht="14.25" customHeight="1" x14ac:dyDescent="0.3">
      <c r="A445" s="34"/>
      <c r="B445" s="16"/>
      <c r="C445" s="15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6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5"/>
      <c r="AI445" s="16"/>
      <c r="AJ445" s="16"/>
      <c r="AK445" s="16"/>
      <c r="AL445" s="37"/>
    </row>
    <row r="446" spans="1:38" ht="14.25" customHeight="1" x14ac:dyDescent="0.3">
      <c r="A446" s="34"/>
      <c r="B446" s="16"/>
      <c r="C446" s="15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6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5"/>
      <c r="AI446" s="16"/>
      <c r="AJ446" s="16"/>
      <c r="AK446" s="16"/>
      <c r="AL446" s="37"/>
    </row>
    <row r="447" spans="1:38" ht="14.25" customHeight="1" x14ac:dyDescent="0.3">
      <c r="A447" s="34"/>
      <c r="B447" s="16"/>
      <c r="C447" s="15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6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5"/>
      <c r="AI447" s="16"/>
      <c r="AJ447" s="16"/>
      <c r="AK447" s="16"/>
      <c r="AL447" s="37"/>
    </row>
    <row r="448" spans="1:38" ht="14.25" customHeight="1" x14ac:dyDescent="0.3">
      <c r="A448" s="34"/>
      <c r="B448" s="16"/>
      <c r="C448" s="15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6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5"/>
      <c r="AI448" s="16"/>
      <c r="AJ448" s="16"/>
      <c r="AK448" s="16"/>
      <c r="AL448" s="37"/>
    </row>
    <row r="449" spans="1:38" ht="14.25" customHeight="1" x14ac:dyDescent="0.3">
      <c r="A449" s="34"/>
      <c r="B449" s="16"/>
      <c r="C449" s="15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6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5"/>
      <c r="AI449" s="16"/>
      <c r="AJ449" s="16"/>
      <c r="AK449" s="16"/>
      <c r="AL449" s="37"/>
    </row>
    <row r="450" spans="1:38" ht="14.25" customHeight="1" x14ac:dyDescent="0.3">
      <c r="A450" s="34"/>
      <c r="B450" s="16"/>
      <c r="C450" s="15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6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5"/>
      <c r="AI450" s="16"/>
      <c r="AJ450" s="16"/>
      <c r="AK450" s="16"/>
      <c r="AL450" s="37"/>
    </row>
    <row r="451" spans="1:38" ht="14.25" customHeight="1" x14ac:dyDescent="0.3">
      <c r="A451" s="34"/>
      <c r="B451" s="16"/>
      <c r="C451" s="15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6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5"/>
      <c r="AI451" s="16"/>
      <c r="AJ451" s="16"/>
      <c r="AK451" s="16"/>
      <c r="AL451" s="37"/>
    </row>
    <row r="452" spans="1:38" ht="14.25" customHeight="1" x14ac:dyDescent="0.3">
      <c r="A452" s="34"/>
      <c r="B452" s="16"/>
      <c r="C452" s="15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6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5"/>
      <c r="AI452" s="16"/>
      <c r="AJ452" s="16"/>
      <c r="AK452" s="16"/>
      <c r="AL452" s="37"/>
    </row>
    <row r="453" spans="1:38" ht="14.25" customHeight="1" x14ac:dyDescent="0.3">
      <c r="A453" s="34"/>
      <c r="B453" s="16"/>
      <c r="C453" s="15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6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5"/>
      <c r="AI453" s="16"/>
      <c r="AJ453" s="16"/>
      <c r="AK453" s="16"/>
      <c r="AL453" s="37"/>
    </row>
    <row r="454" spans="1:38" ht="14.25" customHeight="1" x14ac:dyDescent="0.3">
      <c r="A454" s="34"/>
      <c r="B454" s="16"/>
      <c r="C454" s="15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6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5"/>
      <c r="AI454" s="16"/>
      <c r="AJ454" s="16"/>
      <c r="AK454" s="16"/>
      <c r="AL454" s="37"/>
    </row>
    <row r="455" spans="1:38" ht="14.25" customHeight="1" x14ac:dyDescent="0.3">
      <c r="A455" s="34"/>
      <c r="B455" s="16"/>
      <c r="C455" s="15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6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5"/>
      <c r="AI455" s="16"/>
      <c r="AJ455" s="16"/>
      <c r="AK455" s="16"/>
      <c r="AL455" s="37"/>
    </row>
    <row r="456" spans="1:38" ht="14.25" customHeight="1" x14ac:dyDescent="0.3">
      <c r="A456" s="34"/>
      <c r="B456" s="16"/>
      <c r="C456" s="15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6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5"/>
      <c r="AI456" s="16"/>
      <c r="AJ456" s="16"/>
      <c r="AK456" s="16"/>
      <c r="AL456" s="37"/>
    </row>
    <row r="457" spans="1:38" ht="14.25" customHeight="1" x14ac:dyDescent="0.3">
      <c r="A457" s="34"/>
      <c r="B457" s="16"/>
      <c r="C457" s="15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6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5"/>
      <c r="AI457" s="16"/>
      <c r="AJ457" s="16"/>
      <c r="AK457" s="16"/>
      <c r="AL457" s="37"/>
    </row>
    <row r="458" spans="1:38" ht="14.25" customHeight="1" x14ac:dyDescent="0.3">
      <c r="A458" s="34"/>
      <c r="B458" s="16"/>
      <c r="C458" s="15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6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5"/>
      <c r="AI458" s="16"/>
      <c r="AJ458" s="16"/>
      <c r="AK458" s="16"/>
      <c r="AL458" s="37"/>
    </row>
    <row r="459" spans="1:38" ht="14.25" customHeight="1" x14ac:dyDescent="0.3">
      <c r="A459" s="34"/>
      <c r="B459" s="16"/>
      <c r="C459" s="15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6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5"/>
      <c r="AI459" s="16"/>
      <c r="AJ459" s="16"/>
      <c r="AK459" s="16"/>
      <c r="AL459" s="37"/>
    </row>
    <row r="460" spans="1:38" ht="14.25" customHeight="1" x14ac:dyDescent="0.3">
      <c r="A460" s="34"/>
      <c r="B460" s="16"/>
      <c r="C460" s="15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6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5"/>
      <c r="AI460" s="16"/>
      <c r="AJ460" s="16"/>
      <c r="AK460" s="16"/>
      <c r="AL460" s="37"/>
    </row>
    <row r="461" spans="1:38" ht="14.25" customHeight="1" x14ac:dyDescent="0.3">
      <c r="A461" s="34"/>
      <c r="B461" s="16"/>
      <c r="C461" s="15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6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5"/>
      <c r="AI461" s="16"/>
      <c r="AJ461" s="16"/>
      <c r="AK461" s="16"/>
      <c r="AL461" s="37"/>
    </row>
    <row r="462" spans="1:38" ht="14.25" customHeight="1" x14ac:dyDescent="0.3">
      <c r="A462" s="34"/>
      <c r="B462" s="16"/>
      <c r="C462" s="15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6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5"/>
      <c r="AI462" s="16"/>
      <c r="AJ462" s="16"/>
      <c r="AK462" s="16"/>
      <c r="AL462" s="37"/>
    </row>
    <row r="463" spans="1:38" ht="14.25" customHeight="1" x14ac:dyDescent="0.3">
      <c r="A463" s="34"/>
      <c r="B463" s="16"/>
      <c r="C463" s="15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6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5"/>
      <c r="AI463" s="16"/>
      <c r="AJ463" s="16"/>
      <c r="AK463" s="16"/>
      <c r="AL463" s="37"/>
    </row>
    <row r="464" spans="1:38" ht="14.25" customHeight="1" x14ac:dyDescent="0.3">
      <c r="A464" s="34"/>
      <c r="B464" s="16"/>
      <c r="C464" s="15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6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5"/>
      <c r="AI464" s="16"/>
      <c r="AJ464" s="16"/>
      <c r="AK464" s="16"/>
      <c r="AL464" s="37"/>
    </row>
    <row r="465" spans="1:38" ht="14.25" customHeight="1" x14ac:dyDescent="0.3">
      <c r="A465" s="34"/>
      <c r="B465" s="16"/>
      <c r="C465" s="15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6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5"/>
      <c r="AI465" s="16"/>
      <c r="AJ465" s="16"/>
      <c r="AK465" s="16"/>
      <c r="AL465" s="37"/>
    </row>
    <row r="466" spans="1:38" ht="14.25" customHeight="1" x14ac:dyDescent="0.3">
      <c r="A466" s="34"/>
      <c r="B466" s="16"/>
      <c r="C466" s="15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6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5"/>
      <c r="AI466" s="16"/>
      <c r="AJ466" s="16"/>
      <c r="AK466" s="16"/>
      <c r="AL466" s="37"/>
    </row>
    <row r="467" spans="1:38" ht="14.25" customHeight="1" x14ac:dyDescent="0.3">
      <c r="A467" s="34"/>
      <c r="B467" s="16"/>
      <c r="C467" s="15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6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5"/>
      <c r="AI467" s="16"/>
      <c r="AJ467" s="16"/>
      <c r="AK467" s="16"/>
      <c r="AL467" s="37"/>
    </row>
    <row r="468" spans="1:38" ht="14.25" customHeight="1" x14ac:dyDescent="0.3">
      <c r="A468" s="34"/>
      <c r="B468" s="16"/>
      <c r="C468" s="15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6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5"/>
      <c r="AI468" s="16"/>
      <c r="AJ468" s="16"/>
      <c r="AK468" s="16"/>
      <c r="AL468" s="37"/>
    </row>
    <row r="469" spans="1:38" ht="14.25" customHeight="1" x14ac:dyDescent="0.3">
      <c r="A469" s="34"/>
      <c r="B469" s="16"/>
      <c r="C469" s="15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6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5"/>
      <c r="AI469" s="16"/>
      <c r="AJ469" s="16"/>
      <c r="AK469" s="16"/>
      <c r="AL469" s="37"/>
    </row>
    <row r="470" spans="1:38" ht="14.25" customHeight="1" x14ac:dyDescent="0.3">
      <c r="A470" s="34"/>
      <c r="B470" s="16"/>
      <c r="C470" s="15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6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5"/>
      <c r="AI470" s="16"/>
      <c r="AJ470" s="16"/>
      <c r="AK470" s="16"/>
      <c r="AL470" s="37"/>
    </row>
    <row r="471" spans="1:38" ht="14.25" customHeight="1" x14ac:dyDescent="0.3">
      <c r="A471" s="34"/>
      <c r="B471" s="16"/>
      <c r="C471" s="15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6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5"/>
      <c r="AI471" s="16"/>
      <c r="AJ471" s="16"/>
      <c r="AK471" s="16"/>
      <c r="AL471" s="37"/>
    </row>
    <row r="472" spans="1:38" ht="14.25" customHeight="1" x14ac:dyDescent="0.3">
      <c r="A472" s="34"/>
      <c r="B472" s="16"/>
      <c r="C472" s="15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6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5"/>
      <c r="AI472" s="16"/>
      <c r="AJ472" s="16"/>
      <c r="AK472" s="16"/>
      <c r="AL472" s="37"/>
    </row>
    <row r="473" spans="1:38" ht="14.25" customHeight="1" x14ac:dyDescent="0.3">
      <c r="A473" s="34"/>
      <c r="B473" s="16"/>
      <c r="C473" s="15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6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5"/>
      <c r="AI473" s="16"/>
      <c r="AJ473" s="16"/>
      <c r="AK473" s="16"/>
      <c r="AL473" s="37"/>
    </row>
    <row r="474" spans="1:38" ht="14.25" customHeight="1" x14ac:dyDescent="0.3">
      <c r="A474" s="34"/>
      <c r="B474" s="16"/>
      <c r="C474" s="15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6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5"/>
      <c r="AI474" s="16"/>
      <c r="AJ474" s="16"/>
      <c r="AK474" s="16"/>
      <c r="AL474" s="37"/>
    </row>
    <row r="475" spans="1:38" ht="14.25" customHeight="1" x14ac:dyDescent="0.3">
      <c r="A475" s="34"/>
      <c r="B475" s="16"/>
      <c r="C475" s="15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6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5"/>
      <c r="AI475" s="16"/>
      <c r="AJ475" s="16"/>
      <c r="AK475" s="16"/>
      <c r="AL475" s="37"/>
    </row>
    <row r="476" spans="1:38" ht="14.25" customHeight="1" x14ac:dyDescent="0.3">
      <c r="A476" s="34"/>
      <c r="B476" s="16"/>
      <c r="C476" s="15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6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5"/>
      <c r="AI476" s="16"/>
      <c r="AJ476" s="16"/>
      <c r="AK476" s="16"/>
      <c r="AL476" s="37"/>
    </row>
    <row r="477" spans="1:38" ht="14.25" customHeight="1" x14ac:dyDescent="0.3">
      <c r="A477" s="34"/>
      <c r="B477" s="16"/>
      <c r="C477" s="15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6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5"/>
      <c r="AI477" s="16"/>
      <c r="AJ477" s="16"/>
      <c r="AK477" s="16"/>
      <c r="AL477" s="37"/>
    </row>
    <row r="478" spans="1:38" ht="14.25" customHeight="1" x14ac:dyDescent="0.3">
      <c r="A478" s="34"/>
      <c r="B478" s="16"/>
      <c r="C478" s="15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6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5"/>
      <c r="AI478" s="16"/>
      <c r="AJ478" s="16"/>
      <c r="AK478" s="16"/>
      <c r="AL478" s="37"/>
    </row>
    <row r="479" spans="1:38" ht="14.25" customHeight="1" x14ac:dyDescent="0.3">
      <c r="A479" s="34"/>
      <c r="B479" s="16"/>
      <c r="C479" s="15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6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5"/>
      <c r="AI479" s="16"/>
      <c r="AJ479" s="16"/>
      <c r="AK479" s="16"/>
      <c r="AL479" s="37"/>
    </row>
    <row r="480" spans="1:38" ht="14.25" customHeight="1" x14ac:dyDescent="0.3">
      <c r="A480" s="34"/>
      <c r="B480" s="16"/>
      <c r="C480" s="15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6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5"/>
      <c r="AI480" s="16"/>
      <c r="AJ480" s="16"/>
      <c r="AK480" s="16"/>
      <c r="AL480" s="37"/>
    </row>
    <row r="481" spans="1:38" ht="14.25" customHeight="1" x14ac:dyDescent="0.3">
      <c r="A481" s="34"/>
      <c r="B481" s="16"/>
      <c r="C481" s="15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6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5"/>
      <c r="AI481" s="16"/>
      <c r="AJ481" s="16"/>
      <c r="AK481" s="16"/>
      <c r="AL481" s="37"/>
    </row>
    <row r="482" spans="1:38" ht="14.25" customHeight="1" x14ac:dyDescent="0.3">
      <c r="A482" s="34"/>
      <c r="B482" s="16"/>
      <c r="C482" s="15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6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5"/>
      <c r="AI482" s="16"/>
      <c r="AJ482" s="16"/>
      <c r="AK482" s="16"/>
      <c r="AL482" s="37"/>
    </row>
    <row r="483" spans="1:38" ht="14.25" customHeight="1" x14ac:dyDescent="0.3">
      <c r="A483" s="34"/>
      <c r="B483" s="16"/>
      <c r="C483" s="15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6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5"/>
      <c r="AI483" s="16"/>
      <c r="AJ483" s="16"/>
      <c r="AK483" s="16"/>
      <c r="AL483" s="37"/>
    </row>
    <row r="484" spans="1:38" ht="14.25" customHeight="1" x14ac:dyDescent="0.3">
      <c r="A484" s="34"/>
      <c r="B484" s="16"/>
      <c r="C484" s="15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6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5"/>
      <c r="AI484" s="16"/>
      <c r="AJ484" s="16"/>
      <c r="AK484" s="16"/>
      <c r="AL484" s="37"/>
    </row>
    <row r="485" spans="1:38" ht="14.25" customHeight="1" x14ac:dyDescent="0.3">
      <c r="A485" s="34"/>
      <c r="B485" s="16"/>
      <c r="C485" s="15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6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5"/>
      <c r="AI485" s="16"/>
      <c r="AJ485" s="16"/>
      <c r="AK485" s="16"/>
      <c r="AL485" s="37"/>
    </row>
    <row r="486" spans="1:38" ht="14.25" customHeight="1" x14ac:dyDescent="0.3">
      <c r="A486" s="34"/>
      <c r="B486" s="16"/>
      <c r="C486" s="15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6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5"/>
      <c r="AI486" s="16"/>
      <c r="AJ486" s="16"/>
      <c r="AK486" s="16"/>
      <c r="AL486" s="37"/>
    </row>
    <row r="487" spans="1:38" ht="14.25" customHeight="1" x14ac:dyDescent="0.3">
      <c r="A487" s="34"/>
      <c r="B487" s="16"/>
      <c r="C487" s="15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6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5"/>
      <c r="AI487" s="16"/>
      <c r="AJ487" s="16"/>
      <c r="AK487" s="16"/>
      <c r="AL487" s="37"/>
    </row>
    <row r="488" spans="1:38" ht="14.25" customHeight="1" x14ac:dyDescent="0.3">
      <c r="A488" s="34"/>
      <c r="B488" s="16"/>
      <c r="C488" s="15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6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5"/>
      <c r="AI488" s="16"/>
      <c r="AJ488" s="16"/>
      <c r="AK488" s="16"/>
      <c r="AL488" s="37"/>
    </row>
    <row r="489" spans="1:38" ht="14.25" customHeight="1" x14ac:dyDescent="0.3">
      <c r="A489" s="34"/>
      <c r="B489" s="16"/>
      <c r="C489" s="15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6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5"/>
      <c r="AI489" s="16"/>
      <c r="AJ489" s="16"/>
      <c r="AK489" s="16"/>
      <c r="AL489" s="37"/>
    </row>
    <row r="490" spans="1:38" ht="14.25" customHeight="1" x14ac:dyDescent="0.3">
      <c r="A490" s="34"/>
      <c r="B490" s="16"/>
      <c r="C490" s="15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6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5"/>
      <c r="AI490" s="16"/>
      <c r="AJ490" s="16"/>
      <c r="AK490" s="16"/>
      <c r="AL490" s="37"/>
    </row>
    <row r="491" spans="1:38" ht="14.25" customHeight="1" x14ac:dyDescent="0.3">
      <c r="A491" s="34"/>
      <c r="B491" s="16"/>
      <c r="C491" s="15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6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5"/>
      <c r="AI491" s="16"/>
      <c r="AJ491" s="16"/>
      <c r="AK491" s="16"/>
      <c r="AL491" s="37"/>
    </row>
    <row r="492" spans="1:38" ht="14.25" customHeight="1" x14ac:dyDescent="0.3">
      <c r="A492" s="34"/>
      <c r="B492" s="16"/>
      <c r="C492" s="15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6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5"/>
      <c r="AI492" s="16"/>
      <c r="AJ492" s="16"/>
      <c r="AK492" s="16"/>
      <c r="AL492" s="37"/>
    </row>
    <row r="493" spans="1:38" ht="14.25" customHeight="1" x14ac:dyDescent="0.3">
      <c r="A493" s="34"/>
      <c r="B493" s="16"/>
      <c r="C493" s="15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6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5"/>
      <c r="AI493" s="16"/>
      <c r="AJ493" s="16"/>
      <c r="AK493" s="16"/>
      <c r="AL493" s="37"/>
    </row>
    <row r="494" spans="1:38" ht="14.25" customHeight="1" x14ac:dyDescent="0.3">
      <c r="A494" s="34"/>
      <c r="B494" s="16"/>
      <c r="C494" s="15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6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5"/>
      <c r="AI494" s="16"/>
      <c r="AJ494" s="16"/>
      <c r="AK494" s="16"/>
      <c r="AL494" s="37"/>
    </row>
    <row r="495" spans="1:38" ht="14.25" customHeight="1" x14ac:dyDescent="0.3">
      <c r="A495" s="34"/>
      <c r="B495" s="16"/>
      <c r="C495" s="15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6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5"/>
      <c r="AI495" s="16"/>
      <c r="AJ495" s="16"/>
      <c r="AK495" s="16"/>
      <c r="AL495" s="37"/>
    </row>
    <row r="496" spans="1:38" ht="14.25" customHeight="1" x14ac:dyDescent="0.3">
      <c r="A496" s="34"/>
      <c r="B496" s="16"/>
      <c r="C496" s="15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6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5"/>
      <c r="AI496" s="16"/>
      <c r="AJ496" s="16"/>
      <c r="AK496" s="16"/>
      <c r="AL496" s="37"/>
    </row>
    <row r="497" spans="1:38" ht="14.25" customHeight="1" x14ac:dyDescent="0.3">
      <c r="A497" s="34"/>
      <c r="B497" s="16"/>
      <c r="C497" s="15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6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5"/>
      <c r="AI497" s="16"/>
      <c r="AJ497" s="16"/>
      <c r="AK497" s="16"/>
      <c r="AL497" s="37"/>
    </row>
    <row r="498" spans="1:38" ht="14.25" customHeight="1" x14ac:dyDescent="0.3">
      <c r="A498" s="34"/>
      <c r="B498" s="16"/>
      <c r="C498" s="15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6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5"/>
      <c r="AI498" s="16"/>
      <c r="AJ498" s="16"/>
      <c r="AK498" s="16"/>
      <c r="AL498" s="37"/>
    </row>
    <row r="499" spans="1:38" ht="14.25" customHeight="1" x14ac:dyDescent="0.3">
      <c r="A499" s="34"/>
      <c r="B499" s="16"/>
      <c r="C499" s="15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6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5"/>
      <c r="AI499" s="16"/>
      <c r="AJ499" s="16"/>
      <c r="AK499" s="16"/>
      <c r="AL499" s="37"/>
    </row>
    <row r="500" spans="1:38" ht="14.25" customHeight="1" x14ac:dyDescent="0.3">
      <c r="A500" s="34"/>
      <c r="B500" s="16"/>
      <c r="C500" s="15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6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5"/>
      <c r="AI500" s="16"/>
      <c r="AJ500" s="16"/>
      <c r="AK500" s="16"/>
      <c r="AL500" s="37"/>
    </row>
    <row r="501" spans="1:38" ht="14.25" customHeight="1" x14ac:dyDescent="0.3">
      <c r="A501" s="34"/>
      <c r="B501" s="16"/>
      <c r="C501" s="15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6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5"/>
      <c r="AI501" s="16"/>
      <c r="AJ501" s="16"/>
      <c r="AK501" s="16"/>
      <c r="AL501" s="37"/>
    </row>
    <row r="502" spans="1:38" ht="14.25" customHeight="1" x14ac:dyDescent="0.3">
      <c r="A502" s="34"/>
      <c r="B502" s="16"/>
      <c r="C502" s="15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6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5"/>
      <c r="AI502" s="16"/>
      <c r="AJ502" s="16"/>
      <c r="AK502" s="16"/>
      <c r="AL502" s="37"/>
    </row>
    <row r="503" spans="1:38" ht="14.25" customHeight="1" x14ac:dyDescent="0.3">
      <c r="A503" s="34"/>
      <c r="B503" s="16"/>
      <c r="C503" s="15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6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5"/>
      <c r="AI503" s="16"/>
      <c r="AJ503" s="16"/>
      <c r="AK503" s="16"/>
      <c r="AL503" s="37"/>
    </row>
    <row r="504" spans="1:38" ht="14.25" customHeight="1" x14ac:dyDescent="0.3">
      <c r="A504" s="34"/>
      <c r="B504" s="16"/>
      <c r="C504" s="15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6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5"/>
      <c r="AI504" s="16"/>
      <c r="AJ504" s="16"/>
      <c r="AK504" s="16"/>
      <c r="AL504" s="37"/>
    </row>
    <row r="505" spans="1:38" ht="14.25" customHeight="1" x14ac:dyDescent="0.3">
      <c r="A505" s="34"/>
      <c r="B505" s="16"/>
      <c r="C505" s="15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6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5"/>
      <c r="AI505" s="16"/>
      <c r="AJ505" s="16"/>
      <c r="AK505" s="16"/>
      <c r="AL505" s="37"/>
    </row>
    <row r="506" spans="1:38" ht="14.25" customHeight="1" x14ac:dyDescent="0.3">
      <c r="A506" s="34"/>
      <c r="B506" s="16"/>
      <c r="C506" s="15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6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5"/>
      <c r="AI506" s="16"/>
      <c r="AJ506" s="16"/>
      <c r="AK506" s="16"/>
      <c r="AL506" s="37"/>
    </row>
    <row r="507" spans="1:38" ht="14.25" customHeight="1" x14ac:dyDescent="0.3">
      <c r="A507" s="34"/>
      <c r="B507" s="16"/>
      <c r="C507" s="15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6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5"/>
      <c r="AI507" s="16"/>
      <c r="AJ507" s="16"/>
      <c r="AK507" s="16"/>
      <c r="AL507" s="37"/>
    </row>
    <row r="508" spans="1:38" ht="14.25" customHeight="1" x14ac:dyDescent="0.3">
      <c r="A508" s="34"/>
      <c r="B508" s="16"/>
      <c r="C508" s="15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6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5"/>
      <c r="AI508" s="16"/>
      <c r="AJ508" s="16"/>
      <c r="AK508" s="16"/>
      <c r="AL508" s="37"/>
    </row>
    <row r="509" spans="1:38" ht="14.25" customHeight="1" x14ac:dyDescent="0.3">
      <c r="A509" s="34"/>
      <c r="B509" s="16"/>
      <c r="C509" s="15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6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5"/>
      <c r="AI509" s="16"/>
      <c r="AJ509" s="16"/>
      <c r="AK509" s="16"/>
      <c r="AL509" s="37"/>
    </row>
    <row r="510" spans="1:38" ht="14.25" customHeight="1" x14ac:dyDescent="0.3">
      <c r="A510" s="34"/>
      <c r="B510" s="16"/>
      <c r="C510" s="15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6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5"/>
      <c r="AI510" s="16"/>
      <c r="AJ510" s="16"/>
      <c r="AK510" s="16"/>
      <c r="AL510" s="37"/>
    </row>
    <row r="511" spans="1:38" ht="14.25" customHeight="1" x14ac:dyDescent="0.3">
      <c r="A511" s="34"/>
      <c r="B511" s="16"/>
      <c r="C511" s="15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6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5"/>
      <c r="AI511" s="16"/>
      <c r="AJ511" s="16"/>
      <c r="AK511" s="16"/>
      <c r="AL511" s="37"/>
    </row>
    <row r="512" spans="1:38" ht="14.25" customHeight="1" x14ac:dyDescent="0.3">
      <c r="A512" s="34"/>
      <c r="B512" s="16"/>
      <c r="C512" s="15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6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5"/>
      <c r="AI512" s="16"/>
      <c r="AJ512" s="16"/>
      <c r="AK512" s="16"/>
      <c r="AL512" s="37"/>
    </row>
    <row r="513" spans="1:38" ht="14.25" customHeight="1" x14ac:dyDescent="0.3">
      <c r="A513" s="34"/>
      <c r="B513" s="16"/>
      <c r="C513" s="15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6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5"/>
      <c r="AI513" s="16"/>
      <c r="AJ513" s="16"/>
      <c r="AK513" s="16"/>
      <c r="AL513" s="37"/>
    </row>
    <row r="514" spans="1:38" ht="14.25" customHeight="1" x14ac:dyDescent="0.3">
      <c r="A514" s="34"/>
      <c r="B514" s="16"/>
      <c r="C514" s="15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6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5"/>
      <c r="AI514" s="16"/>
      <c r="AJ514" s="16"/>
      <c r="AK514" s="16"/>
      <c r="AL514" s="37"/>
    </row>
    <row r="515" spans="1:38" ht="14.25" customHeight="1" x14ac:dyDescent="0.3">
      <c r="A515" s="34"/>
      <c r="B515" s="16"/>
      <c r="C515" s="15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6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5"/>
      <c r="AI515" s="16"/>
      <c r="AJ515" s="16"/>
      <c r="AK515" s="16"/>
      <c r="AL515" s="37"/>
    </row>
    <row r="516" spans="1:38" ht="14.25" customHeight="1" x14ac:dyDescent="0.3">
      <c r="A516" s="34"/>
      <c r="B516" s="16"/>
      <c r="C516" s="15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6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5"/>
      <c r="AI516" s="16"/>
      <c r="AJ516" s="16"/>
      <c r="AK516" s="16"/>
      <c r="AL516" s="37"/>
    </row>
    <row r="517" spans="1:38" ht="14.25" customHeight="1" x14ac:dyDescent="0.3">
      <c r="A517" s="34"/>
      <c r="B517" s="16"/>
      <c r="C517" s="15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6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5"/>
      <c r="AI517" s="16"/>
      <c r="AJ517" s="16"/>
      <c r="AK517" s="16"/>
      <c r="AL517" s="37"/>
    </row>
    <row r="518" spans="1:38" ht="14.25" customHeight="1" x14ac:dyDescent="0.3">
      <c r="A518" s="34"/>
      <c r="B518" s="16"/>
      <c r="C518" s="15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6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5"/>
      <c r="AI518" s="16"/>
      <c r="AJ518" s="16"/>
      <c r="AK518" s="16"/>
      <c r="AL518" s="37"/>
    </row>
    <row r="519" spans="1:38" ht="14.25" customHeight="1" x14ac:dyDescent="0.3">
      <c r="A519" s="34"/>
      <c r="B519" s="16"/>
      <c r="C519" s="15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6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5"/>
      <c r="AI519" s="16"/>
      <c r="AJ519" s="16"/>
      <c r="AK519" s="16"/>
      <c r="AL519" s="37"/>
    </row>
    <row r="520" spans="1:38" ht="14.25" customHeight="1" x14ac:dyDescent="0.3">
      <c r="A520" s="34"/>
      <c r="B520" s="16"/>
      <c r="C520" s="15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6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5"/>
      <c r="AI520" s="16"/>
      <c r="AJ520" s="16"/>
      <c r="AK520" s="16"/>
      <c r="AL520" s="37"/>
    </row>
    <row r="521" spans="1:38" ht="14.25" customHeight="1" x14ac:dyDescent="0.3">
      <c r="A521" s="34"/>
      <c r="B521" s="16"/>
      <c r="C521" s="15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6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5"/>
      <c r="AI521" s="16"/>
      <c r="AJ521" s="16"/>
      <c r="AK521" s="16"/>
      <c r="AL521" s="37"/>
    </row>
    <row r="522" spans="1:38" ht="14.25" customHeight="1" x14ac:dyDescent="0.3">
      <c r="A522" s="34"/>
      <c r="B522" s="16"/>
      <c r="C522" s="15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6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5"/>
      <c r="AI522" s="16"/>
      <c r="AJ522" s="16"/>
      <c r="AK522" s="16"/>
      <c r="AL522" s="37"/>
    </row>
    <row r="523" spans="1:38" ht="14.25" customHeight="1" x14ac:dyDescent="0.3">
      <c r="A523" s="34"/>
      <c r="B523" s="16"/>
      <c r="C523" s="15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6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5"/>
      <c r="AI523" s="16"/>
      <c r="AJ523" s="16"/>
      <c r="AK523" s="16"/>
      <c r="AL523" s="37"/>
    </row>
    <row r="524" spans="1:38" ht="14.25" customHeight="1" x14ac:dyDescent="0.3">
      <c r="A524" s="34"/>
      <c r="B524" s="16"/>
      <c r="C524" s="15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6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5"/>
      <c r="AI524" s="16"/>
      <c r="AJ524" s="16"/>
      <c r="AK524" s="16"/>
      <c r="AL524" s="37"/>
    </row>
    <row r="525" spans="1:38" ht="14.25" customHeight="1" x14ac:dyDescent="0.3">
      <c r="A525" s="34"/>
      <c r="B525" s="16"/>
      <c r="C525" s="15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6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5"/>
      <c r="AI525" s="16"/>
      <c r="AJ525" s="16"/>
      <c r="AK525" s="16"/>
      <c r="AL525" s="37"/>
    </row>
    <row r="526" spans="1:38" ht="14.25" customHeight="1" x14ac:dyDescent="0.3">
      <c r="A526" s="34"/>
      <c r="B526" s="16"/>
      <c r="C526" s="15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6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5"/>
      <c r="AI526" s="16"/>
      <c r="AJ526" s="16"/>
      <c r="AK526" s="16"/>
      <c r="AL526" s="37"/>
    </row>
    <row r="527" spans="1:38" ht="14.25" customHeight="1" x14ac:dyDescent="0.3">
      <c r="A527" s="34"/>
      <c r="B527" s="16"/>
      <c r="C527" s="15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6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5"/>
      <c r="AI527" s="16"/>
      <c r="AJ527" s="16"/>
      <c r="AK527" s="16"/>
      <c r="AL527" s="37"/>
    </row>
    <row r="528" spans="1:38" ht="14.25" customHeight="1" x14ac:dyDescent="0.3">
      <c r="A528" s="34"/>
      <c r="B528" s="16"/>
      <c r="C528" s="15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6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5"/>
      <c r="AI528" s="16"/>
      <c r="AJ528" s="16"/>
      <c r="AK528" s="16"/>
      <c r="AL528" s="37"/>
    </row>
    <row r="529" spans="1:38" ht="14.25" customHeight="1" x14ac:dyDescent="0.3">
      <c r="A529" s="34"/>
      <c r="B529" s="16"/>
      <c r="C529" s="15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6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5"/>
      <c r="AI529" s="16"/>
      <c r="AJ529" s="16"/>
      <c r="AK529" s="16"/>
      <c r="AL529" s="37"/>
    </row>
    <row r="530" spans="1:38" ht="14.25" customHeight="1" x14ac:dyDescent="0.3">
      <c r="A530" s="34"/>
      <c r="B530" s="16"/>
      <c r="C530" s="15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6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5"/>
      <c r="AI530" s="16"/>
      <c r="AJ530" s="16"/>
      <c r="AK530" s="16"/>
      <c r="AL530" s="37"/>
    </row>
    <row r="531" spans="1:38" ht="14.25" customHeight="1" x14ac:dyDescent="0.3">
      <c r="A531" s="34"/>
      <c r="B531" s="16"/>
      <c r="C531" s="15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6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5"/>
      <c r="AI531" s="16"/>
      <c r="AJ531" s="16"/>
      <c r="AK531" s="16"/>
      <c r="AL531" s="37"/>
    </row>
    <row r="532" spans="1:38" ht="14.25" customHeight="1" x14ac:dyDescent="0.3">
      <c r="A532" s="34"/>
      <c r="B532" s="16"/>
      <c r="C532" s="15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6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5"/>
      <c r="AI532" s="16"/>
      <c r="AJ532" s="16"/>
      <c r="AK532" s="16"/>
      <c r="AL532" s="37"/>
    </row>
    <row r="533" spans="1:38" ht="14.25" customHeight="1" x14ac:dyDescent="0.3">
      <c r="A533" s="34"/>
      <c r="B533" s="16"/>
      <c r="C533" s="15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6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5"/>
      <c r="AI533" s="16"/>
      <c r="AJ533" s="16"/>
      <c r="AK533" s="16"/>
      <c r="AL533" s="37"/>
    </row>
    <row r="534" spans="1:38" ht="14.25" customHeight="1" x14ac:dyDescent="0.3">
      <c r="A534" s="34"/>
      <c r="B534" s="16"/>
      <c r="C534" s="15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6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5"/>
      <c r="AI534" s="16"/>
      <c r="AJ534" s="16"/>
      <c r="AK534" s="16"/>
      <c r="AL534" s="37"/>
    </row>
    <row r="535" spans="1:38" ht="14.25" customHeight="1" x14ac:dyDescent="0.3">
      <c r="A535" s="34"/>
      <c r="B535" s="16"/>
      <c r="C535" s="15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6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5"/>
      <c r="AI535" s="16"/>
      <c r="AJ535" s="16"/>
      <c r="AK535" s="16"/>
      <c r="AL535" s="37"/>
    </row>
    <row r="536" spans="1:38" ht="14.25" customHeight="1" x14ac:dyDescent="0.3">
      <c r="A536" s="34"/>
      <c r="B536" s="16"/>
      <c r="C536" s="15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6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5"/>
      <c r="AI536" s="16"/>
      <c r="AJ536" s="16"/>
      <c r="AK536" s="16"/>
      <c r="AL536" s="37"/>
    </row>
    <row r="537" spans="1:38" ht="14.25" customHeight="1" x14ac:dyDescent="0.3">
      <c r="A537" s="34"/>
      <c r="B537" s="16"/>
      <c r="C537" s="15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6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5"/>
      <c r="AI537" s="16"/>
      <c r="AJ537" s="16"/>
      <c r="AK537" s="16"/>
      <c r="AL537" s="37"/>
    </row>
    <row r="538" spans="1:38" ht="14.25" customHeight="1" x14ac:dyDescent="0.3">
      <c r="A538" s="34"/>
      <c r="B538" s="16"/>
      <c r="C538" s="15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6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5"/>
      <c r="AI538" s="16"/>
      <c r="AJ538" s="16"/>
      <c r="AK538" s="16"/>
      <c r="AL538" s="37"/>
    </row>
    <row r="539" spans="1:38" ht="14.25" customHeight="1" x14ac:dyDescent="0.3">
      <c r="A539" s="34"/>
      <c r="B539" s="16"/>
      <c r="C539" s="15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6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5"/>
      <c r="AI539" s="16"/>
      <c r="AJ539" s="16"/>
      <c r="AK539" s="16"/>
      <c r="AL539" s="37"/>
    </row>
    <row r="540" spans="1:38" ht="14.25" customHeight="1" x14ac:dyDescent="0.3">
      <c r="A540" s="34"/>
      <c r="B540" s="16"/>
      <c r="C540" s="15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6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5"/>
      <c r="AI540" s="16"/>
      <c r="AJ540" s="16"/>
      <c r="AK540" s="16"/>
      <c r="AL540" s="37"/>
    </row>
    <row r="541" spans="1:38" ht="14.25" customHeight="1" x14ac:dyDescent="0.3">
      <c r="A541" s="34"/>
      <c r="B541" s="16"/>
      <c r="C541" s="15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6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5"/>
      <c r="AI541" s="16"/>
      <c r="AJ541" s="16"/>
      <c r="AK541" s="16"/>
      <c r="AL541" s="37"/>
    </row>
    <row r="542" spans="1:38" ht="14.25" customHeight="1" x14ac:dyDescent="0.3">
      <c r="A542" s="34"/>
      <c r="B542" s="16"/>
      <c r="C542" s="15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6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5"/>
      <c r="AI542" s="16"/>
      <c r="AJ542" s="16"/>
      <c r="AK542" s="16"/>
      <c r="AL542" s="37"/>
    </row>
    <row r="543" spans="1:38" ht="14.25" customHeight="1" x14ac:dyDescent="0.3">
      <c r="A543" s="34"/>
      <c r="B543" s="16"/>
      <c r="C543" s="15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6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5"/>
      <c r="AI543" s="16"/>
      <c r="AJ543" s="16"/>
      <c r="AK543" s="16"/>
      <c r="AL543" s="37"/>
    </row>
    <row r="544" spans="1:38" ht="14.25" customHeight="1" x14ac:dyDescent="0.3">
      <c r="A544" s="34"/>
      <c r="B544" s="16"/>
      <c r="C544" s="15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6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5"/>
      <c r="AI544" s="16"/>
      <c r="AJ544" s="16"/>
      <c r="AK544" s="16"/>
      <c r="AL544" s="37"/>
    </row>
    <row r="545" spans="1:38" ht="14.25" customHeight="1" x14ac:dyDescent="0.3">
      <c r="A545" s="34"/>
      <c r="B545" s="16"/>
      <c r="C545" s="15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6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5"/>
      <c r="AI545" s="16"/>
      <c r="AJ545" s="16"/>
      <c r="AK545" s="16"/>
      <c r="AL545" s="37"/>
    </row>
    <row r="546" spans="1:38" ht="14.25" customHeight="1" x14ac:dyDescent="0.3">
      <c r="A546" s="34"/>
      <c r="B546" s="16"/>
      <c r="C546" s="15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6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5"/>
      <c r="AI546" s="16"/>
      <c r="AJ546" s="16"/>
      <c r="AK546" s="16"/>
      <c r="AL546" s="37"/>
    </row>
    <row r="547" spans="1:38" ht="14.25" customHeight="1" x14ac:dyDescent="0.3">
      <c r="A547" s="34"/>
      <c r="B547" s="16"/>
      <c r="C547" s="15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6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5"/>
      <c r="AI547" s="16"/>
      <c r="AJ547" s="16"/>
      <c r="AK547" s="16"/>
      <c r="AL547" s="37"/>
    </row>
    <row r="548" spans="1:38" ht="14.25" customHeight="1" x14ac:dyDescent="0.3">
      <c r="A548" s="34"/>
      <c r="B548" s="16"/>
      <c r="C548" s="15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6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5"/>
      <c r="AI548" s="16"/>
      <c r="AJ548" s="16"/>
      <c r="AK548" s="16"/>
      <c r="AL548" s="37"/>
    </row>
    <row r="549" spans="1:38" ht="14.25" customHeight="1" x14ac:dyDescent="0.3">
      <c r="A549" s="34"/>
      <c r="B549" s="16"/>
      <c r="C549" s="15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6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5"/>
      <c r="AI549" s="16"/>
      <c r="AJ549" s="16"/>
      <c r="AK549" s="16"/>
      <c r="AL549" s="37"/>
    </row>
    <row r="550" spans="1:38" ht="14.25" customHeight="1" x14ac:dyDescent="0.3">
      <c r="A550" s="34"/>
      <c r="B550" s="16"/>
      <c r="C550" s="15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6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5"/>
      <c r="AI550" s="16"/>
      <c r="AJ550" s="16"/>
      <c r="AK550" s="16"/>
      <c r="AL550" s="37"/>
    </row>
    <row r="551" spans="1:38" ht="14.25" customHeight="1" x14ac:dyDescent="0.3">
      <c r="A551" s="34"/>
      <c r="B551" s="16"/>
      <c r="C551" s="15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6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5"/>
      <c r="AI551" s="16"/>
      <c r="AJ551" s="16"/>
      <c r="AK551" s="16"/>
      <c r="AL551" s="37"/>
    </row>
    <row r="552" spans="1:38" ht="14.25" customHeight="1" x14ac:dyDescent="0.3">
      <c r="A552" s="34"/>
      <c r="B552" s="16"/>
      <c r="C552" s="15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6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5"/>
      <c r="AI552" s="16"/>
      <c r="AJ552" s="16"/>
      <c r="AK552" s="16"/>
      <c r="AL552" s="37"/>
    </row>
    <row r="553" spans="1:38" ht="14.25" customHeight="1" x14ac:dyDescent="0.3">
      <c r="A553" s="34"/>
      <c r="B553" s="16"/>
      <c r="C553" s="15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6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5"/>
      <c r="AI553" s="16"/>
      <c r="AJ553" s="16"/>
      <c r="AK553" s="16"/>
      <c r="AL553" s="37"/>
    </row>
    <row r="554" spans="1:38" ht="14.25" customHeight="1" x14ac:dyDescent="0.3">
      <c r="A554" s="34"/>
      <c r="B554" s="16"/>
      <c r="C554" s="15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6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5"/>
      <c r="AI554" s="16"/>
      <c r="AJ554" s="16"/>
      <c r="AK554" s="16"/>
      <c r="AL554" s="37"/>
    </row>
    <row r="555" spans="1:38" ht="14.25" customHeight="1" x14ac:dyDescent="0.3">
      <c r="A555" s="34"/>
      <c r="B555" s="16"/>
      <c r="C555" s="15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6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5"/>
      <c r="AI555" s="16"/>
      <c r="AJ555" s="16"/>
      <c r="AK555" s="16"/>
      <c r="AL555" s="37"/>
    </row>
    <row r="556" spans="1:38" ht="14.25" customHeight="1" x14ac:dyDescent="0.3">
      <c r="A556" s="34"/>
      <c r="B556" s="16"/>
      <c r="C556" s="15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6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5"/>
      <c r="AI556" s="16"/>
      <c r="AJ556" s="16"/>
      <c r="AK556" s="16"/>
      <c r="AL556" s="37"/>
    </row>
    <row r="557" spans="1:38" ht="14.25" customHeight="1" x14ac:dyDescent="0.3">
      <c r="A557" s="34"/>
      <c r="B557" s="16"/>
      <c r="C557" s="15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6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5"/>
      <c r="AI557" s="16"/>
      <c r="AJ557" s="16"/>
      <c r="AK557" s="16"/>
      <c r="AL557" s="37"/>
    </row>
    <row r="558" spans="1:38" ht="14.25" customHeight="1" x14ac:dyDescent="0.3">
      <c r="A558" s="34"/>
      <c r="B558" s="16"/>
      <c r="C558" s="15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6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5"/>
      <c r="AI558" s="16"/>
      <c r="AJ558" s="16"/>
      <c r="AK558" s="16"/>
      <c r="AL558" s="37"/>
    </row>
    <row r="559" spans="1:38" ht="14.25" customHeight="1" x14ac:dyDescent="0.3">
      <c r="A559" s="34"/>
      <c r="B559" s="16"/>
      <c r="C559" s="15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6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5"/>
      <c r="AI559" s="16"/>
      <c r="AJ559" s="16"/>
      <c r="AK559" s="16"/>
      <c r="AL559" s="37"/>
    </row>
    <row r="560" spans="1:38" ht="14.25" customHeight="1" x14ac:dyDescent="0.3">
      <c r="A560" s="34"/>
      <c r="B560" s="16"/>
      <c r="C560" s="15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6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5"/>
      <c r="AI560" s="16"/>
      <c r="AJ560" s="16"/>
      <c r="AK560" s="16"/>
      <c r="AL560" s="37"/>
    </row>
    <row r="561" spans="1:38" ht="14.25" customHeight="1" x14ac:dyDescent="0.3">
      <c r="A561" s="34"/>
      <c r="B561" s="16"/>
      <c r="C561" s="15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6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5"/>
      <c r="AI561" s="16"/>
      <c r="AJ561" s="16"/>
      <c r="AK561" s="16"/>
      <c r="AL561" s="37"/>
    </row>
    <row r="562" spans="1:38" ht="14.25" customHeight="1" x14ac:dyDescent="0.3">
      <c r="A562" s="34"/>
      <c r="B562" s="16"/>
      <c r="C562" s="15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6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5"/>
      <c r="AI562" s="16"/>
      <c r="AJ562" s="16"/>
      <c r="AK562" s="16"/>
      <c r="AL562" s="37"/>
    </row>
    <row r="563" spans="1:38" ht="14.25" customHeight="1" x14ac:dyDescent="0.3">
      <c r="A563" s="34"/>
      <c r="B563" s="16"/>
      <c r="C563" s="15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6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5"/>
      <c r="AI563" s="16"/>
      <c r="AJ563" s="16"/>
      <c r="AK563" s="16"/>
      <c r="AL563" s="37"/>
    </row>
    <row r="564" spans="1:38" ht="14.25" customHeight="1" x14ac:dyDescent="0.3">
      <c r="A564" s="34"/>
      <c r="B564" s="16"/>
      <c r="C564" s="15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6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5"/>
      <c r="AI564" s="16"/>
      <c r="AJ564" s="16"/>
      <c r="AK564" s="16"/>
      <c r="AL564" s="37"/>
    </row>
    <row r="565" spans="1:38" ht="14.25" customHeight="1" x14ac:dyDescent="0.3">
      <c r="A565" s="34"/>
      <c r="B565" s="16"/>
      <c r="C565" s="15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6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5"/>
      <c r="AI565" s="16"/>
      <c r="AJ565" s="16"/>
      <c r="AK565" s="16"/>
      <c r="AL565" s="37"/>
    </row>
    <row r="566" spans="1:38" ht="14.25" customHeight="1" x14ac:dyDescent="0.3">
      <c r="A566" s="34"/>
      <c r="B566" s="16"/>
      <c r="C566" s="15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6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5"/>
      <c r="AI566" s="16"/>
      <c r="AJ566" s="16"/>
      <c r="AK566" s="16"/>
      <c r="AL566" s="37"/>
    </row>
    <row r="567" spans="1:38" ht="14.25" customHeight="1" x14ac:dyDescent="0.3">
      <c r="A567" s="34"/>
      <c r="B567" s="16"/>
      <c r="C567" s="15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6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5"/>
      <c r="AI567" s="16"/>
      <c r="AJ567" s="16"/>
      <c r="AK567" s="16"/>
      <c r="AL567" s="37"/>
    </row>
    <row r="568" spans="1:38" ht="14.25" customHeight="1" x14ac:dyDescent="0.3">
      <c r="A568" s="34"/>
      <c r="B568" s="16"/>
      <c r="C568" s="15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6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5"/>
      <c r="AI568" s="16"/>
      <c r="AJ568" s="16"/>
      <c r="AK568" s="16"/>
      <c r="AL568" s="37"/>
    </row>
    <row r="569" spans="1:38" ht="14.25" customHeight="1" x14ac:dyDescent="0.3">
      <c r="A569" s="34"/>
      <c r="B569" s="16"/>
      <c r="C569" s="15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6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5"/>
      <c r="AI569" s="16"/>
      <c r="AJ569" s="16"/>
      <c r="AK569" s="16"/>
      <c r="AL569" s="37"/>
    </row>
    <row r="570" spans="1:38" ht="14.25" customHeight="1" x14ac:dyDescent="0.3">
      <c r="A570" s="34"/>
      <c r="B570" s="16"/>
      <c r="C570" s="15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6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5"/>
      <c r="AI570" s="16"/>
      <c r="AJ570" s="16"/>
      <c r="AK570" s="16"/>
      <c r="AL570" s="37"/>
    </row>
    <row r="571" spans="1:38" ht="14.25" customHeight="1" x14ac:dyDescent="0.3">
      <c r="A571" s="34"/>
      <c r="B571" s="16"/>
      <c r="C571" s="15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6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5"/>
      <c r="AI571" s="16"/>
      <c r="AJ571" s="16"/>
      <c r="AK571" s="16"/>
      <c r="AL571" s="37"/>
    </row>
    <row r="572" spans="1:38" ht="14.25" customHeight="1" x14ac:dyDescent="0.3">
      <c r="A572" s="34"/>
      <c r="B572" s="16"/>
      <c r="C572" s="15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6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5"/>
      <c r="AI572" s="16"/>
      <c r="AJ572" s="16"/>
      <c r="AK572" s="16"/>
      <c r="AL572" s="37"/>
    </row>
    <row r="573" spans="1:38" ht="14.25" customHeight="1" x14ac:dyDescent="0.3">
      <c r="A573" s="34"/>
      <c r="B573" s="16"/>
      <c r="C573" s="15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6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5"/>
      <c r="AI573" s="16"/>
      <c r="AJ573" s="16"/>
      <c r="AK573" s="16"/>
      <c r="AL573" s="37"/>
    </row>
    <row r="574" spans="1:38" ht="14.25" customHeight="1" x14ac:dyDescent="0.3">
      <c r="A574" s="34"/>
      <c r="B574" s="16"/>
      <c r="C574" s="15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6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5"/>
      <c r="AI574" s="16"/>
      <c r="AJ574" s="16"/>
      <c r="AK574" s="16"/>
      <c r="AL574" s="37"/>
    </row>
    <row r="575" spans="1:38" ht="14.25" customHeight="1" x14ac:dyDescent="0.3">
      <c r="A575" s="34"/>
      <c r="B575" s="16"/>
      <c r="C575" s="15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6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5"/>
      <c r="AI575" s="16"/>
      <c r="AJ575" s="16"/>
      <c r="AK575" s="16"/>
      <c r="AL575" s="37"/>
    </row>
    <row r="576" spans="1:38" ht="14.25" customHeight="1" x14ac:dyDescent="0.3">
      <c r="A576" s="34"/>
      <c r="B576" s="16"/>
      <c r="C576" s="15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6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5"/>
      <c r="AI576" s="16"/>
      <c r="AJ576" s="16"/>
      <c r="AK576" s="16"/>
      <c r="AL576" s="37"/>
    </row>
    <row r="577" spans="1:38" ht="14.25" customHeight="1" x14ac:dyDescent="0.3">
      <c r="A577" s="34"/>
      <c r="B577" s="16"/>
      <c r="C577" s="15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6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5"/>
      <c r="AI577" s="16"/>
      <c r="AJ577" s="16"/>
      <c r="AK577" s="16"/>
      <c r="AL577" s="37"/>
    </row>
    <row r="578" spans="1:38" ht="14.25" customHeight="1" x14ac:dyDescent="0.3">
      <c r="A578" s="34"/>
      <c r="B578" s="16"/>
      <c r="C578" s="15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6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5"/>
      <c r="AI578" s="16"/>
      <c r="AJ578" s="16"/>
      <c r="AK578" s="16"/>
      <c r="AL578" s="37"/>
    </row>
    <row r="579" spans="1:38" ht="14.25" customHeight="1" x14ac:dyDescent="0.3">
      <c r="A579" s="34"/>
      <c r="B579" s="16"/>
      <c r="C579" s="15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6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5"/>
      <c r="AI579" s="16"/>
      <c r="AJ579" s="16"/>
      <c r="AK579" s="16"/>
      <c r="AL579" s="37"/>
    </row>
    <row r="580" spans="1:38" ht="14.25" customHeight="1" x14ac:dyDescent="0.3">
      <c r="A580" s="34"/>
      <c r="B580" s="16"/>
      <c r="C580" s="15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6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5"/>
      <c r="AI580" s="16"/>
      <c r="AJ580" s="16"/>
      <c r="AK580" s="16"/>
      <c r="AL580" s="37"/>
    </row>
    <row r="581" spans="1:38" ht="14.25" customHeight="1" x14ac:dyDescent="0.3">
      <c r="A581" s="34"/>
      <c r="B581" s="16"/>
      <c r="C581" s="15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6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5"/>
      <c r="AI581" s="16"/>
      <c r="AJ581" s="16"/>
      <c r="AK581" s="16"/>
      <c r="AL581" s="37"/>
    </row>
    <row r="582" spans="1:38" ht="14.25" customHeight="1" x14ac:dyDescent="0.3">
      <c r="A582" s="34"/>
      <c r="B582" s="16"/>
      <c r="C582" s="15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6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5"/>
      <c r="AI582" s="16"/>
      <c r="AJ582" s="16"/>
      <c r="AK582" s="16"/>
      <c r="AL582" s="37"/>
    </row>
    <row r="583" spans="1:38" ht="14.25" customHeight="1" x14ac:dyDescent="0.3">
      <c r="A583" s="34"/>
      <c r="B583" s="16"/>
      <c r="C583" s="15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6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5"/>
      <c r="AI583" s="16"/>
      <c r="AJ583" s="16"/>
      <c r="AK583" s="16"/>
      <c r="AL583" s="37"/>
    </row>
    <row r="584" spans="1:38" ht="14.25" customHeight="1" x14ac:dyDescent="0.3">
      <c r="A584" s="34"/>
      <c r="B584" s="16"/>
      <c r="C584" s="15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6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5"/>
      <c r="AI584" s="16"/>
      <c r="AJ584" s="16"/>
      <c r="AK584" s="16"/>
      <c r="AL584" s="37"/>
    </row>
    <row r="585" spans="1:38" ht="14.25" customHeight="1" x14ac:dyDescent="0.3">
      <c r="A585" s="34"/>
      <c r="B585" s="16"/>
      <c r="C585" s="15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6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5"/>
      <c r="AI585" s="16"/>
      <c r="AJ585" s="16"/>
      <c r="AK585" s="16"/>
      <c r="AL585" s="37"/>
    </row>
    <row r="586" spans="1:38" ht="14.25" customHeight="1" x14ac:dyDescent="0.3">
      <c r="A586" s="34"/>
      <c r="B586" s="16"/>
      <c r="C586" s="15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6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5"/>
      <c r="AI586" s="16"/>
      <c r="AJ586" s="16"/>
      <c r="AK586" s="16"/>
      <c r="AL586" s="37"/>
    </row>
    <row r="587" spans="1:38" ht="14.25" customHeight="1" x14ac:dyDescent="0.3">
      <c r="A587" s="34"/>
      <c r="B587" s="16"/>
      <c r="C587" s="15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6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5"/>
      <c r="AI587" s="16"/>
      <c r="AJ587" s="16"/>
      <c r="AK587" s="16"/>
      <c r="AL587" s="37"/>
    </row>
    <row r="588" spans="1:38" ht="14.25" customHeight="1" x14ac:dyDescent="0.3">
      <c r="A588" s="34"/>
      <c r="B588" s="16"/>
      <c r="C588" s="15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6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5"/>
      <c r="AI588" s="16"/>
      <c r="AJ588" s="16"/>
      <c r="AK588" s="16"/>
      <c r="AL588" s="37"/>
    </row>
    <row r="589" spans="1:38" ht="14.25" customHeight="1" x14ac:dyDescent="0.3">
      <c r="A589" s="34"/>
      <c r="B589" s="16"/>
      <c r="C589" s="15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6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5"/>
      <c r="AI589" s="16"/>
      <c r="AJ589" s="16"/>
      <c r="AK589" s="16"/>
      <c r="AL589" s="37"/>
    </row>
    <row r="590" spans="1:38" ht="14.25" customHeight="1" x14ac:dyDescent="0.3">
      <c r="A590" s="34"/>
      <c r="B590" s="16"/>
      <c r="C590" s="15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6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5"/>
      <c r="AI590" s="16"/>
      <c r="AJ590" s="16"/>
      <c r="AK590" s="16"/>
      <c r="AL590" s="37"/>
    </row>
    <row r="591" spans="1:38" ht="14.25" customHeight="1" x14ac:dyDescent="0.3">
      <c r="A591" s="34"/>
      <c r="B591" s="16"/>
      <c r="C591" s="15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6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5"/>
      <c r="AI591" s="16"/>
      <c r="AJ591" s="16"/>
      <c r="AK591" s="16"/>
      <c r="AL591" s="37"/>
    </row>
    <row r="592" spans="1:38" ht="14.25" customHeight="1" x14ac:dyDescent="0.3">
      <c r="A592" s="34"/>
      <c r="B592" s="16"/>
      <c r="C592" s="15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6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5"/>
      <c r="AI592" s="16"/>
      <c r="AJ592" s="16"/>
      <c r="AK592" s="16"/>
      <c r="AL592" s="37"/>
    </row>
    <row r="593" spans="1:38" ht="14.25" customHeight="1" x14ac:dyDescent="0.3">
      <c r="A593" s="34"/>
      <c r="B593" s="16"/>
      <c r="C593" s="15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6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5"/>
      <c r="AI593" s="16"/>
      <c r="AJ593" s="16"/>
      <c r="AK593" s="16"/>
      <c r="AL593" s="37"/>
    </row>
    <row r="594" spans="1:38" ht="14.25" customHeight="1" x14ac:dyDescent="0.3">
      <c r="A594" s="34"/>
      <c r="B594" s="16"/>
      <c r="C594" s="15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6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5"/>
      <c r="AI594" s="16"/>
      <c r="AJ594" s="16"/>
      <c r="AK594" s="16"/>
      <c r="AL594" s="37"/>
    </row>
    <row r="595" spans="1:38" ht="14.25" customHeight="1" x14ac:dyDescent="0.3">
      <c r="A595" s="34"/>
      <c r="B595" s="16"/>
      <c r="C595" s="15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6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5"/>
      <c r="AI595" s="16"/>
      <c r="AJ595" s="16"/>
      <c r="AK595" s="16"/>
      <c r="AL595" s="37"/>
    </row>
    <row r="596" spans="1:38" ht="14.25" customHeight="1" x14ac:dyDescent="0.3">
      <c r="A596" s="34"/>
      <c r="B596" s="16"/>
      <c r="C596" s="15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6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5"/>
      <c r="AI596" s="16"/>
      <c r="AJ596" s="16"/>
      <c r="AK596" s="16"/>
      <c r="AL596" s="37"/>
    </row>
    <row r="597" spans="1:38" ht="14.25" customHeight="1" x14ac:dyDescent="0.3">
      <c r="A597" s="34"/>
      <c r="B597" s="16"/>
      <c r="C597" s="15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6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5"/>
      <c r="AI597" s="16"/>
      <c r="AJ597" s="16"/>
      <c r="AK597" s="16"/>
      <c r="AL597" s="37"/>
    </row>
    <row r="598" spans="1:38" ht="14.25" customHeight="1" x14ac:dyDescent="0.3">
      <c r="A598" s="34"/>
      <c r="B598" s="16"/>
      <c r="C598" s="15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6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5"/>
      <c r="AI598" s="16"/>
      <c r="AJ598" s="16"/>
      <c r="AK598" s="16"/>
      <c r="AL598" s="37"/>
    </row>
    <row r="599" spans="1:38" ht="14.25" customHeight="1" x14ac:dyDescent="0.3">
      <c r="A599" s="34"/>
      <c r="B599" s="16"/>
      <c r="C599" s="15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6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5"/>
      <c r="AI599" s="16"/>
      <c r="AJ599" s="16"/>
      <c r="AK599" s="16"/>
      <c r="AL599" s="37"/>
    </row>
    <row r="600" spans="1:38" ht="14.25" customHeight="1" x14ac:dyDescent="0.3">
      <c r="A600" s="34"/>
      <c r="B600" s="16"/>
      <c r="C600" s="15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6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5"/>
      <c r="AI600" s="16"/>
      <c r="AJ600" s="16"/>
      <c r="AK600" s="16"/>
      <c r="AL600" s="37"/>
    </row>
    <row r="601" spans="1:38" ht="14.25" customHeight="1" x14ac:dyDescent="0.3">
      <c r="A601" s="34"/>
      <c r="B601" s="16"/>
      <c r="C601" s="15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6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5"/>
      <c r="AI601" s="16"/>
      <c r="AJ601" s="16"/>
      <c r="AK601" s="16"/>
      <c r="AL601" s="37"/>
    </row>
    <row r="602" spans="1:38" ht="14.25" customHeight="1" x14ac:dyDescent="0.3">
      <c r="A602" s="34"/>
      <c r="B602" s="16"/>
      <c r="C602" s="15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6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5"/>
      <c r="AI602" s="16"/>
      <c r="AJ602" s="16"/>
      <c r="AK602" s="16"/>
      <c r="AL602" s="37"/>
    </row>
    <row r="603" spans="1:38" ht="14.25" customHeight="1" x14ac:dyDescent="0.3">
      <c r="A603" s="34"/>
      <c r="B603" s="16"/>
      <c r="C603" s="15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6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5"/>
      <c r="AI603" s="16"/>
      <c r="AJ603" s="16"/>
      <c r="AK603" s="16"/>
      <c r="AL603" s="37"/>
    </row>
    <row r="604" spans="1:38" ht="14.25" customHeight="1" x14ac:dyDescent="0.3">
      <c r="A604" s="34"/>
      <c r="B604" s="16"/>
      <c r="C604" s="15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6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5"/>
      <c r="AI604" s="16"/>
      <c r="AJ604" s="16"/>
      <c r="AK604" s="16"/>
      <c r="AL604" s="37"/>
    </row>
    <row r="605" spans="1:38" ht="14.25" customHeight="1" x14ac:dyDescent="0.3">
      <c r="A605" s="34"/>
      <c r="B605" s="16"/>
      <c r="C605" s="15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6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5"/>
      <c r="AI605" s="16"/>
      <c r="AJ605" s="16"/>
      <c r="AK605" s="16"/>
      <c r="AL605" s="37"/>
    </row>
    <row r="606" spans="1:38" ht="14.25" customHeight="1" x14ac:dyDescent="0.3">
      <c r="A606" s="34"/>
      <c r="B606" s="16"/>
      <c r="C606" s="15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6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5"/>
      <c r="AI606" s="16"/>
      <c r="AJ606" s="16"/>
      <c r="AK606" s="16"/>
      <c r="AL606" s="37"/>
    </row>
    <row r="607" spans="1:38" ht="14.25" customHeight="1" x14ac:dyDescent="0.3">
      <c r="A607" s="34"/>
      <c r="B607" s="16"/>
      <c r="C607" s="15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6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5"/>
      <c r="AI607" s="16"/>
      <c r="AJ607" s="16"/>
      <c r="AK607" s="16"/>
      <c r="AL607" s="37"/>
    </row>
    <row r="608" spans="1:38" ht="14.25" customHeight="1" x14ac:dyDescent="0.3">
      <c r="A608" s="34"/>
      <c r="B608" s="16"/>
      <c r="C608" s="15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6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5"/>
      <c r="AI608" s="16"/>
      <c r="AJ608" s="16"/>
      <c r="AK608" s="16"/>
      <c r="AL608" s="37"/>
    </row>
    <row r="609" spans="1:38" ht="14.25" customHeight="1" x14ac:dyDescent="0.3">
      <c r="A609" s="34"/>
      <c r="B609" s="16"/>
      <c r="C609" s="15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6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5"/>
      <c r="AI609" s="16"/>
      <c r="AJ609" s="16"/>
      <c r="AK609" s="16"/>
      <c r="AL609" s="37"/>
    </row>
    <row r="610" spans="1:38" ht="14.25" customHeight="1" x14ac:dyDescent="0.3">
      <c r="A610" s="34"/>
      <c r="B610" s="16"/>
      <c r="C610" s="15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6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5"/>
      <c r="AI610" s="16"/>
      <c r="AJ610" s="16"/>
      <c r="AK610" s="16"/>
      <c r="AL610" s="37"/>
    </row>
    <row r="611" spans="1:38" ht="14.25" customHeight="1" x14ac:dyDescent="0.3">
      <c r="A611" s="34"/>
      <c r="B611" s="16"/>
      <c r="C611" s="15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6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5"/>
      <c r="AI611" s="16"/>
      <c r="AJ611" s="16"/>
      <c r="AK611" s="16"/>
      <c r="AL611" s="37"/>
    </row>
    <row r="612" spans="1:38" ht="14.25" customHeight="1" x14ac:dyDescent="0.3">
      <c r="A612" s="34"/>
      <c r="B612" s="16"/>
      <c r="C612" s="15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6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5"/>
      <c r="AI612" s="16"/>
      <c r="AJ612" s="16"/>
      <c r="AK612" s="16"/>
      <c r="AL612" s="37"/>
    </row>
    <row r="613" spans="1:38" ht="14.25" customHeight="1" x14ac:dyDescent="0.3">
      <c r="A613" s="34"/>
      <c r="B613" s="16"/>
      <c r="C613" s="15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6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5"/>
      <c r="AI613" s="16"/>
      <c r="AJ613" s="16"/>
      <c r="AK613" s="16"/>
      <c r="AL613" s="37"/>
    </row>
    <row r="614" spans="1:38" ht="14.25" customHeight="1" x14ac:dyDescent="0.3">
      <c r="A614" s="34"/>
      <c r="B614" s="16"/>
      <c r="C614" s="15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6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5"/>
      <c r="AI614" s="16"/>
      <c r="AJ614" s="16"/>
      <c r="AK614" s="16"/>
      <c r="AL614" s="37"/>
    </row>
    <row r="615" spans="1:38" ht="14.25" customHeight="1" x14ac:dyDescent="0.3">
      <c r="A615" s="34"/>
      <c r="B615" s="16"/>
      <c r="C615" s="15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6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5"/>
      <c r="AI615" s="16"/>
      <c r="AJ615" s="16"/>
      <c r="AK615" s="16"/>
      <c r="AL615" s="37"/>
    </row>
    <row r="616" spans="1:38" ht="14.25" customHeight="1" x14ac:dyDescent="0.3">
      <c r="A616" s="34"/>
      <c r="B616" s="16"/>
      <c r="C616" s="15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6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5"/>
      <c r="AI616" s="16"/>
      <c r="AJ616" s="16"/>
      <c r="AK616" s="16"/>
      <c r="AL616" s="37"/>
    </row>
    <row r="617" spans="1:38" ht="14.25" customHeight="1" x14ac:dyDescent="0.3">
      <c r="A617" s="34"/>
      <c r="B617" s="16"/>
      <c r="C617" s="15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6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5"/>
      <c r="AI617" s="16"/>
      <c r="AJ617" s="16"/>
      <c r="AK617" s="16"/>
      <c r="AL617" s="37"/>
    </row>
    <row r="618" spans="1:38" ht="14.25" customHeight="1" x14ac:dyDescent="0.3">
      <c r="A618" s="34"/>
      <c r="B618" s="16"/>
      <c r="C618" s="15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6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5"/>
      <c r="AI618" s="16"/>
      <c r="AJ618" s="16"/>
      <c r="AK618" s="16"/>
      <c r="AL618" s="37"/>
    </row>
    <row r="619" spans="1:38" ht="14.25" customHeight="1" x14ac:dyDescent="0.3">
      <c r="A619" s="34"/>
      <c r="B619" s="16"/>
      <c r="C619" s="15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6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5"/>
      <c r="AI619" s="16"/>
      <c r="AJ619" s="16"/>
      <c r="AK619" s="16"/>
      <c r="AL619" s="37"/>
    </row>
    <row r="620" spans="1:38" ht="14.25" customHeight="1" x14ac:dyDescent="0.3">
      <c r="A620" s="34"/>
      <c r="B620" s="16"/>
      <c r="C620" s="15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6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5"/>
      <c r="AI620" s="16"/>
      <c r="AJ620" s="16"/>
      <c r="AK620" s="16"/>
      <c r="AL620" s="37"/>
    </row>
    <row r="621" spans="1:38" ht="14.25" customHeight="1" x14ac:dyDescent="0.3">
      <c r="A621" s="34"/>
      <c r="B621" s="16"/>
      <c r="C621" s="15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6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5"/>
      <c r="AI621" s="16"/>
      <c r="AJ621" s="16"/>
      <c r="AK621" s="16"/>
      <c r="AL621" s="37"/>
    </row>
    <row r="622" spans="1:38" ht="14.25" customHeight="1" x14ac:dyDescent="0.3">
      <c r="A622" s="34"/>
      <c r="B622" s="16"/>
      <c r="C622" s="15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6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5"/>
      <c r="AI622" s="16"/>
      <c r="AJ622" s="16"/>
      <c r="AK622" s="16"/>
      <c r="AL622" s="37"/>
    </row>
    <row r="623" spans="1:38" ht="14.25" customHeight="1" x14ac:dyDescent="0.3">
      <c r="A623" s="34"/>
      <c r="B623" s="16"/>
      <c r="C623" s="15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6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5"/>
      <c r="AI623" s="16"/>
      <c r="AJ623" s="16"/>
      <c r="AK623" s="16"/>
      <c r="AL623" s="37"/>
    </row>
    <row r="624" spans="1:38" ht="14.25" customHeight="1" x14ac:dyDescent="0.3">
      <c r="A624" s="34"/>
      <c r="B624" s="16"/>
      <c r="C624" s="15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6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5"/>
      <c r="AI624" s="16"/>
      <c r="AJ624" s="16"/>
      <c r="AK624" s="16"/>
      <c r="AL624" s="37"/>
    </row>
    <row r="625" spans="1:38" ht="14.25" customHeight="1" x14ac:dyDescent="0.3">
      <c r="A625" s="34"/>
      <c r="B625" s="16"/>
      <c r="C625" s="15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6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5"/>
      <c r="AI625" s="16"/>
      <c r="AJ625" s="16"/>
      <c r="AK625" s="16"/>
      <c r="AL625" s="37"/>
    </row>
    <row r="626" spans="1:38" ht="14.25" customHeight="1" x14ac:dyDescent="0.3">
      <c r="A626" s="34"/>
      <c r="B626" s="16"/>
      <c r="C626" s="15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6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5"/>
      <c r="AI626" s="16"/>
      <c r="AJ626" s="16"/>
      <c r="AK626" s="16"/>
      <c r="AL626" s="37"/>
    </row>
    <row r="627" spans="1:38" ht="14.25" customHeight="1" x14ac:dyDescent="0.3">
      <c r="A627" s="34"/>
      <c r="B627" s="16"/>
      <c r="C627" s="15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6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5"/>
      <c r="AI627" s="16"/>
      <c r="AJ627" s="16"/>
      <c r="AK627" s="16"/>
      <c r="AL627" s="37"/>
    </row>
    <row r="628" spans="1:38" ht="14.25" customHeight="1" x14ac:dyDescent="0.3">
      <c r="A628" s="34"/>
      <c r="B628" s="16"/>
      <c r="C628" s="15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6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5"/>
      <c r="AI628" s="16"/>
      <c r="AJ628" s="16"/>
      <c r="AK628" s="16"/>
      <c r="AL628" s="37"/>
    </row>
    <row r="629" spans="1:38" ht="14.25" customHeight="1" x14ac:dyDescent="0.3">
      <c r="A629" s="34"/>
      <c r="B629" s="16"/>
      <c r="C629" s="15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6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5"/>
      <c r="AI629" s="16"/>
      <c r="AJ629" s="16"/>
      <c r="AK629" s="16"/>
      <c r="AL629" s="37"/>
    </row>
    <row r="630" spans="1:38" ht="14.25" customHeight="1" x14ac:dyDescent="0.3">
      <c r="A630" s="34"/>
      <c r="B630" s="16"/>
      <c r="C630" s="15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6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5"/>
      <c r="AI630" s="16"/>
      <c r="AJ630" s="16"/>
      <c r="AK630" s="16"/>
      <c r="AL630" s="37"/>
    </row>
    <row r="631" spans="1:38" ht="14.25" customHeight="1" x14ac:dyDescent="0.3">
      <c r="A631" s="34"/>
      <c r="B631" s="16"/>
      <c r="C631" s="15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6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5"/>
      <c r="AI631" s="16"/>
      <c r="AJ631" s="16"/>
      <c r="AK631" s="16"/>
      <c r="AL631" s="37"/>
    </row>
    <row r="632" spans="1:38" ht="14.25" customHeight="1" x14ac:dyDescent="0.3">
      <c r="A632" s="34"/>
      <c r="B632" s="16"/>
      <c r="C632" s="15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6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5"/>
      <c r="AI632" s="16"/>
      <c r="AJ632" s="16"/>
      <c r="AK632" s="16"/>
      <c r="AL632" s="37"/>
    </row>
    <row r="633" spans="1:38" ht="14.25" customHeight="1" x14ac:dyDescent="0.3">
      <c r="A633" s="34"/>
      <c r="B633" s="16"/>
      <c r="C633" s="15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6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5"/>
      <c r="AI633" s="16"/>
      <c r="AJ633" s="16"/>
      <c r="AK633" s="16"/>
      <c r="AL633" s="37"/>
    </row>
    <row r="634" spans="1:38" ht="14.25" customHeight="1" x14ac:dyDescent="0.3">
      <c r="A634" s="34"/>
      <c r="B634" s="16"/>
      <c r="C634" s="15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6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5"/>
      <c r="AI634" s="16"/>
      <c r="AJ634" s="16"/>
      <c r="AK634" s="16"/>
      <c r="AL634" s="37"/>
    </row>
    <row r="635" spans="1:38" ht="14.25" customHeight="1" x14ac:dyDescent="0.3">
      <c r="A635" s="34"/>
      <c r="B635" s="16"/>
      <c r="C635" s="15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6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5"/>
      <c r="AI635" s="16"/>
      <c r="AJ635" s="16"/>
      <c r="AK635" s="16"/>
      <c r="AL635" s="37"/>
    </row>
    <row r="636" spans="1:38" ht="14.25" customHeight="1" x14ac:dyDescent="0.3">
      <c r="A636" s="34"/>
      <c r="B636" s="16"/>
      <c r="C636" s="15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6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5"/>
      <c r="AI636" s="16"/>
      <c r="AJ636" s="16"/>
      <c r="AK636" s="16"/>
      <c r="AL636" s="37"/>
    </row>
    <row r="637" spans="1:38" ht="14.25" customHeight="1" x14ac:dyDescent="0.3">
      <c r="A637" s="34"/>
      <c r="B637" s="16"/>
      <c r="C637" s="15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6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5"/>
      <c r="AI637" s="16"/>
      <c r="AJ637" s="16"/>
      <c r="AK637" s="16"/>
      <c r="AL637" s="37"/>
    </row>
    <row r="638" spans="1:38" ht="14.25" customHeight="1" x14ac:dyDescent="0.3">
      <c r="A638" s="34"/>
      <c r="B638" s="16"/>
      <c r="C638" s="15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6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5"/>
      <c r="AI638" s="16"/>
      <c r="AJ638" s="16"/>
      <c r="AK638" s="16"/>
      <c r="AL638" s="37"/>
    </row>
    <row r="639" spans="1:38" ht="14.25" customHeight="1" x14ac:dyDescent="0.3">
      <c r="A639" s="34"/>
      <c r="B639" s="16"/>
      <c r="C639" s="15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6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5"/>
      <c r="AI639" s="16"/>
      <c r="AJ639" s="16"/>
      <c r="AK639" s="16"/>
      <c r="AL639" s="37"/>
    </row>
    <row r="640" spans="1:38" ht="14.25" customHeight="1" x14ac:dyDescent="0.3">
      <c r="A640" s="34"/>
      <c r="B640" s="16"/>
      <c r="C640" s="15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6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5"/>
      <c r="AI640" s="16"/>
      <c r="AJ640" s="16"/>
      <c r="AK640" s="16"/>
      <c r="AL640" s="37"/>
    </row>
    <row r="641" spans="1:38" ht="14.25" customHeight="1" x14ac:dyDescent="0.3">
      <c r="A641" s="34"/>
      <c r="B641" s="16"/>
      <c r="C641" s="15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6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5"/>
      <c r="AI641" s="16"/>
      <c r="AJ641" s="16"/>
      <c r="AK641" s="16"/>
      <c r="AL641" s="37"/>
    </row>
    <row r="642" spans="1:38" ht="14.25" customHeight="1" x14ac:dyDescent="0.3">
      <c r="A642" s="34"/>
      <c r="B642" s="16"/>
      <c r="C642" s="15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6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5"/>
      <c r="AI642" s="16"/>
      <c r="AJ642" s="16"/>
      <c r="AK642" s="16"/>
      <c r="AL642" s="37"/>
    </row>
    <row r="643" spans="1:38" ht="14.25" customHeight="1" x14ac:dyDescent="0.3">
      <c r="A643" s="34"/>
      <c r="B643" s="16"/>
      <c r="C643" s="15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6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5"/>
      <c r="AI643" s="16"/>
      <c r="AJ643" s="16"/>
      <c r="AK643" s="16"/>
      <c r="AL643" s="37"/>
    </row>
    <row r="644" spans="1:38" ht="14.25" customHeight="1" x14ac:dyDescent="0.3">
      <c r="A644" s="34"/>
      <c r="B644" s="16"/>
      <c r="C644" s="15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6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5"/>
      <c r="AI644" s="16"/>
      <c r="AJ644" s="16"/>
      <c r="AK644" s="16"/>
      <c r="AL644" s="37"/>
    </row>
    <row r="645" spans="1:38" ht="14.25" customHeight="1" x14ac:dyDescent="0.3">
      <c r="A645" s="34"/>
      <c r="B645" s="16"/>
      <c r="C645" s="15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6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5"/>
      <c r="AI645" s="16"/>
      <c r="AJ645" s="16"/>
      <c r="AK645" s="16"/>
      <c r="AL645" s="37"/>
    </row>
    <row r="646" spans="1:38" ht="14.25" customHeight="1" x14ac:dyDescent="0.3">
      <c r="A646" s="34"/>
      <c r="B646" s="16"/>
      <c r="C646" s="15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6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5"/>
      <c r="AI646" s="16"/>
      <c r="AJ646" s="16"/>
      <c r="AK646" s="16"/>
      <c r="AL646" s="37"/>
    </row>
    <row r="647" spans="1:38" ht="14.25" customHeight="1" x14ac:dyDescent="0.3">
      <c r="A647" s="34"/>
      <c r="B647" s="16"/>
      <c r="C647" s="15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6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5"/>
      <c r="AI647" s="16"/>
      <c r="AJ647" s="16"/>
      <c r="AK647" s="16"/>
      <c r="AL647" s="37"/>
    </row>
    <row r="648" spans="1:38" ht="14.25" customHeight="1" x14ac:dyDescent="0.3">
      <c r="A648" s="34"/>
      <c r="B648" s="16"/>
      <c r="C648" s="15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6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5"/>
      <c r="AI648" s="16"/>
      <c r="AJ648" s="16"/>
      <c r="AK648" s="16"/>
      <c r="AL648" s="37"/>
    </row>
    <row r="649" spans="1:38" ht="14.25" customHeight="1" x14ac:dyDescent="0.3">
      <c r="A649" s="34"/>
      <c r="B649" s="16"/>
      <c r="C649" s="15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6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5"/>
      <c r="AI649" s="16"/>
      <c r="AJ649" s="16"/>
      <c r="AK649" s="16"/>
      <c r="AL649" s="37"/>
    </row>
    <row r="650" spans="1:38" ht="14.25" customHeight="1" x14ac:dyDescent="0.3">
      <c r="A650" s="34"/>
      <c r="B650" s="16"/>
      <c r="C650" s="15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6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5"/>
      <c r="AI650" s="16"/>
      <c r="AJ650" s="16"/>
      <c r="AK650" s="16"/>
      <c r="AL650" s="37"/>
    </row>
    <row r="651" spans="1:38" ht="14.25" customHeight="1" x14ac:dyDescent="0.3">
      <c r="A651" s="34"/>
      <c r="B651" s="16"/>
      <c r="C651" s="15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6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5"/>
      <c r="AI651" s="16"/>
      <c r="AJ651" s="16"/>
      <c r="AK651" s="16"/>
      <c r="AL651" s="37"/>
    </row>
    <row r="652" spans="1:38" ht="14.25" customHeight="1" x14ac:dyDescent="0.3">
      <c r="A652" s="34"/>
      <c r="B652" s="16"/>
      <c r="C652" s="15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6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5"/>
      <c r="AI652" s="16"/>
      <c r="AJ652" s="16"/>
      <c r="AK652" s="16"/>
      <c r="AL652" s="37"/>
    </row>
    <row r="653" spans="1:38" ht="14.25" customHeight="1" x14ac:dyDescent="0.3">
      <c r="A653" s="34"/>
      <c r="B653" s="16"/>
      <c r="C653" s="15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6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5"/>
      <c r="AI653" s="16"/>
      <c r="AJ653" s="16"/>
      <c r="AK653" s="16"/>
      <c r="AL653" s="37"/>
    </row>
    <row r="654" spans="1:38" ht="14.25" customHeight="1" x14ac:dyDescent="0.3">
      <c r="A654" s="34"/>
      <c r="B654" s="16"/>
      <c r="C654" s="15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6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5"/>
      <c r="AI654" s="16"/>
      <c r="AJ654" s="16"/>
      <c r="AK654" s="16"/>
      <c r="AL654" s="37"/>
    </row>
    <row r="655" spans="1:38" ht="14.25" customHeight="1" x14ac:dyDescent="0.3">
      <c r="A655" s="34"/>
      <c r="B655" s="16"/>
      <c r="C655" s="15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6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5"/>
      <c r="AI655" s="16"/>
      <c r="AJ655" s="16"/>
      <c r="AK655" s="16"/>
      <c r="AL655" s="37"/>
    </row>
    <row r="656" spans="1:38" ht="14.25" customHeight="1" x14ac:dyDescent="0.3">
      <c r="A656" s="34"/>
      <c r="B656" s="16"/>
      <c r="C656" s="15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6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5"/>
      <c r="AI656" s="16"/>
      <c r="AJ656" s="16"/>
      <c r="AK656" s="16"/>
      <c r="AL656" s="37"/>
    </row>
    <row r="657" spans="1:38" ht="14.25" customHeight="1" x14ac:dyDescent="0.3">
      <c r="A657" s="34"/>
      <c r="B657" s="16"/>
      <c r="C657" s="15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6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5"/>
      <c r="AI657" s="16"/>
      <c r="AJ657" s="16"/>
      <c r="AK657" s="16"/>
      <c r="AL657" s="37"/>
    </row>
    <row r="658" spans="1:38" ht="14.25" customHeight="1" x14ac:dyDescent="0.3">
      <c r="A658" s="34"/>
      <c r="B658" s="16"/>
      <c r="C658" s="15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6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5"/>
      <c r="AI658" s="16"/>
      <c r="AJ658" s="16"/>
      <c r="AK658" s="16"/>
      <c r="AL658" s="37"/>
    </row>
    <row r="659" spans="1:38" ht="14.25" customHeight="1" x14ac:dyDescent="0.3">
      <c r="A659" s="34"/>
      <c r="B659" s="16"/>
      <c r="C659" s="15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6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5"/>
      <c r="AI659" s="16"/>
      <c r="AJ659" s="16"/>
      <c r="AK659" s="16"/>
      <c r="AL659" s="37"/>
    </row>
    <row r="660" spans="1:38" ht="14.25" customHeight="1" x14ac:dyDescent="0.3">
      <c r="A660" s="34"/>
      <c r="B660" s="16"/>
      <c r="C660" s="15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6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5"/>
      <c r="AI660" s="16"/>
      <c r="AJ660" s="16"/>
      <c r="AK660" s="16"/>
      <c r="AL660" s="37"/>
    </row>
    <row r="661" spans="1:38" ht="14.25" customHeight="1" x14ac:dyDescent="0.3">
      <c r="A661" s="34"/>
      <c r="B661" s="16"/>
      <c r="C661" s="15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6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5"/>
      <c r="AI661" s="16"/>
      <c r="AJ661" s="16"/>
      <c r="AK661" s="16"/>
      <c r="AL661" s="37"/>
    </row>
    <row r="662" spans="1:38" ht="14.25" customHeight="1" x14ac:dyDescent="0.3">
      <c r="A662" s="34"/>
      <c r="B662" s="16"/>
      <c r="C662" s="15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6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5"/>
      <c r="AI662" s="16"/>
      <c r="AJ662" s="16"/>
      <c r="AK662" s="16"/>
      <c r="AL662" s="37"/>
    </row>
    <row r="663" spans="1:38" ht="14.25" customHeight="1" x14ac:dyDescent="0.3">
      <c r="A663" s="34"/>
      <c r="B663" s="16"/>
      <c r="C663" s="15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6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5"/>
      <c r="AI663" s="16"/>
      <c r="AJ663" s="16"/>
      <c r="AK663" s="16"/>
      <c r="AL663" s="37"/>
    </row>
    <row r="664" spans="1:38" ht="14.25" customHeight="1" x14ac:dyDescent="0.3">
      <c r="A664" s="34"/>
      <c r="B664" s="16"/>
      <c r="C664" s="15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6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5"/>
      <c r="AI664" s="16"/>
      <c r="AJ664" s="16"/>
      <c r="AK664" s="16"/>
      <c r="AL664" s="37"/>
    </row>
    <row r="665" spans="1:38" ht="14.25" customHeight="1" x14ac:dyDescent="0.3">
      <c r="A665" s="34"/>
      <c r="B665" s="16"/>
      <c r="C665" s="15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6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5"/>
      <c r="AI665" s="16"/>
      <c r="AJ665" s="16"/>
      <c r="AK665" s="16"/>
      <c r="AL665" s="37"/>
    </row>
    <row r="666" spans="1:38" ht="14.25" customHeight="1" x14ac:dyDescent="0.3">
      <c r="A666" s="34"/>
      <c r="B666" s="16"/>
      <c r="C666" s="15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6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5"/>
      <c r="AI666" s="16"/>
      <c r="AJ666" s="16"/>
      <c r="AK666" s="16"/>
      <c r="AL666" s="37"/>
    </row>
    <row r="667" spans="1:38" ht="14.25" customHeight="1" x14ac:dyDescent="0.3">
      <c r="A667" s="34"/>
      <c r="B667" s="16"/>
      <c r="C667" s="15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6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5"/>
      <c r="AI667" s="16"/>
      <c r="AJ667" s="16"/>
      <c r="AK667" s="16"/>
      <c r="AL667" s="37"/>
    </row>
    <row r="668" spans="1:38" ht="14.25" customHeight="1" x14ac:dyDescent="0.3">
      <c r="A668" s="34"/>
      <c r="B668" s="16"/>
      <c r="C668" s="15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6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5"/>
      <c r="AI668" s="16"/>
      <c r="AJ668" s="16"/>
      <c r="AK668" s="16"/>
      <c r="AL668" s="37"/>
    </row>
    <row r="669" spans="1:38" ht="14.25" customHeight="1" x14ac:dyDescent="0.3">
      <c r="A669" s="34"/>
      <c r="B669" s="16"/>
      <c r="C669" s="15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6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5"/>
      <c r="AI669" s="16"/>
      <c r="AJ669" s="16"/>
      <c r="AK669" s="16"/>
      <c r="AL669" s="37"/>
    </row>
    <row r="670" spans="1:38" ht="14.25" customHeight="1" x14ac:dyDescent="0.3">
      <c r="A670" s="34"/>
      <c r="B670" s="16"/>
      <c r="C670" s="15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6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5"/>
      <c r="AI670" s="16"/>
      <c r="AJ670" s="16"/>
      <c r="AK670" s="16"/>
      <c r="AL670" s="37"/>
    </row>
    <row r="671" spans="1:38" ht="14.25" customHeight="1" x14ac:dyDescent="0.3">
      <c r="A671" s="34"/>
      <c r="B671" s="16"/>
      <c r="C671" s="15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6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5"/>
      <c r="AI671" s="16"/>
      <c r="AJ671" s="16"/>
      <c r="AK671" s="16"/>
      <c r="AL671" s="37"/>
    </row>
    <row r="672" spans="1:38" ht="14.25" customHeight="1" x14ac:dyDescent="0.3">
      <c r="A672" s="34"/>
      <c r="B672" s="16"/>
      <c r="C672" s="15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6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5"/>
      <c r="AI672" s="16"/>
      <c r="AJ672" s="16"/>
      <c r="AK672" s="16"/>
      <c r="AL672" s="37"/>
    </row>
    <row r="673" spans="1:38" ht="14.25" customHeight="1" x14ac:dyDescent="0.3">
      <c r="A673" s="34"/>
      <c r="B673" s="16"/>
      <c r="C673" s="15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6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5"/>
      <c r="AI673" s="16"/>
      <c r="AJ673" s="16"/>
      <c r="AK673" s="16"/>
      <c r="AL673" s="37"/>
    </row>
    <row r="674" spans="1:38" ht="14.25" customHeight="1" x14ac:dyDescent="0.3">
      <c r="A674" s="34"/>
      <c r="B674" s="16"/>
      <c r="C674" s="15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6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5"/>
      <c r="AI674" s="16"/>
      <c r="AJ674" s="16"/>
      <c r="AK674" s="16"/>
      <c r="AL674" s="37"/>
    </row>
    <row r="675" spans="1:38" ht="14.25" customHeight="1" x14ac:dyDescent="0.3">
      <c r="A675" s="34"/>
      <c r="B675" s="16"/>
      <c r="C675" s="15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6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5"/>
      <c r="AI675" s="16"/>
      <c r="AJ675" s="16"/>
      <c r="AK675" s="16"/>
      <c r="AL675" s="37"/>
    </row>
    <row r="676" spans="1:38" ht="14.25" customHeight="1" x14ac:dyDescent="0.3">
      <c r="A676" s="34"/>
      <c r="B676" s="16"/>
      <c r="C676" s="15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6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5"/>
      <c r="AI676" s="16"/>
      <c r="AJ676" s="16"/>
      <c r="AK676" s="16"/>
      <c r="AL676" s="37"/>
    </row>
    <row r="677" spans="1:38" ht="14.25" customHeight="1" x14ac:dyDescent="0.3">
      <c r="A677" s="34"/>
      <c r="B677" s="16"/>
      <c r="C677" s="15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6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5"/>
      <c r="AI677" s="16"/>
      <c r="AJ677" s="16"/>
      <c r="AK677" s="16"/>
      <c r="AL677" s="37"/>
    </row>
    <row r="678" spans="1:38" ht="14.25" customHeight="1" x14ac:dyDescent="0.3">
      <c r="A678" s="34"/>
      <c r="B678" s="16"/>
      <c r="C678" s="15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6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5"/>
      <c r="AI678" s="16"/>
      <c r="AJ678" s="16"/>
      <c r="AK678" s="16"/>
      <c r="AL678" s="37"/>
    </row>
    <row r="679" spans="1:38" ht="14.25" customHeight="1" x14ac:dyDescent="0.3">
      <c r="A679" s="34"/>
      <c r="B679" s="16"/>
      <c r="C679" s="15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6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5"/>
      <c r="AI679" s="16"/>
      <c r="AJ679" s="16"/>
      <c r="AK679" s="16"/>
      <c r="AL679" s="37"/>
    </row>
    <row r="680" spans="1:38" ht="14.25" customHeight="1" x14ac:dyDescent="0.3">
      <c r="A680" s="34"/>
      <c r="B680" s="16"/>
      <c r="C680" s="15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6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5"/>
      <c r="AI680" s="16"/>
      <c r="AJ680" s="16"/>
      <c r="AK680" s="16"/>
      <c r="AL680" s="37"/>
    </row>
    <row r="681" spans="1:38" ht="14.25" customHeight="1" x14ac:dyDescent="0.3">
      <c r="A681" s="34"/>
      <c r="B681" s="16"/>
      <c r="C681" s="15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6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5"/>
      <c r="AI681" s="16"/>
      <c r="AJ681" s="16"/>
      <c r="AK681" s="16"/>
      <c r="AL681" s="37"/>
    </row>
    <row r="682" spans="1:38" ht="14.25" customHeight="1" x14ac:dyDescent="0.3">
      <c r="A682" s="34"/>
      <c r="B682" s="16"/>
      <c r="C682" s="15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6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5"/>
      <c r="AI682" s="16"/>
      <c r="AJ682" s="16"/>
      <c r="AK682" s="16"/>
      <c r="AL682" s="37"/>
    </row>
    <row r="683" spans="1:38" ht="14.25" customHeight="1" x14ac:dyDescent="0.3">
      <c r="A683" s="34"/>
      <c r="B683" s="16"/>
      <c r="C683" s="15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6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5"/>
      <c r="AI683" s="16"/>
      <c r="AJ683" s="16"/>
      <c r="AK683" s="16"/>
      <c r="AL683" s="37"/>
    </row>
    <row r="684" spans="1:38" ht="14.25" customHeight="1" x14ac:dyDescent="0.3">
      <c r="A684" s="34"/>
      <c r="B684" s="16"/>
      <c r="C684" s="15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6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5"/>
      <c r="AI684" s="16"/>
      <c r="AJ684" s="16"/>
      <c r="AK684" s="16"/>
      <c r="AL684" s="37"/>
    </row>
    <row r="685" spans="1:38" ht="14.25" customHeight="1" x14ac:dyDescent="0.3">
      <c r="A685" s="34"/>
      <c r="B685" s="16"/>
      <c r="C685" s="15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6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5"/>
      <c r="AI685" s="16"/>
      <c r="AJ685" s="16"/>
      <c r="AK685" s="16"/>
      <c r="AL685" s="37"/>
    </row>
    <row r="686" spans="1:38" ht="14.25" customHeight="1" x14ac:dyDescent="0.3">
      <c r="A686" s="34"/>
      <c r="B686" s="16"/>
      <c r="C686" s="15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6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5"/>
      <c r="AI686" s="16"/>
      <c r="AJ686" s="16"/>
      <c r="AK686" s="16"/>
      <c r="AL686" s="37"/>
    </row>
    <row r="687" spans="1:38" ht="14.25" customHeight="1" x14ac:dyDescent="0.3">
      <c r="A687" s="34"/>
      <c r="B687" s="16"/>
      <c r="C687" s="15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6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5"/>
      <c r="AI687" s="16"/>
      <c r="AJ687" s="16"/>
      <c r="AK687" s="16"/>
      <c r="AL687" s="37"/>
    </row>
    <row r="688" spans="1:38" ht="14.25" customHeight="1" x14ac:dyDescent="0.3">
      <c r="A688" s="34"/>
      <c r="B688" s="16"/>
      <c r="C688" s="15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6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5"/>
      <c r="AI688" s="16"/>
      <c r="AJ688" s="16"/>
      <c r="AK688" s="16"/>
      <c r="AL688" s="37"/>
    </row>
    <row r="689" spans="1:38" ht="14.25" customHeight="1" x14ac:dyDescent="0.3">
      <c r="A689" s="34"/>
      <c r="B689" s="16"/>
      <c r="C689" s="15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6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5"/>
      <c r="AI689" s="16"/>
      <c r="AJ689" s="16"/>
      <c r="AK689" s="16"/>
      <c r="AL689" s="37"/>
    </row>
    <row r="690" spans="1:38" ht="14.25" customHeight="1" x14ac:dyDescent="0.3">
      <c r="A690" s="34"/>
      <c r="B690" s="16"/>
      <c r="C690" s="15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6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5"/>
      <c r="AI690" s="16"/>
      <c r="AJ690" s="16"/>
      <c r="AK690" s="16"/>
      <c r="AL690" s="37"/>
    </row>
    <row r="691" spans="1:38" ht="14.25" customHeight="1" x14ac:dyDescent="0.3">
      <c r="A691" s="34"/>
      <c r="B691" s="16"/>
      <c r="C691" s="15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6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5"/>
      <c r="AI691" s="16"/>
      <c r="AJ691" s="16"/>
      <c r="AK691" s="16"/>
      <c r="AL691" s="37"/>
    </row>
    <row r="692" spans="1:38" ht="14.25" customHeight="1" x14ac:dyDescent="0.3">
      <c r="A692" s="34"/>
      <c r="B692" s="16"/>
      <c r="C692" s="15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6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5"/>
      <c r="AI692" s="16"/>
      <c r="AJ692" s="16"/>
      <c r="AK692" s="16"/>
      <c r="AL692" s="37"/>
    </row>
    <row r="693" spans="1:38" ht="14.25" customHeight="1" x14ac:dyDescent="0.3">
      <c r="A693" s="34"/>
      <c r="B693" s="16"/>
      <c r="C693" s="15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6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5"/>
      <c r="AI693" s="16"/>
      <c r="AJ693" s="16"/>
      <c r="AK693" s="16"/>
      <c r="AL693" s="37"/>
    </row>
    <row r="694" spans="1:38" ht="14.25" customHeight="1" x14ac:dyDescent="0.3">
      <c r="A694" s="34"/>
      <c r="B694" s="16"/>
      <c r="C694" s="15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6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5"/>
      <c r="AI694" s="16"/>
      <c r="AJ694" s="16"/>
      <c r="AK694" s="16"/>
      <c r="AL694" s="37"/>
    </row>
    <row r="695" spans="1:38" ht="14.25" customHeight="1" x14ac:dyDescent="0.3">
      <c r="A695" s="34"/>
      <c r="B695" s="16"/>
      <c r="C695" s="15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6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5"/>
      <c r="AI695" s="16"/>
      <c r="AJ695" s="16"/>
      <c r="AK695" s="16"/>
      <c r="AL695" s="37"/>
    </row>
    <row r="696" spans="1:38" ht="14.25" customHeight="1" x14ac:dyDescent="0.3">
      <c r="A696" s="34"/>
      <c r="B696" s="16"/>
      <c r="C696" s="15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6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5"/>
      <c r="AI696" s="16"/>
      <c r="AJ696" s="16"/>
      <c r="AK696" s="16"/>
      <c r="AL696" s="37"/>
    </row>
    <row r="697" spans="1:38" ht="14.25" customHeight="1" x14ac:dyDescent="0.3">
      <c r="A697" s="34"/>
      <c r="B697" s="16"/>
      <c r="C697" s="15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6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5"/>
      <c r="AI697" s="16"/>
      <c r="AJ697" s="16"/>
      <c r="AK697" s="16"/>
      <c r="AL697" s="37"/>
    </row>
    <row r="698" spans="1:38" ht="14.25" customHeight="1" x14ac:dyDescent="0.3">
      <c r="A698" s="34"/>
      <c r="B698" s="16"/>
      <c r="C698" s="15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6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5"/>
      <c r="AI698" s="16"/>
      <c r="AJ698" s="16"/>
      <c r="AK698" s="16"/>
      <c r="AL698" s="37"/>
    </row>
    <row r="699" spans="1:38" ht="14.25" customHeight="1" x14ac:dyDescent="0.3">
      <c r="A699" s="34"/>
      <c r="B699" s="16"/>
      <c r="C699" s="15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6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5"/>
      <c r="AI699" s="16"/>
      <c r="AJ699" s="16"/>
      <c r="AK699" s="16"/>
      <c r="AL699" s="37"/>
    </row>
    <row r="700" spans="1:38" ht="14.25" customHeight="1" x14ac:dyDescent="0.3">
      <c r="A700" s="34"/>
      <c r="B700" s="16"/>
      <c r="C700" s="15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6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5"/>
      <c r="AI700" s="16"/>
      <c r="AJ700" s="16"/>
      <c r="AK700" s="16"/>
      <c r="AL700" s="37"/>
    </row>
    <row r="701" spans="1:38" ht="14.25" customHeight="1" x14ac:dyDescent="0.3">
      <c r="A701" s="34"/>
      <c r="B701" s="16"/>
      <c r="C701" s="15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6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5"/>
      <c r="AI701" s="16"/>
      <c r="AJ701" s="16"/>
      <c r="AK701" s="16"/>
      <c r="AL701" s="37"/>
    </row>
    <row r="702" spans="1:38" ht="14.25" customHeight="1" x14ac:dyDescent="0.3">
      <c r="A702" s="34"/>
      <c r="B702" s="16"/>
      <c r="C702" s="15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6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5"/>
      <c r="AI702" s="16"/>
      <c r="AJ702" s="16"/>
      <c r="AK702" s="16"/>
      <c r="AL702" s="37"/>
    </row>
    <row r="703" spans="1:38" ht="14.25" customHeight="1" x14ac:dyDescent="0.3">
      <c r="A703" s="34"/>
      <c r="B703" s="16"/>
      <c r="C703" s="15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6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5"/>
      <c r="AI703" s="16"/>
      <c r="AJ703" s="16"/>
      <c r="AK703" s="16"/>
      <c r="AL703" s="37"/>
    </row>
    <row r="704" spans="1:38" ht="14.25" customHeight="1" x14ac:dyDescent="0.3">
      <c r="A704" s="34"/>
      <c r="B704" s="16"/>
      <c r="C704" s="15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6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5"/>
      <c r="AI704" s="16"/>
      <c r="AJ704" s="16"/>
      <c r="AK704" s="16"/>
      <c r="AL704" s="37"/>
    </row>
    <row r="705" spans="1:38" ht="14.25" customHeight="1" x14ac:dyDescent="0.3">
      <c r="A705" s="34"/>
      <c r="B705" s="16"/>
      <c r="C705" s="15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6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5"/>
      <c r="AI705" s="16"/>
      <c r="AJ705" s="16"/>
      <c r="AK705" s="16"/>
      <c r="AL705" s="37"/>
    </row>
    <row r="706" spans="1:38" ht="14.25" customHeight="1" x14ac:dyDescent="0.3">
      <c r="A706" s="34"/>
      <c r="B706" s="16"/>
      <c r="C706" s="15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6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5"/>
      <c r="AI706" s="16"/>
      <c r="AJ706" s="16"/>
      <c r="AK706" s="16"/>
      <c r="AL706" s="37"/>
    </row>
    <row r="707" spans="1:38" ht="14.25" customHeight="1" x14ac:dyDescent="0.3">
      <c r="A707" s="34"/>
      <c r="B707" s="16"/>
      <c r="C707" s="15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6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5"/>
      <c r="AI707" s="16"/>
      <c r="AJ707" s="16"/>
      <c r="AK707" s="16"/>
      <c r="AL707" s="37"/>
    </row>
    <row r="708" spans="1:38" ht="14.25" customHeight="1" x14ac:dyDescent="0.3">
      <c r="A708" s="34"/>
      <c r="B708" s="16"/>
      <c r="C708" s="15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6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5"/>
      <c r="AI708" s="16"/>
      <c r="AJ708" s="16"/>
      <c r="AK708" s="16"/>
      <c r="AL708" s="37"/>
    </row>
    <row r="709" spans="1:38" ht="14.25" customHeight="1" x14ac:dyDescent="0.3">
      <c r="A709" s="34"/>
      <c r="B709" s="16"/>
      <c r="C709" s="15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6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5"/>
      <c r="AI709" s="16"/>
      <c r="AJ709" s="16"/>
      <c r="AK709" s="16"/>
      <c r="AL709" s="37"/>
    </row>
    <row r="710" spans="1:38" ht="14.25" customHeight="1" x14ac:dyDescent="0.3">
      <c r="A710" s="34"/>
      <c r="B710" s="16"/>
      <c r="C710" s="15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6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5"/>
      <c r="AI710" s="16"/>
      <c r="AJ710" s="16"/>
      <c r="AK710" s="16"/>
      <c r="AL710" s="37"/>
    </row>
    <row r="711" spans="1:38" ht="14.25" customHeight="1" x14ac:dyDescent="0.3">
      <c r="A711" s="34"/>
      <c r="B711" s="16"/>
      <c r="C711" s="15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6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5"/>
      <c r="AI711" s="16"/>
      <c r="AJ711" s="16"/>
      <c r="AK711" s="16"/>
      <c r="AL711" s="37"/>
    </row>
    <row r="712" spans="1:38" ht="14.25" customHeight="1" x14ac:dyDescent="0.3">
      <c r="A712" s="34"/>
      <c r="B712" s="16"/>
      <c r="C712" s="15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6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5"/>
      <c r="AI712" s="16"/>
      <c r="AJ712" s="16"/>
      <c r="AK712" s="16"/>
      <c r="AL712" s="37"/>
    </row>
    <row r="713" spans="1:38" ht="14.25" customHeight="1" x14ac:dyDescent="0.3">
      <c r="A713" s="34"/>
      <c r="B713" s="16"/>
      <c r="C713" s="15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6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5"/>
      <c r="AI713" s="16"/>
      <c r="AJ713" s="16"/>
      <c r="AK713" s="16"/>
      <c r="AL713" s="37"/>
    </row>
    <row r="714" spans="1:38" ht="14.25" customHeight="1" x14ac:dyDescent="0.3">
      <c r="A714" s="34"/>
      <c r="B714" s="16"/>
      <c r="C714" s="15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6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5"/>
      <c r="AI714" s="16"/>
      <c r="AJ714" s="16"/>
      <c r="AK714" s="16"/>
      <c r="AL714" s="37"/>
    </row>
    <row r="715" spans="1:38" ht="14.25" customHeight="1" x14ac:dyDescent="0.3">
      <c r="A715" s="34"/>
      <c r="B715" s="16"/>
      <c r="C715" s="15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6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5"/>
      <c r="AI715" s="16"/>
      <c r="AJ715" s="16"/>
      <c r="AK715" s="16"/>
      <c r="AL715" s="37"/>
    </row>
    <row r="716" spans="1:38" ht="14.25" customHeight="1" x14ac:dyDescent="0.3">
      <c r="A716" s="34"/>
      <c r="B716" s="16"/>
      <c r="C716" s="15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6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5"/>
      <c r="AI716" s="16"/>
      <c r="AJ716" s="16"/>
      <c r="AK716" s="16"/>
      <c r="AL716" s="37"/>
    </row>
    <row r="717" spans="1:38" ht="14.25" customHeight="1" x14ac:dyDescent="0.3">
      <c r="A717" s="34"/>
      <c r="B717" s="16"/>
      <c r="C717" s="15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6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5"/>
      <c r="AI717" s="16"/>
      <c r="AJ717" s="16"/>
      <c r="AK717" s="16"/>
      <c r="AL717" s="37"/>
    </row>
    <row r="718" spans="1:38" ht="14.25" customHeight="1" x14ac:dyDescent="0.3">
      <c r="A718" s="34"/>
      <c r="B718" s="16"/>
      <c r="C718" s="15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6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5"/>
      <c r="AI718" s="16"/>
      <c r="AJ718" s="16"/>
      <c r="AK718" s="16"/>
      <c r="AL718" s="37"/>
    </row>
    <row r="719" spans="1:38" ht="14.25" customHeight="1" x14ac:dyDescent="0.3">
      <c r="A719" s="34"/>
      <c r="B719" s="16"/>
      <c r="C719" s="15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6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5"/>
      <c r="AI719" s="16"/>
      <c r="AJ719" s="16"/>
      <c r="AK719" s="16"/>
      <c r="AL719" s="37"/>
    </row>
    <row r="720" spans="1:38" ht="14.25" customHeight="1" x14ac:dyDescent="0.3">
      <c r="A720" s="34"/>
      <c r="B720" s="16"/>
      <c r="C720" s="15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6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5"/>
      <c r="AI720" s="16"/>
      <c r="AJ720" s="16"/>
      <c r="AK720" s="16"/>
      <c r="AL720" s="37"/>
    </row>
    <row r="721" spans="1:38" ht="14.25" customHeight="1" x14ac:dyDescent="0.3">
      <c r="A721" s="34"/>
      <c r="B721" s="16"/>
      <c r="C721" s="15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6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5"/>
      <c r="AI721" s="16"/>
      <c r="AJ721" s="16"/>
      <c r="AK721" s="16"/>
      <c r="AL721" s="37"/>
    </row>
    <row r="722" spans="1:38" ht="14.25" customHeight="1" x14ac:dyDescent="0.3">
      <c r="A722" s="34"/>
      <c r="B722" s="16"/>
      <c r="C722" s="15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6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5"/>
      <c r="AI722" s="16"/>
      <c r="AJ722" s="16"/>
      <c r="AK722" s="16"/>
      <c r="AL722" s="37"/>
    </row>
    <row r="723" spans="1:38" ht="14.25" customHeight="1" x14ac:dyDescent="0.3">
      <c r="A723" s="34"/>
      <c r="B723" s="16"/>
      <c r="C723" s="15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6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5"/>
      <c r="AI723" s="16"/>
      <c r="AJ723" s="16"/>
      <c r="AK723" s="16"/>
      <c r="AL723" s="37"/>
    </row>
    <row r="724" spans="1:38" ht="14.25" customHeight="1" x14ac:dyDescent="0.3">
      <c r="A724" s="34"/>
      <c r="B724" s="16"/>
      <c r="C724" s="15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6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5"/>
      <c r="AI724" s="16"/>
      <c r="AJ724" s="16"/>
      <c r="AK724" s="16"/>
      <c r="AL724" s="37"/>
    </row>
    <row r="725" spans="1:38" ht="14.25" customHeight="1" x14ac:dyDescent="0.3">
      <c r="A725" s="34"/>
      <c r="B725" s="16"/>
      <c r="C725" s="15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6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5"/>
      <c r="AI725" s="16"/>
      <c r="AJ725" s="16"/>
      <c r="AK725" s="16"/>
      <c r="AL725" s="37"/>
    </row>
    <row r="726" spans="1:38" ht="14.25" customHeight="1" x14ac:dyDescent="0.3">
      <c r="A726" s="34"/>
      <c r="B726" s="16"/>
      <c r="C726" s="15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6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5"/>
      <c r="AI726" s="16"/>
      <c r="AJ726" s="16"/>
      <c r="AK726" s="16"/>
      <c r="AL726" s="37"/>
    </row>
    <row r="727" spans="1:38" ht="14.25" customHeight="1" x14ac:dyDescent="0.3">
      <c r="A727" s="34"/>
      <c r="B727" s="16"/>
      <c r="C727" s="15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6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5"/>
      <c r="AI727" s="16"/>
      <c r="AJ727" s="16"/>
      <c r="AK727" s="16"/>
      <c r="AL727" s="37"/>
    </row>
    <row r="728" spans="1:38" ht="14.25" customHeight="1" x14ac:dyDescent="0.3">
      <c r="A728" s="34"/>
      <c r="B728" s="16"/>
      <c r="C728" s="15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6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5"/>
      <c r="AI728" s="16"/>
      <c r="AJ728" s="16"/>
      <c r="AK728" s="16"/>
      <c r="AL728" s="37"/>
    </row>
    <row r="729" spans="1:38" ht="14.25" customHeight="1" x14ac:dyDescent="0.3">
      <c r="A729" s="34"/>
      <c r="B729" s="16"/>
      <c r="C729" s="15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6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5"/>
      <c r="AI729" s="16"/>
      <c r="AJ729" s="16"/>
      <c r="AK729" s="16"/>
      <c r="AL729" s="37"/>
    </row>
    <row r="730" spans="1:38" ht="14.25" customHeight="1" x14ac:dyDescent="0.3">
      <c r="A730" s="34"/>
      <c r="B730" s="16"/>
      <c r="C730" s="15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6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5"/>
      <c r="AI730" s="16"/>
      <c r="AJ730" s="16"/>
      <c r="AK730" s="16"/>
      <c r="AL730" s="37"/>
    </row>
    <row r="731" spans="1:38" ht="14.25" customHeight="1" x14ac:dyDescent="0.3">
      <c r="A731" s="34"/>
      <c r="B731" s="16"/>
      <c r="C731" s="15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6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5"/>
      <c r="AI731" s="16"/>
      <c r="AJ731" s="16"/>
      <c r="AK731" s="16"/>
      <c r="AL731" s="37"/>
    </row>
    <row r="732" spans="1:38" ht="14.25" customHeight="1" x14ac:dyDescent="0.3">
      <c r="A732" s="34"/>
      <c r="B732" s="16"/>
      <c r="C732" s="15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6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5"/>
      <c r="AI732" s="16"/>
      <c r="AJ732" s="16"/>
      <c r="AK732" s="16"/>
      <c r="AL732" s="37"/>
    </row>
    <row r="733" spans="1:38" ht="14.25" customHeight="1" x14ac:dyDescent="0.3">
      <c r="A733" s="34"/>
      <c r="B733" s="16"/>
      <c r="C733" s="15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6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5"/>
      <c r="AI733" s="16"/>
      <c r="AJ733" s="16"/>
      <c r="AK733" s="16"/>
      <c r="AL733" s="37"/>
    </row>
    <row r="734" spans="1:38" ht="14.25" customHeight="1" x14ac:dyDescent="0.3">
      <c r="A734" s="34"/>
      <c r="B734" s="16"/>
      <c r="C734" s="15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6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5"/>
      <c r="AI734" s="16"/>
      <c r="AJ734" s="16"/>
      <c r="AK734" s="16"/>
      <c r="AL734" s="37"/>
    </row>
    <row r="735" spans="1:38" ht="14.25" customHeight="1" x14ac:dyDescent="0.3">
      <c r="A735" s="34"/>
      <c r="B735" s="16"/>
      <c r="C735" s="15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6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5"/>
      <c r="AI735" s="16"/>
      <c r="AJ735" s="16"/>
      <c r="AK735" s="16"/>
      <c r="AL735" s="37"/>
    </row>
    <row r="736" spans="1:38" ht="14.25" customHeight="1" x14ac:dyDescent="0.3">
      <c r="A736" s="34"/>
      <c r="B736" s="16"/>
      <c r="C736" s="15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6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5"/>
      <c r="AI736" s="16"/>
      <c r="AJ736" s="16"/>
      <c r="AK736" s="16"/>
      <c r="AL736" s="37"/>
    </row>
    <row r="737" spans="1:38" ht="14.25" customHeight="1" x14ac:dyDescent="0.3">
      <c r="A737" s="34"/>
      <c r="B737" s="16"/>
      <c r="C737" s="15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6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5"/>
      <c r="AI737" s="16"/>
      <c r="AJ737" s="16"/>
      <c r="AK737" s="16"/>
      <c r="AL737" s="37"/>
    </row>
    <row r="738" spans="1:38" ht="14.25" customHeight="1" x14ac:dyDescent="0.3">
      <c r="A738" s="34"/>
      <c r="B738" s="16"/>
      <c r="C738" s="15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6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5"/>
      <c r="AI738" s="16"/>
      <c r="AJ738" s="16"/>
      <c r="AK738" s="16"/>
      <c r="AL738" s="37"/>
    </row>
    <row r="739" spans="1:38" ht="14.25" customHeight="1" x14ac:dyDescent="0.3">
      <c r="A739" s="34"/>
      <c r="B739" s="16"/>
      <c r="C739" s="15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6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5"/>
      <c r="AI739" s="16"/>
      <c r="AJ739" s="16"/>
      <c r="AK739" s="16"/>
      <c r="AL739" s="37"/>
    </row>
    <row r="740" spans="1:38" ht="14.25" customHeight="1" x14ac:dyDescent="0.3">
      <c r="A740" s="34"/>
      <c r="B740" s="16"/>
      <c r="C740" s="15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6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5"/>
      <c r="AI740" s="16"/>
      <c r="AJ740" s="16"/>
      <c r="AK740" s="16"/>
      <c r="AL740" s="37"/>
    </row>
    <row r="741" spans="1:38" ht="14.25" customHeight="1" x14ac:dyDescent="0.3">
      <c r="A741" s="34"/>
      <c r="B741" s="16"/>
      <c r="C741" s="15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6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5"/>
      <c r="AI741" s="16"/>
      <c r="AJ741" s="16"/>
      <c r="AK741" s="16"/>
      <c r="AL741" s="37"/>
    </row>
    <row r="742" spans="1:38" ht="14.25" customHeight="1" x14ac:dyDescent="0.3">
      <c r="A742" s="34"/>
      <c r="B742" s="16"/>
      <c r="C742" s="15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6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5"/>
      <c r="AI742" s="16"/>
      <c r="AJ742" s="16"/>
      <c r="AK742" s="16"/>
      <c r="AL742" s="37"/>
    </row>
    <row r="743" spans="1:38" ht="14.25" customHeight="1" x14ac:dyDescent="0.3">
      <c r="A743" s="34"/>
      <c r="B743" s="16"/>
      <c r="C743" s="15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6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5"/>
      <c r="AI743" s="16"/>
      <c r="AJ743" s="16"/>
      <c r="AK743" s="16"/>
      <c r="AL743" s="37"/>
    </row>
    <row r="744" spans="1:38" ht="14.25" customHeight="1" x14ac:dyDescent="0.3">
      <c r="A744" s="34"/>
      <c r="B744" s="16"/>
      <c r="C744" s="15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6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5"/>
      <c r="AI744" s="16"/>
      <c r="AJ744" s="16"/>
      <c r="AK744" s="16"/>
      <c r="AL744" s="37"/>
    </row>
    <row r="745" spans="1:38" ht="14.25" customHeight="1" x14ac:dyDescent="0.3">
      <c r="A745" s="34"/>
      <c r="B745" s="16"/>
      <c r="C745" s="15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6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5"/>
      <c r="AI745" s="16"/>
      <c r="AJ745" s="16"/>
      <c r="AK745" s="16"/>
      <c r="AL745" s="37"/>
    </row>
    <row r="746" spans="1:38" ht="14.25" customHeight="1" x14ac:dyDescent="0.3">
      <c r="A746" s="34"/>
      <c r="B746" s="16"/>
      <c r="C746" s="15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6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5"/>
      <c r="AI746" s="16"/>
      <c r="AJ746" s="16"/>
      <c r="AK746" s="16"/>
      <c r="AL746" s="37"/>
    </row>
    <row r="747" spans="1:38" ht="14.25" customHeight="1" x14ac:dyDescent="0.3">
      <c r="A747" s="34"/>
      <c r="B747" s="16"/>
      <c r="C747" s="15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6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5"/>
      <c r="AI747" s="16"/>
      <c r="AJ747" s="16"/>
      <c r="AK747" s="16"/>
      <c r="AL747" s="37"/>
    </row>
    <row r="748" spans="1:38" ht="14.25" customHeight="1" x14ac:dyDescent="0.3">
      <c r="A748" s="34"/>
      <c r="B748" s="16"/>
      <c r="C748" s="15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6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5"/>
      <c r="AI748" s="16"/>
      <c r="AJ748" s="16"/>
      <c r="AK748" s="16"/>
      <c r="AL748" s="37"/>
    </row>
    <row r="749" spans="1:38" ht="14.25" customHeight="1" x14ac:dyDescent="0.3">
      <c r="A749" s="34"/>
      <c r="B749" s="16"/>
      <c r="C749" s="15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6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5"/>
      <c r="AI749" s="16"/>
      <c r="AJ749" s="16"/>
      <c r="AK749" s="16"/>
      <c r="AL749" s="37"/>
    </row>
    <row r="750" spans="1:38" ht="14.25" customHeight="1" x14ac:dyDescent="0.3">
      <c r="A750" s="34"/>
      <c r="B750" s="16"/>
      <c r="C750" s="15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6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5"/>
      <c r="AI750" s="16"/>
      <c r="AJ750" s="16"/>
      <c r="AK750" s="16"/>
      <c r="AL750" s="37"/>
    </row>
    <row r="751" spans="1:38" ht="14.25" customHeight="1" x14ac:dyDescent="0.3">
      <c r="A751" s="34"/>
      <c r="B751" s="16"/>
      <c r="C751" s="15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6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5"/>
      <c r="AI751" s="16"/>
      <c r="AJ751" s="16"/>
      <c r="AK751" s="16"/>
      <c r="AL751" s="37"/>
    </row>
    <row r="752" spans="1:38" ht="14.25" customHeight="1" x14ac:dyDescent="0.3">
      <c r="A752" s="34"/>
      <c r="B752" s="16"/>
      <c r="C752" s="15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6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5"/>
      <c r="AI752" s="16"/>
      <c r="AJ752" s="16"/>
      <c r="AK752" s="16"/>
      <c r="AL752" s="37"/>
    </row>
    <row r="753" spans="1:38" ht="14.25" customHeight="1" x14ac:dyDescent="0.3">
      <c r="A753" s="34"/>
      <c r="B753" s="16"/>
      <c r="C753" s="15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6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5"/>
      <c r="AI753" s="16"/>
      <c r="AJ753" s="16"/>
      <c r="AK753" s="16"/>
      <c r="AL753" s="37"/>
    </row>
    <row r="754" spans="1:38" ht="14.25" customHeight="1" x14ac:dyDescent="0.3">
      <c r="A754" s="34"/>
      <c r="B754" s="16"/>
      <c r="C754" s="15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6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5"/>
      <c r="AI754" s="16"/>
      <c r="AJ754" s="16"/>
      <c r="AK754" s="16"/>
      <c r="AL754" s="37"/>
    </row>
    <row r="755" spans="1:38" ht="14.25" customHeight="1" x14ac:dyDescent="0.3">
      <c r="A755" s="34"/>
      <c r="B755" s="16"/>
      <c r="C755" s="15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6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5"/>
      <c r="AI755" s="16"/>
      <c r="AJ755" s="16"/>
      <c r="AK755" s="16"/>
      <c r="AL755" s="37"/>
    </row>
    <row r="756" spans="1:38" ht="14.25" customHeight="1" x14ac:dyDescent="0.3">
      <c r="A756" s="34"/>
      <c r="B756" s="16"/>
      <c r="C756" s="15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6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5"/>
      <c r="AI756" s="16"/>
      <c r="AJ756" s="16"/>
      <c r="AK756" s="16"/>
      <c r="AL756" s="37"/>
    </row>
    <row r="757" spans="1:38" ht="14.25" customHeight="1" x14ac:dyDescent="0.3">
      <c r="A757" s="34"/>
      <c r="B757" s="16"/>
      <c r="C757" s="15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6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5"/>
      <c r="AI757" s="16"/>
      <c r="AJ757" s="16"/>
      <c r="AK757" s="16"/>
      <c r="AL757" s="37"/>
    </row>
    <row r="758" spans="1:38" ht="14.25" customHeight="1" x14ac:dyDescent="0.3">
      <c r="A758" s="34"/>
      <c r="B758" s="16"/>
      <c r="C758" s="15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6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5"/>
      <c r="AI758" s="16"/>
      <c r="AJ758" s="16"/>
      <c r="AK758" s="16"/>
      <c r="AL758" s="37"/>
    </row>
    <row r="759" spans="1:38" ht="14.25" customHeight="1" x14ac:dyDescent="0.3">
      <c r="A759" s="34"/>
      <c r="B759" s="16"/>
      <c r="C759" s="15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6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5"/>
      <c r="AI759" s="16"/>
      <c r="AJ759" s="16"/>
      <c r="AK759" s="16"/>
      <c r="AL759" s="37"/>
    </row>
    <row r="760" spans="1:38" ht="14.25" customHeight="1" x14ac:dyDescent="0.3">
      <c r="A760" s="34"/>
      <c r="B760" s="16"/>
      <c r="C760" s="15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6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5"/>
      <c r="AI760" s="16"/>
      <c r="AJ760" s="16"/>
      <c r="AK760" s="16"/>
      <c r="AL760" s="37"/>
    </row>
    <row r="761" spans="1:38" ht="14.25" customHeight="1" x14ac:dyDescent="0.3">
      <c r="A761" s="34"/>
      <c r="B761" s="16"/>
      <c r="C761" s="15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6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5"/>
      <c r="AI761" s="16"/>
      <c r="AJ761" s="16"/>
      <c r="AK761" s="16"/>
      <c r="AL761" s="37"/>
    </row>
    <row r="762" spans="1:38" ht="14.25" customHeight="1" x14ac:dyDescent="0.3">
      <c r="A762" s="34"/>
      <c r="B762" s="16"/>
      <c r="C762" s="15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6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5"/>
      <c r="AI762" s="16"/>
      <c r="AJ762" s="16"/>
      <c r="AK762" s="16"/>
      <c r="AL762" s="37"/>
    </row>
    <row r="763" spans="1:38" ht="14.25" customHeight="1" x14ac:dyDescent="0.3">
      <c r="A763" s="34"/>
      <c r="B763" s="16"/>
      <c r="C763" s="15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6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5"/>
      <c r="AI763" s="16"/>
      <c r="AJ763" s="16"/>
      <c r="AK763" s="16"/>
      <c r="AL763" s="37"/>
    </row>
    <row r="764" spans="1:38" ht="14.25" customHeight="1" x14ac:dyDescent="0.3">
      <c r="A764" s="34"/>
      <c r="B764" s="16"/>
      <c r="C764" s="15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6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5"/>
      <c r="AI764" s="16"/>
      <c r="AJ764" s="16"/>
      <c r="AK764" s="16"/>
      <c r="AL764" s="37"/>
    </row>
    <row r="765" spans="1:38" ht="14.25" customHeight="1" x14ac:dyDescent="0.3">
      <c r="A765" s="34"/>
      <c r="B765" s="16"/>
      <c r="C765" s="15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6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5"/>
      <c r="AI765" s="16"/>
      <c r="AJ765" s="16"/>
      <c r="AK765" s="16"/>
      <c r="AL765" s="37"/>
    </row>
    <row r="766" spans="1:38" ht="14.25" customHeight="1" x14ac:dyDescent="0.3">
      <c r="A766" s="34"/>
      <c r="B766" s="16"/>
      <c r="C766" s="15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6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5"/>
      <c r="AI766" s="16"/>
      <c r="AJ766" s="16"/>
      <c r="AK766" s="16"/>
      <c r="AL766" s="37"/>
    </row>
    <row r="767" spans="1:38" ht="14.25" customHeight="1" x14ac:dyDescent="0.3">
      <c r="A767" s="34"/>
      <c r="B767" s="16"/>
      <c r="C767" s="15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6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5"/>
      <c r="AI767" s="16"/>
      <c r="AJ767" s="16"/>
      <c r="AK767" s="16"/>
      <c r="AL767" s="37"/>
    </row>
    <row r="768" spans="1:38" ht="14.25" customHeight="1" x14ac:dyDescent="0.3">
      <c r="A768" s="34"/>
      <c r="B768" s="16"/>
      <c r="C768" s="15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6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5"/>
      <c r="AI768" s="16"/>
      <c r="AJ768" s="16"/>
      <c r="AK768" s="16"/>
      <c r="AL768" s="37"/>
    </row>
    <row r="769" spans="1:38" ht="14.25" customHeight="1" x14ac:dyDescent="0.3">
      <c r="A769" s="34"/>
      <c r="B769" s="16"/>
      <c r="C769" s="15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6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5"/>
      <c r="AI769" s="16"/>
      <c r="AJ769" s="16"/>
      <c r="AK769" s="16"/>
      <c r="AL769" s="37"/>
    </row>
    <row r="770" spans="1:38" ht="14.25" customHeight="1" x14ac:dyDescent="0.3">
      <c r="A770" s="34"/>
      <c r="B770" s="16"/>
      <c r="C770" s="15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6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5"/>
      <c r="AI770" s="16"/>
      <c r="AJ770" s="16"/>
      <c r="AK770" s="16"/>
      <c r="AL770" s="37"/>
    </row>
    <row r="771" spans="1:38" ht="14.25" customHeight="1" x14ac:dyDescent="0.3">
      <c r="A771" s="34"/>
      <c r="B771" s="16"/>
      <c r="C771" s="15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6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5"/>
      <c r="AI771" s="16"/>
      <c r="AJ771" s="16"/>
      <c r="AK771" s="16"/>
      <c r="AL771" s="37"/>
    </row>
    <row r="772" spans="1:38" ht="14.25" customHeight="1" x14ac:dyDescent="0.3">
      <c r="A772" s="34"/>
      <c r="B772" s="16"/>
      <c r="C772" s="15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6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5"/>
      <c r="AI772" s="16"/>
      <c r="AJ772" s="16"/>
      <c r="AK772" s="16"/>
      <c r="AL772" s="37"/>
    </row>
    <row r="773" spans="1:38" ht="14.25" customHeight="1" x14ac:dyDescent="0.3">
      <c r="A773" s="34"/>
      <c r="B773" s="16"/>
      <c r="C773" s="15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6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5"/>
      <c r="AI773" s="16"/>
      <c r="AJ773" s="16"/>
      <c r="AK773" s="16"/>
      <c r="AL773" s="37"/>
    </row>
    <row r="774" spans="1:38" ht="14.25" customHeight="1" x14ac:dyDescent="0.3">
      <c r="A774" s="34"/>
      <c r="B774" s="16"/>
      <c r="C774" s="15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6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5"/>
      <c r="AI774" s="16"/>
      <c r="AJ774" s="16"/>
      <c r="AK774" s="16"/>
      <c r="AL774" s="37"/>
    </row>
    <row r="775" spans="1:38" ht="14.25" customHeight="1" x14ac:dyDescent="0.3">
      <c r="A775" s="34"/>
      <c r="B775" s="16"/>
      <c r="C775" s="15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6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5"/>
      <c r="AI775" s="16"/>
      <c r="AJ775" s="16"/>
      <c r="AK775" s="16"/>
      <c r="AL775" s="37"/>
    </row>
    <row r="776" spans="1:38" ht="14.25" customHeight="1" x14ac:dyDescent="0.3">
      <c r="A776" s="34"/>
      <c r="B776" s="16"/>
      <c r="C776" s="15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6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5"/>
      <c r="AI776" s="16"/>
      <c r="AJ776" s="16"/>
      <c r="AK776" s="16"/>
      <c r="AL776" s="37"/>
    </row>
    <row r="777" spans="1:38" ht="14.25" customHeight="1" x14ac:dyDescent="0.3">
      <c r="A777" s="34"/>
      <c r="B777" s="16"/>
      <c r="C777" s="15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6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5"/>
      <c r="AI777" s="16"/>
      <c r="AJ777" s="16"/>
      <c r="AK777" s="16"/>
      <c r="AL777" s="37"/>
    </row>
    <row r="778" spans="1:38" ht="14.25" customHeight="1" x14ac:dyDescent="0.3">
      <c r="A778" s="34"/>
      <c r="B778" s="16"/>
      <c r="C778" s="15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6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5"/>
      <c r="AI778" s="16"/>
      <c r="AJ778" s="16"/>
      <c r="AK778" s="16"/>
      <c r="AL778" s="37"/>
    </row>
    <row r="779" spans="1:38" ht="14.25" customHeight="1" x14ac:dyDescent="0.3">
      <c r="A779" s="34"/>
      <c r="B779" s="16"/>
      <c r="C779" s="15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6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5"/>
      <c r="AI779" s="16"/>
      <c r="AJ779" s="16"/>
      <c r="AK779" s="16"/>
      <c r="AL779" s="37"/>
    </row>
    <row r="780" spans="1:38" ht="14.25" customHeight="1" x14ac:dyDescent="0.3">
      <c r="A780" s="34"/>
      <c r="B780" s="16"/>
      <c r="C780" s="15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6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5"/>
      <c r="AI780" s="16"/>
      <c r="AJ780" s="16"/>
      <c r="AK780" s="16"/>
      <c r="AL780" s="37"/>
    </row>
    <row r="781" spans="1:38" ht="14.25" customHeight="1" x14ac:dyDescent="0.3">
      <c r="A781" s="34"/>
      <c r="B781" s="16"/>
      <c r="C781" s="15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6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5"/>
      <c r="AI781" s="16"/>
      <c r="AJ781" s="16"/>
      <c r="AK781" s="16"/>
      <c r="AL781" s="37"/>
    </row>
    <row r="782" spans="1:38" ht="14.25" customHeight="1" x14ac:dyDescent="0.3">
      <c r="A782" s="34"/>
      <c r="B782" s="16"/>
      <c r="C782" s="15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6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5"/>
      <c r="AI782" s="16"/>
      <c r="AJ782" s="16"/>
      <c r="AK782" s="16"/>
      <c r="AL782" s="37"/>
    </row>
    <row r="783" spans="1:38" ht="14.25" customHeight="1" x14ac:dyDescent="0.3">
      <c r="A783" s="34"/>
      <c r="B783" s="16"/>
      <c r="C783" s="15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6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5"/>
      <c r="AI783" s="16"/>
      <c r="AJ783" s="16"/>
      <c r="AK783" s="16"/>
      <c r="AL783" s="37"/>
    </row>
    <row r="784" spans="1:38" ht="14.25" customHeight="1" x14ac:dyDescent="0.3">
      <c r="A784" s="34"/>
      <c r="B784" s="16"/>
      <c r="C784" s="15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6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5"/>
      <c r="AI784" s="16"/>
      <c r="AJ784" s="16"/>
      <c r="AK784" s="16"/>
      <c r="AL784" s="37"/>
    </row>
    <row r="785" spans="1:38" ht="14.25" customHeight="1" x14ac:dyDescent="0.3">
      <c r="A785" s="34"/>
      <c r="B785" s="16"/>
      <c r="C785" s="15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6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5"/>
      <c r="AI785" s="16"/>
      <c r="AJ785" s="16"/>
      <c r="AK785" s="16"/>
      <c r="AL785" s="37"/>
    </row>
    <row r="786" spans="1:38" ht="14.25" customHeight="1" x14ac:dyDescent="0.3">
      <c r="A786" s="34"/>
      <c r="B786" s="16"/>
      <c r="C786" s="15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6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5"/>
      <c r="AI786" s="16"/>
      <c r="AJ786" s="16"/>
      <c r="AK786" s="16"/>
      <c r="AL786" s="37"/>
    </row>
    <row r="787" spans="1:38" ht="14.25" customHeight="1" x14ac:dyDescent="0.3">
      <c r="A787" s="34"/>
      <c r="B787" s="16"/>
      <c r="C787" s="15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6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5"/>
      <c r="AI787" s="16"/>
      <c r="AJ787" s="16"/>
      <c r="AK787" s="16"/>
      <c r="AL787" s="37"/>
    </row>
    <row r="788" spans="1:38" ht="14.25" customHeight="1" x14ac:dyDescent="0.3">
      <c r="A788" s="34"/>
      <c r="B788" s="16"/>
      <c r="C788" s="15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6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5"/>
      <c r="AI788" s="16"/>
      <c r="AJ788" s="16"/>
      <c r="AK788" s="16"/>
      <c r="AL788" s="37"/>
    </row>
    <row r="789" spans="1:38" ht="14.25" customHeight="1" x14ac:dyDescent="0.3">
      <c r="A789" s="34"/>
      <c r="B789" s="16"/>
      <c r="C789" s="15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6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5"/>
      <c r="AI789" s="16"/>
      <c r="AJ789" s="16"/>
      <c r="AK789" s="16"/>
      <c r="AL789" s="37"/>
    </row>
    <row r="790" spans="1:38" ht="14.25" customHeight="1" x14ac:dyDescent="0.3">
      <c r="A790" s="34"/>
      <c r="B790" s="16"/>
      <c r="C790" s="15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6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5"/>
      <c r="AI790" s="16"/>
      <c r="AJ790" s="16"/>
      <c r="AK790" s="16"/>
      <c r="AL790" s="37"/>
    </row>
    <row r="791" spans="1:38" ht="14.25" customHeight="1" x14ac:dyDescent="0.3">
      <c r="A791" s="34"/>
      <c r="B791" s="16"/>
      <c r="C791" s="15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6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5"/>
      <c r="AI791" s="16"/>
      <c r="AJ791" s="16"/>
      <c r="AK791" s="16"/>
      <c r="AL791" s="37"/>
    </row>
    <row r="792" spans="1:38" ht="14.25" customHeight="1" x14ac:dyDescent="0.3">
      <c r="A792" s="34"/>
      <c r="B792" s="16"/>
      <c r="C792" s="15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6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5"/>
      <c r="AI792" s="16"/>
      <c r="AJ792" s="16"/>
      <c r="AK792" s="16"/>
      <c r="AL792" s="37"/>
    </row>
    <row r="793" spans="1:38" ht="14.25" customHeight="1" x14ac:dyDescent="0.3">
      <c r="A793" s="34"/>
      <c r="B793" s="16"/>
      <c r="C793" s="15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6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5"/>
      <c r="AI793" s="16"/>
      <c r="AJ793" s="16"/>
      <c r="AK793" s="16"/>
      <c r="AL793" s="37"/>
    </row>
    <row r="794" spans="1:38" ht="14.25" customHeight="1" x14ac:dyDescent="0.3">
      <c r="A794" s="34"/>
      <c r="B794" s="16"/>
      <c r="C794" s="15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6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5"/>
      <c r="AI794" s="16"/>
      <c r="AJ794" s="16"/>
      <c r="AK794" s="16"/>
      <c r="AL794" s="37"/>
    </row>
    <row r="795" spans="1:38" ht="14.25" customHeight="1" x14ac:dyDescent="0.3">
      <c r="A795" s="34"/>
      <c r="B795" s="16"/>
      <c r="C795" s="15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6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5"/>
      <c r="AI795" s="16"/>
      <c r="AJ795" s="16"/>
      <c r="AK795" s="16"/>
      <c r="AL795" s="37"/>
    </row>
    <row r="796" spans="1:38" ht="14.25" customHeight="1" x14ac:dyDescent="0.3">
      <c r="A796" s="34"/>
      <c r="B796" s="16"/>
      <c r="C796" s="15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6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5"/>
      <c r="AI796" s="16"/>
      <c r="AJ796" s="16"/>
      <c r="AK796" s="16"/>
      <c r="AL796" s="37"/>
    </row>
    <row r="797" spans="1:38" ht="14.25" customHeight="1" x14ac:dyDescent="0.3">
      <c r="A797" s="34"/>
      <c r="B797" s="16"/>
      <c r="C797" s="15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6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5"/>
      <c r="AI797" s="16"/>
      <c r="AJ797" s="16"/>
      <c r="AK797" s="16"/>
      <c r="AL797" s="37"/>
    </row>
    <row r="798" spans="1:38" ht="14.25" customHeight="1" x14ac:dyDescent="0.3">
      <c r="A798" s="34"/>
      <c r="B798" s="16"/>
      <c r="C798" s="15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6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5"/>
      <c r="AI798" s="16"/>
      <c r="AJ798" s="16"/>
      <c r="AK798" s="16"/>
      <c r="AL798" s="37"/>
    </row>
    <row r="799" spans="1:38" ht="14.25" customHeight="1" x14ac:dyDescent="0.3">
      <c r="A799" s="34"/>
      <c r="B799" s="16"/>
      <c r="C799" s="15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6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5"/>
      <c r="AI799" s="16"/>
      <c r="AJ799" s="16"/>
      <c r="AK799" s="16"/>
      <c r="AL799" s="37"/>
    </row>
    <row r="800" spans="1:38" ht="14.25" customHeight="1" x14ac:dyDescent="0.3">
      <c r="A800" s="34"/>
      <c r="B800" s="16"/>
      <c r="C800" s="15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6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5"/>
      <c r="AI800" s="16"/>
      <c r="AJ800" s="16"/>
      <c r="AK800" s="16"/>
      <c r="AL800" s="37"/>
    </row>
    <row r="801" spans="1:38" ht="14.25" customHeight="1" x14ac:dyDescent="0.3">
      <c r="A801" s="34"/>
      <c r="B801" s="16"/>
      <c r="C801" s="15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6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5"/>
      <c r="AI801" s="16"/>
      <c r="AJ801" s="16"/>
      <c r="AK801" s="16"/>
      <c r="AL801" s="37"/>
    </row>
    <row r="802" spans="1:38" ht="14.25" customHeight="1" x14ac:dyDescent="0.3">
      <c r="A802" s="34"/>
      <c r="B802" s="16"/>
      <c r="C802" s="15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6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5"/>
      <c r="AI802" s="16"/>
      <c r="AJ802" s="16"/>
      <c r="AK802" s="16"/>
      <c r="AL802" s="37"/>
    </row>
    <row r="803" spans="1:38" ht="14.25" customHeight="1" x14ac:dyDescent="0.3">
      <c r="A803" s="34"/>
      <c r="B803" s="16"/>
      <c r="C803" s="15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6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5"/>
      <c r="AI803" s="16"/>
      <c r="AJ803" s="16"/>
      <c r="AK803" s="16"/>
      <c r="AL803" s="37"/>
    </row>
    <row r="804" spans="1:38" ht="14.25" customHeight="1" x14ac:dyDescent="0.3">
      <c r="A804" s="34"/>
      <c r="B804" s="16"/>
      <c r="C804" s="15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6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5"/>
      <c r="AI804" s="16"/>
      <c r="AJ804" s="16"/>
      <c r="AK804" s="16"/>
      <c r="AL804" s="37"/>
    </row>
    <row r="805" spans="1:38" ht="14.25" customHeight="1" x14ac:dyDescent="0.3">
      <c r="A805" s="34"/>
      <c r="B805" s="16"/>
      <c r="C805" s="15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6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5"/>
      <c r="AI805" s="16"/>
      <c r="AJ805" s="16"/>
      <c r="AK805" s="16"/>
      <c r="AL805" s="37"/>
    </row>
    <row r="806" spans="1:38" ht="14.25" customHeight="1" x14ac:dyDescent="0.3">
      <c r="A806" s="34"/>
      <c r="B806" s="16"/>
      <c r="C806" s="15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6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5"/>
      <c r="AI806" s="16"/>
      <c r="AJ806" s="16"/>
      <c r="AK806" s="16"/>
      <c r="AL806" s="37"/>
    </row>
    <row r="807" spans="1:38" ht="14.25" customHeight="1" x14ac:dyDescent="0.3">
      <c r="A807" s="34"/>
      <c r="B807" s="16"/>
      <c r="C807" s="15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6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5"/>
      <c r="AI807" s="16"/>
      <c r="AJ807" s="16"/>
      <c r="AK807" s="16"/>
      <c r="AL807" s="37"/>
    </row>
    <row r="808" spans="1:38" ht="14.25" customHeight="1" x14ac:dyDescent="0.3">
      <c r="A808" s="34"/>
      <c r="B808" s="16"/>
      <c r="C808" s="15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6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5"/>
      <c r="AI808" s="16"/>
      <c r="AJ808" s="16"/>
      <c r="AK808" s="16"/>
      <c r="AL808" s="37"/>
    </row>
    <row r="809" spans="1:38" ht="14.25" customHeight="1" x14ac:dyDescent="0.3">
      <c r="A809" s="34"/>
      <c r="B809" s="16"/>
      <c r="C809" s="15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6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5"/>
      <c r="AI809" s="16"/>
      <c r="AJ809" s="16"/>
      <c r="AK809" s="16"/>
      <c r="AL809" s="37"/>
    </row>
    <row r="810" spans="1:38" ht="14.25" customHeight="1" x14ac:dyDescent="0.3">
      <c r="A810" s="34"/>
      <c r="B810" s="16"/>
      <c r="C810" s="15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6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5"/>
      <c r="AI810" s="16"/>
      <c r="AJ810" s="16"/>
      <c r="AK810" s="16"/>
      <c r="AL810" s="37"/>
    </row>
    <row r="811" spans="1:38" ht="14.25" customHeight="1" x14ac:dyDescent="0.3">
      <c r="A811" s="34"/>
      <c r="B811" s="16"/>
      <c r="C811" s="15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6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5"/>
      <c r="AI811" s="16"/>
      <c r="AJ811" s="16"/>
      <c r="AK811" s="16"/>
      <c r="AL811" s="37"/>
    </row>
    <row r="812" spans="1:38" ht="14.25" customHeight="1" x14ac:dyDescent="0.3">
      <c r="A812" s="34"/>
      <c r="B812" s="16"/>
      <c r="C812" s="15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6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5"/>
      <c r="AI812" s="16"/>
      <c r="AJ812" s="16"/>
      <c r="AK812" s="16"/>
      <c r="AL812" s="37"/>
    </row>
    <row r="813" spans="1:38" ht="14.25" customHeight="1" x14ac:dyDescent="0.3">
      <c r="A813" s="34"/>
      <c r="B813" s="16"/>
      <c r="C813" s="15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6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5"/>
      <c r="AI813" s="16"/>
      <c r="AJ813" s="16"/>
      <c r="AK813" s="16"/>
      <c r="AL813" s="37"/>
    </row>
    <row r="814" spans="1:38" ht="14.25" customHeight="1" x14ac:dyDescent="0.3">
      <c r="A814" s="34"/>
      <c r="B814" s="16"/>
      <c r="C814" s="15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6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5"/>
      <c r="AI814" s="16"/>
      <c r="AJ814" s="16"/>
      <c r="AK814" s="16"/>
      <c r="AL814" s="37"/>
    </row>
    <row r="815" spans="1:38" ht="14.25" customHeight="1" x14ac:dyDescent="0.3">
      <c r="A815" s="34"/>
      <c r="B815" s="16"/>
      <c r="C815" s="15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6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5"/>
      <c r="AI815" s="16"/>
      <c r="AJ815" s="16"/>
      <c r="AK815" s="16"/>
      <c r="AL815" s="37"/>
    </row>
    <row r="816" spans="1:38" ht="14.25" customHeight="1" x14ac:dyDescent="0.3">
      <c r="A816" s="34"/>
      <c r="B816" s="16"/>
      <c r="C816" s="15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6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5"/>
      <c r="AI816" s="16"/>
      <c r="AJ816" s="16"/>
      <c r="AK816" s="16"/>
      <c r="AL816" s="37"/>
    </row>
    <row r="817" spans="1:38" ht="14.25" customHeight="1" x14ac:dyDescent="0.3">
      <c r="A817" s="34"/>
      <c r="B817" s="16"/>
      <c r="C817" s="15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6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5"/>
      <c r="AI817" s="16"/>
      <c r="AJ817" s="16"/>
      <c r="AK817" s="16"/>
      <c r="AL817" s="37"/>
    </row>
    <row r="818" spans="1:38" ht="14.25" customHeight="1" x14ac:dyDescent="0.3">
      <c r="A818" s="34"/>
      <c r="B818" s="16"/>
      <c r="C818" s="15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6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5"/>
      <c r="AI818" s="16"/>
      <c r="AJ818" s="16"/>
      <c r="AK818" s="16"/>
      <c r="AL818" s="37"/>
    </row>
    <row r="819" spans="1:38" ht="14.25" customHeight="1" x14ac:dyDescent="0.3">
      <c r="A819" s="34"/>
      <c r="B819" s="16"/>
      <c r="C819" s="15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6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5"/>
      <c r="AI819" s="16"/>
      <c r="AJ819" s="16"/>
      <c r="AK819" s="16"/>
      <c r="AL819" s="37"/>
    </row>
    <row r="820" spans="1:38" ht="14.25" customHeight="1" x14ac:dyDescent="0.3">
      <c r="A820" s="34"/>
      <c r="B820" s="16"/>
      <c r="C820" s="15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6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5"/>
      <c r="AI820" s="16"/>
      <c r="AJ820" s="16"/>
      <c r="AK820" s="16"/>
      <c r="AL820" s="37"/>
    </row>
    <row r="821" spans="1:38" ht="14.25" customHeight="1" x14ac:dyDescent="0.3">
      <c r="A821" s="34"/>
      <c r="B821" s="16"/>
      <c r="C821" s="15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6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5"/>
      <c r="AI821" s="16"/>
      <c r="AJ821" s="16"/>
      <c r="AK821" s="16"/>
      <c r="AL821" s="37"/>
    </row>
    <row r="822" spans="1:38" ht="14.25" customHeight="1" x14ac:dyDescent="0.3">
      <c r="A822" s="34"/>
      <c r="B822" s="16"/>
      <c r="C822" s="15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6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5"/>
      <c r="AI822" s="16"/>
      <c r="AJ822" s="16"/>
      <c r="AK822" s="16"/>
      <c r="AL822" s="37"/>
    </row>
    <row r="823" spans="1:38" ht="14.25" customHeight="1" x14ac:dyDescent="0.3">
      <c r="A823" s="34"/>
      <c r="B823" s="16"/>
      <c r="C823" s="15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6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5"/>
      <c r="AI823" s="16"/>
      <c r="AJ823" s="16"/>
      <c r="AK823" s="16"/>
      <c r="AL823" s="37"/>
    </row>
    <row r="824" spans="1:38" ht="14.25" customHeight="1" x14ac:dyDescent="0.3">
      <c r="A824" s="34"/>
      <c r="B824" s="16"/>
      <c r="C824" s="15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6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5"/>
      <c r="AI824" s="16"/>
      <c r="AJ824" s="16"/>
      <c r="AK824" s="16"/>
      <c r="AL824" s="37"/>
    </row>
    <row r="825" spans="1:38" ht="14.25" customHeight="1" x14ac:dyDescent="0.3">
      <c r="A825" s="34"/>
      <c r="B825" s="16"/>
      <c r="C825" s="15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6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5"/>
      <c r="AI825" s="16"/>
      <c r="AJ825" s="16"/>
      <c r="AK825" s="16"/>
      <c r="AL825" s="37"/>
    </row>
    <row r="826" spans="1:38" ht="14.25" customHeight="1" x14ac:dyDescent="0.3">
      <c r="A826" s="34"/>
      <c r="B826" s="16"/>
      <c r="C826" s="15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6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5"/>
      <c r="AI826" s="16"/>
      <c r="AJ826" s="16"/>
      <c r="AK826" s="16"/>
      <c r="AL826" s="37"/>
    </row>
    <row r="827" spans="1:38" ht="14.25" customHeight="1" x14ac:dyDescent="0.3">
      <c r="A827" s="34"/>
      <c r="B827" s="16"/>
      <c r="C827" s="15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6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5"/>
      <c r="AI827" s="16"/>
      <c r="AJ827" s="16"/>
      <c r="AK827" s="16"/>
      <c r="AL827" s="37"/>
    </row>
    <row r="828" spans="1:38" ht="14.25" customHeight="1" x14ac:dyDescent="0.3">
      <c r="A828" s="34"/>
      <c r="B828" s="16"/>
      <c r="C828" s="15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6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5"/>
      <c r="AI828" s="16"/>
      <c r="AJ828" s="16"/>
      <c r="AK828" s="16"/>
      <c r="AL828" s="37"/>
    </row>
    <row r="829" spans="1:38" ht="14.25" customHeight="1" x14ac:dyDescent="0.3">
      <c r="A829" s="34"/>
      <c r="B829" s="16"/>
      <c r="C829" s="15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6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5"/>
      <c r="AI829" s="16"/>
      <c r="AJ829" s="16"/>
      <c r="AK829" s="16"/>
      <c r="AL829" s="37"/>
    </row>
    <row r="830" spans="1:38" ht="14.25" customHeight="1" x14ac:dyDescent="0.3">
      <c r="A830" s="34"/>
      <c r="B830" s="16"/>
      <c r="C830" s="15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6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5"/>
      <c r="AI830" s="16"/>
      <c r="AJ830" s="16"/>
      <c r="AK830" s="16"/>
      <c r="AL830" s="37"/>
    </row>
    <row r="831" spans="1:38" ht="14.25" customHeight="1" x14ac:dyDescent="0.3">
      <c r="A831" s="34"/>
      <c r="B831" s="16"/>
      <c r="C831" s="15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6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5"/>
      <c r="AI831" s="16"/>
      <c r="AJ831" s="16"/>
      <c r="AK831" s="16"/>
      <c r="AL831" s="37"/>
    </row>
    <row r="832" spans="1:38" ht="14.25" customHeight="1" x14ac:dyDescent="0.3">
      <c r="A832" s="34"/>
      <c r="B832" s="16"/>
      <c r="C832" s="15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6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5"/>
      <c r="AI832" s="16"/>
      <c r="AJ832" s="16"/>
      <c r="AK832" s="16"/>
      <c r="AL832" s="37"/>
    </row>
    <row r="833" spans="1:38" ht="14.25" customHeight="1" x14ac:dyDescent="0.3">
      <c r="A833" s="34"/>
      <c r="B833" s="16"/>
      <c r="C833" s="15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6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5"/>
      <c r="AI833" s="16"/>
      <c r="AJ833" s="16"/>
      <c r="AK833" s="16"/>
      <c r="AL833" s="37"/>
    </row>
    <row r="834" spans="1:38" ht="14.25" customHeight="1" x14ac:dyDescent="0.3">
      <c r="A834" s="34"/>
      <c r="B834" s="16"/>
      <c r="C834" s="15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6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5"/>
      <c r="AI834" s="16"/>
      <c r="AJ834" s="16"/>
      <c r="AK834" s="16"/>
      <c r="AL834" s="37"/>
    </row>
    <row r="835" spans="1:38" ht="14.25" customHeight="1" x14ac:dyDescent="0.3">
      <c r="A835" s="34"/>
      <c r="B835" s="16"/>
      <c r="C835" s="15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6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5"/>
      <c r="AI835" s="16"/>
      <c r="AJ835" s="16"/>
      <c r="AK835" s="16"/>
      <c r="AL835" s="37"/>
    </row>
    <row r="836" spans="1:38" ht="14.25" customHeight="1" x14ac:dyDescent="0.3">
      <c r="A836" s="34"/>
      <c r="B836" s="16"/>
      <c r="C836" s="15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6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5"/>
      <c r="AI836" s="16"/>
      <c r="AJ836" s="16"/>
      <c r="AK836" s="16"/>
      <c r="AL836" s="37"/>
    </row>
    <row r="837" spans="1:38" ht="14.25" customHeight="1" x14ac:dyDescent="0.3">
      <c r="A837" s="34"/>
      <c r="B837" s="16"/>
      <c r="C837" s="15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6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5"/>
      <c r="AI837" s="16"/>
      <c r="AJ837" s="16"/>
      <c r="AK837" s="16"/>
      <c r="AL837" s="37"/>
    </row>
    <row r="838" spans="1:38" ht="14.25" customHeight="1" x14ac:dyDescent="0.3">
      <c r="A838" s="34"/>
      <c r="B838" s="16"/>
      <c r="C838" s="15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6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5"/>
      <c r="AI838" s="16"/>
      <c r="AJ838" s="16"/>
      <c r="AK838" s="16"/>
      <c r="AL838" s="37"/>
    </row>
    <row r="839" spans="1:38" ht="14.25" customHeight="1" x14ac:dyDescent="0.3">
      <c r="A839" s="34"/>
      <c r="B839" s="16"/>
      <c r="C839" s="15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6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5"/>
      <c r="AI839" s="16"/>
      <c r="AJ839" s="16"/>
      <c r="AK839" s="16"/>
      <c r="AL839" s="37"/>
    </row>
    <row r="840" spans="1:38" ht="14.25" customHeight="1" x14ac:dyDescent="0.3">
      <c r="A840" s="34"/>
      <c r="B840" s="16"/>
      <c r="C840" s="15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6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5"/>
      <c r="AI840" s="16"/>
      <c r="AJ840" s="16"/>
      <c r="AK840" s="16"/>
      <c r="AL840" s="37"/>
    </row>
    <row r="841" spans="1:38" ht="14.25" customHeight="1" x14ac:dyDescent="0.3">
      <c r="A841" s="34"/>
      <c r="B841" s="16"/>
      <c r="C841" s="15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6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5"/>
      <c r="AI841" s="16"/>
      <c r="AJ841" s="16"/>
      <c r="AK841" s="16"/>
      <c r="AL841" s="37"/>
    </row>
    <row r="842" spans="1:38" ht="14.25" customHeight="1" x14ac:dyDescent="0.3">
      <c r="A842" s="34"/>
      <c r="B842" s="16"/>
      <c r="C842" s="15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6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5"/>
      <c r="AI842" s="16"/>
      <c r="AJ842" s="16"/>
      <c r="AK842" s="16"/>
      <c r="AL842" s="37"/>
    </row>
    <row r="843" spans="1:38" ht="14.25" customHeight="1" x14ac:dyDescent="0.3">
      <c r="A843" s="34"/>
      <c r="B843" s="16"/>
      <c r="C843" s="15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6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5"/>
      <c r="AI843" s="16"/>
      <c r="AJ843" s="16"/>
      <c r="AK843" s="16"/>
      <c r="AL843" s="37"/>
    </row>
    <row r="844" spans="1:38" ht="14.25" customHeight="1" x14ac:dyDescent="0.3">
      <c r="A844" s="34"/>
      <c r="B844" s="16"/>
      <c r="C844" s="15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6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5"/>
      <c r="AI844" s="16"/>
      <c r="AJ844" s="16"/>
      <c r="AK844" s="16"/>
      <c r="AL844" s="37"/>
    </row>
    <row r="845" spans="1:38" ht="14.25" customHeight="1" x14ac:dyDescent="0.3">
      <c r="A845" s="34"/>
      <c r="B845" s="16"/>
      <c r="C845" s="15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6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5"/>
      <c r="AI845" s="16"/>
      <c r="AJ845" s="16"/>
      <c r="AK845" s="16"/>
      <c r="AL845" s="37"/>
    </row>
    <row r="846" spans="1:38" ht="14.25" customHeight="1" x14ac:dyDescent="0.3">
      <c r="A846" s="34"/>
      <c r="B846" s="16"/>
      <c r="C846" s="15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6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5"/>
      <c r="AI846" s="16"/>
      <c r="AJ846" s="16"/>
      <c r="AK846" s="16"/>
      <c r="AL846" s="37"/>
    </row>
    <row r="847" spans="1:38" ht="14.25" customHeight="1" x14ac:dyDescent="0.3">
      <c r="A847" s="34"/>
      <c r="B847" s="16"/>
      <c r="C847" s="15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6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5"/>
      <c r="AI847" s="16"/>
      <c r="AJ847" s="16"/>
      <c r="AK847" s="16"/>
      <c r="AL847" s="37"/>
    </row>
    <row r="848" spans="1:38" ht="14.25" customHeight="1" x14ac:dyDescent="0.3">
      <c r="A848" s="34"/>
      <c r="B848" s="16"/>
      <c r="C848" s="15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6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5"/>
      <c r="AI848" s="16"/>
      <c r="AJ848" s="16"/>
      <c r="AK848" s="16"/>
      <c r="AL848" s="37"/>
    </row>
    <row r="849" spans="1:38" ht="14.25" customHeight="1" x14ac:dyDescent="0.3">
      <c r="A849" s="34"/>
      <c r="B849" s="16"/>
      <c r="C849" s="15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6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5"/>
      <c r="AI849" s="16"/>
      <c r="AJ849" s="16"/>
      <c r="AK849" s="16"/>
      <c r="AL849" s="37"/>
    </row>
    <row r="850" spans="1:38" ht="14.25" customHeight="1" x14ac:dyDescent="0.3">
      <c r="A850" s="34"/>
      <c r="B850" s="16"/>
      <c r="C850" s="15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6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5"/>
      <c r="AI850" s="16"/>
      <c r="AJ850" s="16"/>
      <c r="AK850" s="16"/>
      <c r="AL850" s="37"/>
    </row>
    <row r="851" spans="1:38" ht="14.25" customHeight="1" x14ac:dyDescent="0.3">
      <c r="A851" s="34"/>
      <c r="B851" s="16"/>
      <c r="C851" s="15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6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5"/>
      <c r="AI851" s="16"/>
      <c r="AJ851" s="16"/>
      <c r="AK851" s="16"/>
      <c r="AL851" s="37"/>
    </row>
    <row r="852" spans="1:38" ht="14.25" customHeight="1" x14ac:dyDescent="0.3">
      <c r="A852" s="34"/>
      <c r="B852" s="16"/>
      <c r="C852" s="15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6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5"/>
      <c r="AI852" s="16"/>
      <c r="AJ852" s="16"/>
      <c r="AK852" s="16"/>
      <c r="AL852" s="37"/>
    </row>
    <row r="853" spans="1:38" ht="14.25" customHeight="1" x14ac:dyDescent="0.3">
      <c r="A853" s="34"/>
      <c r="B853" s="16"/>
      <c r="C853" s="15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6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5"/>
      <c r="AI853" s="16"/>
      <c r="AJ853" s="16"/>
      <c r="AK853" s="16"/>
      <c r="AL853" s="37"/>
    </row>
    <row r="854" spans="1:38" ht="14.25" customHeight="1" x14ac:dyDescent="0.3">
      <c r="A854" s="34"/>
      <c r="B854" s="16"/>
      <c r="C854" s="15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6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5"/>
      <c r="AI854" s="16"/>
      <c r="AJ854" s="16"/>
      <c r="AK854" s="16"/>
      <c r="AL854" s="37"/>
    </row>
    <row r="855" spans="1:38" ht="14.25" customHeight="1" x14ac:dyDescent="0.3">
      <c r="A855" s="34"/>
      <c r="B855" s="16"/>
      <c r="C855" s="15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6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5"/>
      <c r="AI855" s="16"/>
      <c r="AJ855" s="16"/>
      <c r="AK855" s="16"/>
      <c r="AL855" s="37"/>
    </row>
    <row r="856" spans="1:38" ht="14.25" customHeight="1" x14ac:dyDescent="0.3">
      <c r="A856" s="34"/>
      <c r="B856" s="16"/>
      <c r="C856" s="15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6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5"/>
      <c r="AI856" s="16"/>
      <c r="AJ856" s="16"/>
      <c r="AK856" s="16"/>
      <c r="AL856" s="37"/>
    </row>
    <row r="857" spans="1:38" ht="14.25" customHeight="1" x14ac:dyDescent="0.3">
      <c r="A857" s="34"/>
      <c r="B857" s="16"/>
      <c r="C857" s="15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6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5"/>
      <c r="AI857" s="16"/>
      <c r="AJ857" s="16"/>
      <c r="AK857" s="16"/>
      <c r="AL857" s="37"/>
    </row>
    <row r="858" spans="1:38" ht="14.25" customHeight="1" x14ac:dyDescent="0.3">
      <c r="A858" s="34"/>
      <c r="B858" s="16"/>
      <c r="C858" s="15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6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5"/>
      <c r="AI858" s="16"/>
      <c r="AJ858" s="16"/>
      <c r="AK858" s="16"/>
      <c r="AL858" s="37"/>
    </row>
    <row r="859" spans="1:38" ht="14.25" customHeight="1" x14ac:dyDescent="0.3">
      <c r="A859" s="34"/>
      <c r="B859" s="16"/>
      <c r="C859" s="15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6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5"/>
      <c r="AI859" s="16"/>
      <c r="AJ859" s="16"/>
      <c r="AK859" s="16"/>
      <c r="AL859" s="37"/>
    </row>
    <row r="860" spans="1:38" ht="14.25" customHeight="1" x14ac:dyDescent="0.3">
      <c r="A860" s="34"/>
      <c r="B860" s="16"/>
      <c r="C860" s="15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6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5"/>
      <c r="AI860" s="16"/>
      <c r="AJ860" s="16"/>
      <c r="AK860" s="16"/>
      <c r="AL860" s="37"/>
    </row>
    <row r="861" spans="1:38" ht="14.25" customHeight="1" x14ac:dyDescent="0.3">
      <c r="A861" s="34"/>
      <c r="B861" s="16"/>
      <c r="C861" s="15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6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5"/>
      <c r="AI861" s="16"/>
      <c r="AJ861" s="16"/>
      <c r="AK861" s="16"/>
      <c r="AL861" s="37"/>
    </row>
    <row r="862" spans="1:38" ht="14.25" customHeight="1" x14ac:dyDescent="0.3">
      <c r="A862" s="34"/>
      <c r="B862" s="16"/>
      <c r="C862" s="15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6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5"/>
      <c r="AI862" s="16"/>
      <c r="AJ862" s="16"/>
      <c r="AK862" s="16"/>
      <c r="AL862" s="37"/>
    </row>
    <row r="863" spans="1:38" ht="14.25" customHeight="1" x14ac:dyDescent="0.3">
      <c r="A863" s="34"/>
      <c r="B863" s="16"/>
      <c r="C863" s="15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6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5"/>
      <c r="AI863" s="16"/>
      <c r="AJ863" s="16"/>
      <c r="AK863" s="16"/>
      <c r="AL863" s="37"/>
    </row>
    <row r="864" spans="1:38" ht="14.25" customHeight="1" x14ac:dyDescent="0.3">
      <c r="A864" s="34"/>
      <c r="B864" s="16"/>
      <c r="C864" s="15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6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5"/>
      <c r="AI864" s="16"/>
      <c r="AJ864" s="16"/>
      <c r="AK864" s="16"/>
      <c r="AL864" s="37"/>
    </row>
    <row r="865" spans="1:38" ht="14.25" customHeight="1" x14ac:dyDescent="0.3">
      <c r="A865" s="34"/>
      <c r="B865" s="16"/>
      <c r="C865" s="15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6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5"/>
      <c r="AI865" s="16"/>
      <c r="AJ865" s="16"/>
      <c r="AK865" s="16"/>
      <c r="AL865" s="37"/>
    </row>
    <row r="866" spans="1:38" ht="14.25" customHeight="1" x14ac:dyDescent="0.3">
      <c r="A866" s="34"/>
      <c r="B866" s="16"/>
      <c r="C866" s="15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6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5"/>
      <c r="AI866" s="16"/>
      <c r="AJ866" s="16"/>
      <c r="AK866" s="16"/>
      <c r="AL866" s="37"/>
    </row>
    <row r="867" spans="1:38" ht="14.25" customHeight="1" x14ac:dyDescent="0.3">
      <c r="A867" s="34"/>
      <c r="B867" s="16"/>
      <c r="C867" s="15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6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5"/>
      <c r="AI867" s="16"/>
      <c r="AJ867" s="16"/>
      <c r="AK867" s="16"/>
      <c r="AL867" s="37"/>
    </row>
    <row r="868" spans="1:38" ht="14.25" customHeight="1" x14ac:dyDescent="0.3">
      <c r="A868" s="34"/>
      <c r="B868" s="16"/>
      <c r="C868" s="15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6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5"/>
      <c r="AI868" s="16"/>
      <c r="AJ868" s="16"/>
      <c r="AK868" s="16"/>
      <c r="AL868" s="37"/>
    </row>
    <row r="869" spans="1:38" ht="14.25" customHeight="1" x14ac:dyDescent="0.3">
      <c r="A869" s="34"/>
      <c r="B869" s="16"/>
      <c r="C869" s="15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6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5"/>
      <c r="AI869" s="16"/>
      <c r="AJ869" s="16"/>
      <c r="AK869" s="16"/>
      <c r="AL869" s="37"/>
    </row>
    <row r="870" spans="1:38" ht="14.25" customHeight="1" x14ac:dyDescent="0.3">
      <c r="A870" s="34"/>
      <c r="B870" s="16"/>
      <c r="C870" s="15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6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5"/>
      <c r="AI870" s="16"/>
      <c r="AJ870" s="16"/>
      <c r="AK870" s="16"/>
      <c r="AL870" s="37"/>
    </row>
    <row r="871" spans="1:38" ht="14.25" customHeight="1" x14ac:dyDescent="0.3">
      <c r="A871" s="34"/>
      <c r="B871" s="16"/>
      <c r="C871" s="15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6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5"/>
      <c r="AI871" s="16"/>
      <c r="AJ871" s="16"/>
      <c r="AK871" s="16"/>
      <c r="AL871" s="37"/>
    </row>
    <row r="872" spans="1:38" ht="14.25" customHeight="1" x14ac:dyDescent="0.3">
      <c r="A872" s="34"/>
      <c r="B872" s="16"/>
      <c r="C872" s="15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6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5"/>
      <c r="AI872" s="16"/>
      <c r="AJ872" s="16"/>
      <c r="AK872" s="16"/>
      <c r="AL872" s="37"/>
    </row>
    <row r="873" spans="1:38" ht="14.25" customHeight="1" x14ac:dyDescent="0.3">
      <c r="A873" s="34"/>
      <c r="B873" s="16"/>
      <c r="C873" s="15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6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5"/>
      <c r="AI873" s="16"/>
      <c r="AJ873" s="16"/>
      <c r="AK873" s="16"/>
      <c r="AL873" s="37"/>
    </row>
    <row r="874" spans="1:38" ht="14.25" customHeight="1" x14ac:dyDescent="0.3">
      <c r="A874" s="34"/>
      <c r="B874" s="16"/>
      <c r="C874" s="15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6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5"/>
      <c r="AI874" s="16"/>
      <c r="AJ874" s="16"/>
      <c r="AK874" s="16"/>
      <c r="AL874" s="37"/>
    </row>
    <row r="875" spans="1:38" ht="14.25" customHeight="1" x14ac:dyDescent="0.3">
      <c r="A875" s="34"/>
      <c r="B875" s="16"/>
      <c r="C875" s="15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6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5"/>
      <c r="AI875" s="16"/>
      <c r="AJ875" s="16"/>
      <c r="AK875" s="16"/>
      <c r="AL875" s="37"/>
    </row>
    <row r="876" spans="1:38" ht="14.25" customHeight="1" x14ac:dyDescent="0.3">
      <c r="A876" s="34"/>
      <c r="B876" s="16"/>
      <c r="C876" s="15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6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5"/>
      <c r="AI876" s="16"/>
      <c r="AJ876" s="16"/>
      <c r="AK876" s="16"/>
      <c r="AL876" s="37"/>
    </row>
    <row r="877" spans="1:38" ht="14.25" customHeight="1" x14ac:dyDescent="0.3">
      <c r="A877" s="34"/>
      <c r="B877" s="16"/>
      <c r="C877" s="15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6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5"/>
      <c r="AI877" s="16"/>
      <c r="AJ877" s="16"/>
      <c r="AK877" s="16"/>
      <c r="AL877" s="37"/>
    </row>
    <row r="878" spans="1:38" ht="14.25" customHeight="1" x14ac:dyDescent="0.3">
      <c r="A878" s="34"/>
      <c r="B878" s="16"/>
      <c r="C878" s="15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6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5"/>
      <c r="AI878" s="16"/>
      <c r="AJ878" s="16"/>
      <c r="AK878" s="16"/>
      <c r="AL878" s="37"/>
    </row>
    <row r="879" spans="1:38" ht="14.25" customHeight="1" x14ac:dyDescent="0.3">
      <c r="A879" s="34"/>
      <c r="B879" s="16"/>
      <c r="C879" s="15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6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5"/>
      <c r="AI879" s="16"/>
      <c r="AJ879" s="16"/>
      <c r="AK879" s="16"/>
      <c r="AL879" s="37"/>
    </row>
    <row r="880" spans="1:38" ht="14.25" customHeight="1" x14ac:dyDescent="0.3">
      <c r="A880" s="34"/>
      <c r="B880" s="16"/>
      <c r="C880" s="15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6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5"/>
      <c r="AI880" s="16"/>
      <c r="AJ880" s="16"/>
      <c r="AK880" s="16"/>
      <c r="AL880" s="37"/>
    </row>
    <row r="881" spans="1:38" ht="14.25" customHeight="1" x14ac:dyDescent="0.3">
      <c r="A881" s="34"/>
      <c r="B881" s="16"/>
      <c r="C881" s="15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6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5"/>
      <c r="AI881" s="16"/>
      <c r="AJ881" s="16"/>
      <c r="AK881" s="16"/>
      <c r="AL881" s="37"/>
    </row>
    <row r="882" spans="1:38" ht="14.25" customHeight="1" x14ac:dyDescent="0.3">
      <c r="A882" s="34"/>
      <c r="B882" s="16"/>
      <c r="C882" s="15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6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5"/>
      <c r="AI882" s="16"/>
      <c r="AJ882" s="16"/>
      <c r="AK882" s="16"/>
      <c r="AL882" s="37"/>
    </row>
    <row r="883" spans="1:38" ht="14.25" customHeight="1" x14ac:dyDescent="0.3">
      <c r="A883" s="34"/>
      <c r="B883" s="16"/>
      <c r="C883" s="15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6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5"/>
      <c r="AI883" s="16"/>
      <c r="AJ883" s="16"/>
      <c r="AK883" s="16"/>
      <c r="AL883" s="37"/>
    </row>
    <row r="884" spans="1:38" ht="14.25" customHeight="1" x14ac:dyDescent="0.3">
      <c r="A884" s="34"/>
      <c r="B884" s="16"/>
      <c r="C884" s="15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6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5"/>
      <c r="AI884" s="16"/>
      <c r="AJ884" s="16"/>
      <c r="AK884" s="16"/>
      <c r="AL884" s="37"/>
    </row>
    <row r="885" spans="1:38" ht="14.25" customHeight="1" x14ac:dyDescent="0.3">
      <c r="A885" s="34"/>
      <c r="B885" s="16"/>
      <c r="C885" s="15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6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5"/>
      <c r="AI885" s="16"/>
      <c r="AJ885" s="16"/>
      <c r="AK885" s="16"/>
      <c r="AL885" s="37"/>
    </row>
    <row r="886" spans="1:38" ht="14.25" customHeight="1" x14ac:dyDescent="0.3">
      <c r="A886" s="34"/>
      <c r="B886" s="16"/>
      <c r="C886" s="15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6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5"/>
      <c r="AI886" s="16"/>
      <c r="AJ886" s="16"/>
      <c r="AK886" s="16"/>
      <c r="AL886" s="37"/>
    </row>
    <row r="887" spans="1:38" ht="14.25" customHeight="1" x14ac:dyDescent="0.3">
      <c r="A887" s="34"/>
      <c r="B887" s="16"/>
      <c r="C887" s="15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6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5"/>
      <c r="AI887" s="16"/>
      <c r="AJ887" s="16"/>
      <c r="AK887" s="16"/>
      <c r="AL887" s="37"/>
    </row>
    <row r="888" spans="1:38" ht="14.25" customHeight="1" x14ac:dyDescent="0.3">
      <c r="A888" s="34"/>
      <c r="B888" s="16"/>
      <c r="C888" s="15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6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5"/>
      <c r="AI888" s="16"/>
      <c r="AJ888" s="16"/>
      <c r="AK888" s="16"/>
      <c r="AL888" s="37"/>
    </row>
    <row r="889" spans="1:38" ht="14.25" customHeight="1" x14ac:dyDescent="0.3">
      <c r="A889" s="34"/>
      <c r="B889" s="16"/>
      <c r="C889" s="15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6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5"/>
      <c r="AI889" s="16"/>
      <c r="AJ889" s="16"/>
      <c r="AK889" s="16"/>
      <c r="AL889" s="37"/>
    </row>
    <row r="890" spans="1:38" ht="14.25" customHeight="1" x14ac:dyDescent="0.3">
      <c r="A890" s="34"/>
      <c r="B890" s="16"/>
      <c r="C890" s="15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6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5"/>
      <c r="AI890" s="16"/>
      <c r="AJ890" s="16"/>
      <c r="AK890" s="16"/>
      <c r="AL890" s="37"/>
    </row>
    <row r="891" spans="1:38" ht="14.25" customHeight="1" x14ac:dyDescent="0.3">
      <c r="A891" s="34"/>
      <c r="B891" s="16"/>
      <c r="C891" s="15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6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5"/>
      <c r="AI891" s="16"/>
      <c r="AJ891" s="16"/>
      <c r="AK891" s="16"/>
      <c r="AL891" s="37"/>
    </row>
    <row r="892" spans="1:38" ht="14.25" customHeight="1" x14ac:dyDescent="0.3">
      <c r="A892" s="34"/>
      <c r="B892" s="16"/>
      <c r="C892" s="15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6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5"/>
      <c r="AI892" s="16"/>
      <c r="AJ892" s="16"/>
      <c r="AK892" s="16"/>
      <c r="AL892" s="37"/>
    </row>
    <row r="893" spans="1:38" ht="14.25" customHeight="1" x14ac:dyDescent="0.3">
      <c r="A893" s="34"/>
      <c r="B893" s="16"/>
      <c r="C893" s="15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6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5"/>
      <c r="AI893" s="16"/>
      <c r="AJ893" s="16"/>
      <c r="AK893" s="16"/>
      <c r="AL893" s="37"/>
    </row>
    <row r="894" spans="1:38" ht="14.25" customHeight="1" x14ac:dyDescent="0.3">
      <c r="A894" s="34"/>
      <c r="B894" s="16"/>
      <c r="C894" s="15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6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5"/>
      <c r="AI894" s="16"/>
      <c r="AJ894" s="16"/>
      <c r="AK894" s="16"/>
      <c r="AL894" s="37"/>
    </row>
    <row r="895" spans="1:38" ht="14.25" customHeight="1" x14ac:dyDescent="0.3">
      <c r="A895" s="34"/>
      <c r="B895" s="16"/>
      <c r="C895" s="15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6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5"/>
      <c r="AI895" s="16"/>
      <c r="AJ895" s="16"/>
      <c r="AK895" s="16"/>
      <c r="AL895" s="37"/>
    </row>
    <row r="896" spans="1:38" ht="14.25" customHeight="1" x14ac:dyDescent="0.3">
      <c r="A896" s="34"/>
      <c r="B896" s="16"/>
      <c r="C896" s="15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6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5"/>
      <c r="AI896" s="16"/>
      <c r="AJ896" s="16"/>
      <c r="AK896" s="16"/>
      <c r="AL896" s="37"/>
    </row>
    <row r="897" spans="1:38" ht="14.25" customHeight="1" x14ac:dyDescent="0.3">
      <c r="A897" s="34"/>
      <c r="B897" s="16"/>
      <c r="C897" s="15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6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5"/>
      <c r="AI897" s="16"/>
      <c r="AJ897" s="16"/>
      <c r="AK897" s="16"/>
      <c r="AL897" s="37"/>
    </row>
    <row r="898" spans="1:38" ht="14.25" customHeight="1" x14ac:dyDescent="0.3">
      <c r="A898" s="34"/>
      <c r="B898" s="16"/>
      <c r="C898" s="15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6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5"/>
      <c r="AI898" s="16"/>
      <c r="AJ898" s="16"/>
      <c r="AK898" s="16"/>
      <c r="AL898" s="37"/>
    </row>
    <row r="899" spans="1:38" ht="14.25" customHeight="1" x14ac:dyDescent="0.3">
      <c r="A899" s="34"/>
      <c r="B899" s="16"/>
      <c r="C899" s="15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6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5"/>
      <c r="AI899" s="16"/>
      <c r="AJ899" s="16"/>
      <c r="AK899" s="16"/>
      <c r="AL899" s="37"/>
    </row>
    <row r="900" spans="1:38" ht="14.25" customHeight="1" x14ac:dyDescent="0.3">
      <c r="A900" s="34"/>
      <c r="B900" s="16"/>
      <c r="C900" s="15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6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5"/>
      <c r="AI900" s="16"/>
      <c r="AJ900" s="16"/>
      <c r="AK900" s="16"/>
      <c r="AL900" s="37"/>
    </row>
    <row r="901" spans="1:38" ht="14.25" customHeight="1" x14ac:dyDescent="0.3">
      <c r="A901" s="34"/>
      <c r="B901" s="16"/>
      <c r="C901" s="15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6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5"/>
      <c r="AI901" s="16"/>
      <c r="AJ901" s="16"/>
      <c r="AK901" s="16"/>
      <c r="AL901" s="37"/>
    </row>
    <row r="902" spans="1:38" ht="14.25" customHeight="1" x14ac:dyDescent="0.3">
      <c r="A902" s="34"/>
      <c r="B902" s="16"/>
      <c r="C902" s="15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6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5"/>
      <c r="AI902" s="16"/>
      <c r="AJ902" s="16"/>
      <c r="AK902" s="16"/>
      <c r="AL902" s="37"/>
    </row>
    <row r="903" spans="1:38" ht="14.25" customHeight="1" x14ac:dyDescent="0.3">
      <c r="A903" s="34"/>
      <c r="B903" s="16"/>
      <c r="C903" s="15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6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5"/>
      <c r="AI903" s="16"/>
      <c r="AJ903" s="16"/>
      <c r="AK903" s="16"/>
      <c r="AL903" s="37"/>
    </row>
    <row r="904" spans="1:38" ht="14.25" customHeight="1" x14ac:dyDescent="0.3">
      <c r="A904" s="34"/>
      <c r="B904" s="16"/>
      <c r="C904" s="15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6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5"/>
      <c r="AI904" s="16"/>
      <c r="AJ904" s="16"/>
      <c r="AK904" s="16"/>
      <c r="AL904" s="37"/>
    </row>
    <row r="905" spans="1:38" ht="14.25" customHeight="1" x14ac:dyDescent="0.3">
      <c r="A905" s="34"/>
      <c r="B905" s="16"/>
      <c r="C905" s="15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6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5"/>
      <c r="AI905" s="16"/>
      <c r="AJ905" s="16"/>
      <c r="AK905" s="16"/>
      <c r="AL905" s="37"/>
    </row>
    <row r="906" spans="1:38" ht="14.25" customHeight="1" x14ac:dyDescent="0.3">
      <c r="A906" s="34"/>
      <c r="B906" s="16"/>
      <c r="C906" s="15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6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5"/>
      <c r="AI906" s="16"/>
      <c r="AJ906" s="16"/>
      <c r="AK906" s="16"/>
      <c r="AL906" s="37"/>
    </row>
    <row r="907" spans="1:38" ht="14.25" customHeight="1" x14ac:dyDescent="0.3">
      <c r="A907" s="34"/>
      <c r="B907" s="16"/>
      <c r="C907" s="15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6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5"/>
      <c r="AI907" s="16"/>
      <c r="AJ907" s="16"/>
      <c r="AK907" s="16"/>
      <c r="AL907" s="37"/>
    </row>
    <row r="908" spans="1:38" ht="14.25" customHeight="1" x14ac:dyDescent="0.3">
      <c r="A908" s="34"/>
      <c r="B908" s="16"/>
      <c r="C908" s="15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6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5"/>
      <c r="AI908" s="16"/>
      <c r="AJ908" s="16"/>
      <c r="AK908" s="16"/>
      <c r="AL908" s="37"/>
    </row>
    <row r="909" spans="1:38" ht="14.25" customHeight="1" x14ac:dyDescent="0.3">
      <c r="A909" s="34"/>
      <c r="B909" s="16"/>
      <c r="C909" s="15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6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5"/>
      <c r="AI909" s="16"/>
      <c r="AJ909" s="16"/>
      <c r="AK909" s="16"/>
      <c r="AL909" s="37"/>
    </row>
    <row r="910" spans="1:38" ht="14.25" customHeight="1" x14ac:dyDescent="0.3">
      <c r="A910" s="34"/>
      <c r="B910" s="16"/>
      <c r="C910" s="15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6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5"/>
      <c r="AI910" s="16"/>
      <c r="AJ910" s="16"/>
      <c r="AK910" s="16"/>
      <c r="AL910" s="37"/>
    </row>
    <row r="911" spans="1:38" ht="14.25" customHeight="1" x14ac:dyDescent="0.3">
      <c r="A911" s="34"/>
      <c r="B911" s="16"/>
      <c r="C911" s="15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6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5"/>
      <c r="AI911" s="16"/>
      <c r="AJ911" s="16"/>
      <c r="AK911" s="16"/>
      <c r="AL911" s="37"/>
    </row>
    <row r="912" spans="1:38" ht="14.25" customHeight="1" x14ac:dyDescent="0.3">
      <c r="A912" s="34"/>
      <c r="B912" s="16"/>
      <c r="C912" s="15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6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5"/>
      <c r="AI912" s="16"/>
      <c r="AJ912" s="16"/>
      <c r="AK912" s="16"/>
      <c r="AL912" s="37"/>
    </row>
    <row r="913" spans="1:38" ht="14.25" customHeight="1" x14ac:dyDescent="0.3">
      <c r="A913" s="34"/>
      <c r="B913" s="16"/>
      <c r="C913" s="15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6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5"/>
      <c r="AI913" s="16"/>
      <c r="AJ913" s="16"/>
      <c r="AK913" s="16"/>
      <c r="AL913" s="37"/>
    </row>
    <row r="914" spans="1:38" ht="14.25" customHeight="1" x14ac:dyDescent="0.3">
      <c r="A914" s="34"/>
      <c r="B914" s="16"/>
      <c r="C914" s="15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6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5"/>
      <c r="AI914" s="16"/>
      <c r="AJ914" s="16"/>
      <c r="AK914" s="16"/>
      <c r="AL914" s="37"/>
    </row>
    <row r="915" spans="1:38" ht="14.25" customHeight="1" x14ac:dyDescent="0.3">
      <c r="A915" s="34"/>
      <c r="B915" s="16"/>
      <c r="C915" s="15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6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5"/>
      <c r="AI915" s="16"/>
      <c r="AJ915" s="16"/>
      <c r="AK915" s="16"/>
      <c r="AL915" s="37"/>
    </row>
    <row r="916" spans="1:38" ht="14.25" customHeight="1" x14ac:dyDescent="0.3">
      <c r="A916" s="34"/>
      <c r="B916" s="16"/>
      <c r="C916" s="15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6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5"/>
      <c r="AI916" s="16"/>
      <c r="AJ916" s="16"/>
      <c r="AK916" s="16"/>
      <c r="AL916" s="37"/>
    </row>
    <row r="917" spans="1:38" ht="14.25" customHeight="1" x14ac:dyDescent="0.3">
      <c r="A917" s="34"/>
      <c r="B917" s="16"/>
      <c r="C917" s="15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6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5"/>
      <c r="AI917" s="16"/>
      <c r="AJ917" s="16"/>
      <c r="AK917" s="16"/>
      <c r="AL917" s="37"/>
    </row>
    <row r="918" spans="1:38" ht="14.25" customHeight="1" x14ac:dyDescent="0.3">
      <c r="A918" s="34"/>
      <c r="B918" s="16"/>
      <c r="C918" s="15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6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5"/>
      <c r="AI918" s="16"/>
      <c r="AJ918" s="16"/>
      <c r="AK918" s="16"/>
      <c r="AL918" s="37"/>
    </row>
    <row r="919" spans="1:38" ht="14.25" customHeight="1" x14ac:dyDescent="0.3">
      <c r="A919" s="34"/>
      <c r="B919" s="16"/>
      <c r="C919" s="15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6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5"/>
      <c r="AI919" s="16"/>
      <c r="AJ919" s="16"/>
      <c r="AK919" s="16"/>
      <c r="AL919" s="37"/>
    </row>
    <row r="920" spans="1:38" ht="14.25" customHeight="1" x14ac:dyDescent="0.3">
      <c r="A920" s="34"/>
      <c r="B920" s="16"/>
      <c r="C920" s="15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6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5"/>
      <c r="AI920" s="16"/>
      <c r="AJ920" s="16"/>
      <c r="AK920" s="16"/>
      <c r="AL920" s="37"/>
    </row>
    <row r="921" spans="1:38" ht="14.25" customHeight="1" x14ac:dyDescent="0.3">
      <c r="A921" s="34"/>
      <c r="B921" s="16"/>
      <c r="C921" s="15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6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5"/>
      <c r="AI921" s="16"/>
      <c r="AJ921" s="16"/>
      <c r="AK921" s="16"/>
      <c r="AL921" s="37"/>
    </row>
    <row r="922" spans="1:38" ht="14.25" customHeight="1" x14ac:dyDescent="0.3">
      <c r="A922" s="34"/>
      <c r="B922" s="16"/>
      <c r="C922" s="15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6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5"/>
      <c r="AI922" s="16"/>
      <c r="AJ922" s="16"/>
      <c r="AK922" s="16"/>
      <c r="AL922" s="37"/>
    </row>
    <row r="923" spans="1:38" ht="14.25" customHeight="1" x14ac:dyDescent="0.3">
      <c r="A923" s="34"/>
      <c r="B923" s="16"/>
      <c r="C923" s="15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6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5"/>
      <c r="AI923" s="16"/>
      <c r="AJ923" s="16"/>
      <c r="AK923" s="16"/>
      <c r="AL923" s="37"/>
    </row>
    <row r="924" spans="1:38" ht="14.25" customHeight="1" x14ac:dyDescent="0.3">
      <c r="A924" s="34"/>
      <c r="B924" s="16"/>
      <c r="C924" s="15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6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5"/>
      <c r="AI924" s="16"/>
      <c r="AJ924" s="16"/>
      <c r="AK924" s="16"/>
      <c r="AL924" s="37"/>
    </row>
    <row r="925" spans="1:38" ht="14.25" customHeight="1" x14ac:dyDescent="0.3">
      <c r="A925" s="34"/>
      <c r="B925" s="16"/>
      <c r="C925" s="15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6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5"/>
      <c r="AI925" s="16"/>
      <c r="AJ925" s="16"/>
      <c r="AK925" s="16"/>
      <c r="AL925" s="37"/>
    </row>
    <row r="926" spans="1:38" ht="14.25" customHeight="1" x14ac:dyDescent="0.3">
      <c r="A926" s="34"/>
      <c r="B926" s="16"/>
      <c r="C926" s="15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6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5"/>
      <c r="AI926" s="16"/>
      <c r="AJ926" s="16"/>
      <c r="AK926" s="16"/>
      <c r="AL926" s="37"/>
    </row>
    <row r="927" spans="1:38" ht="14.25" customHeight="1" x14ac:dyDescent="0.3">
      <c r="A927" s="34"/>
      <c r="B927" s="16"/>
      <c r="C927" s="15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6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5"/>
      <c r="AI927" s="16"/>
      <c r="AJ927" s="16"/>
      <c r="AK927" s="16"/>
      <c r="AL927" s="37"/>
    </row>
    <row r="928" spans="1:38" ht="14.25" customHeight="1" x14ac:dyDescent="0.3">
      <c r="A928" s="34"/>
      <c r="B928" s="16"/>
      <c r="C928" s="15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6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5"/>
      <c r="AI928" s="16"/>
      <c r="AJ928" s="16"/>
      <c r="AK928" s="16"/>
      <c r="AL928" s="37"/>
    </row>
    <row r="929" spans="1:38" ht="14.25" customHeight="1" x14ac:dyDescent="0.3">
      <c r="A929" s="34"/>
      <c r="B929" s="16"/>
      <c r="C929" s="15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6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5"/>
      <c r="AI929" s="16"/>
      <c r="AJ929" s="16"/>
      <c r="AK929" s="16"/>
      <c r="AL929" s="37"/>
    </row>
    <row r="930" spans="1:38" ht="14.25" customHeight="1" x14ac:dyDescent="0.3">
      <c r="A930" s="34"/>
      <c r="B930" s="16"/>
      <c r="C930" s="15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6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5"/>
      <c r="AI930" s="16"/>
      <c r="AJ930" s="16"/>
      <c r="AK930" s="16"/>
      <c r="AL930" s="37"/>
    </row>
    <row r="931" spans="1:38" ht="14.25" customHeight="1" x14ac:dyDescent="0.3">
      <c r="A931" s="34"/>
      <c r="B931" s="16"/>
      <c r="C931" s="15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6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5"/>
      <c r="AI931" s="16"/>
      <c r="AJ931" s="16"/>
      <c r="AK931" s="16"/>
      <c r="AL931" s="37"/>
    </row>
    <row r="932" spans="1:38" ht="14.25" customHeight="1" x14ac:dyDescent="0.3">
      <c r="A932" s="34"/>
      <c r="B932" s="16"/>
      <c r="C932" s="15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6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5"/>
      <c r="AI932" s="16"/>
      <c r="AJ932" s="16"/>
      <c r="AK932" s="16"/>
      <c r="AL932" s="37"/>
    </row>
    <row r="933" spans="1:38" ht="14.25" customHeight="1" x14ac:dyDescent="0.3">
      <c r="A933" s="34"/>
      <c r="B933" s="16"/>
      <c r="C933" s="15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6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5"/>
      <c r="AI933" s="16"/>
      <c r="AJ933" s="16"/>
      <c r="AK933" s="16"/>
      <c r="AL933" s="37"/>
    </row>
    <row r="934" spans="1:38" ht="14.25" customHeight="1" x14ac:dyDescent="0.3">
      <c r="A934" s="34"/>
      <c r="B934" s="16"/>
      <c r="C934" s="15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6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5"/>
      <c r="AI934" s="16"/>
      <c r="AJ934" s="16"/>
      <c r="AK934" s="16"/>
      <c r="AL934" s="37"/>
    </row>
    <row r="935" spans="1:38" ht="14.25" customHeight="1" x14ac:dyDescent="0.3">
      <c r="A935" s="34"/>
      <c r="B935" s="16"/>
      <c r="C935" s="15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6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5"/>
      <c r="AI935" s="16"/>
      <c r="AJ935" s="16"/>
      <c r="AK935" s="16"/>
      <c r="AL935" s="37"/>
    </row>
    <row r="936" spans="1:38" ht="14.25" customHeight="1" x14ac:dyDescent="0.3">
      <c r="A936" s="34"/>
      <c r="B936" s="16"/>
      <c r="C936" s="15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6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5"/>
      <c r="AI936" s="16"/>
      <c r="AJ936" s="16"/>
      <c r="AK936" s="16"/>
      <c r="AL936" s="37"/>
    </row>
    <row r="937" spans="1:38" ht="14.25" customHeight="1" x14ac:dyDescent="0.3">
      <c r="A937" s="34"/>
      <c r="B937" s="16"/>
      <c r="C937" s="15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6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5"/>
      <c r="AI937" s="16"/>
      <c r="AJ937" s="16"/>
      <c r="AK937" s="16"/>
      <c r="AL937" s="37"/>
    </row>
    <row r="938" spans="1:38" ht="14.25" customHeight="1" x14ac:dyDescent="0.3">
      <c r="A938" s="34"/>
      <c r="B938" s="16"/>
      <c r="C938" s="15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6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5"/>
      <c r="AI938" s="16"/>
      <c r="AJ938" s="16"/>
      <c r="AK938" s="16"/>
      <c r="AL938" s="37"/>
    </row>
    <row r="939" spans="1:38" ht="14.25" customHeight="1" x14ac:dyDescent="0.3">
      <c r="A939" s="34"/>
      <c r="B939" s="16"/>
      <c r="C939" s="15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6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5"/>
      <c r="AI939" s="16"/>
      <c r="AJ939" s="16"/>
      <c r="AK939" s="16"/>
      <c r="AL939" s="37"/>
    </row>
    <row r="940" spans="1:38" ht="14.25" customHeight="1" x14ac:dyDescent="0.3">
      <c r="A940" s="34"/>
      <c r="B940" s="16"/>
      <c r="C940" s="15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6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5"/>
      <c r="AI940" s="16"/>
      <c r="AJ940" s="16"/>
      <c r="AK940" s="16"/>
      <c r="AL940" s="37"/>
    </row>
    <row r="941" spans="1:38" ht="14.25" customHeight="1" x14ac:dyDescent="0.3">
      <c r="A941" s="34"/>
      <c r="B941" s="16"/>
      <c r="C941" s="15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6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5"/>
      <c r="AI941" s="16"/>
      <c r="AJ941" s="16"/>
      <c r="AK941" s="16"/>
      <c r="AL941" s="37"/>
    </row>
    <row r="942" spans="1:38" ht="14.25" customHeight="1" x14ac:dyDescent="0.3">
      <c r="A942" s="34"/>
      <c r="B942" s="16"/>
      <c r="C942" s="15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6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5"/>
      <c r="AI942" s="16"/>
      <c r="AJ942" s="16"/>
      <c r="AK942" s="16"/>
      <c r="AL942" s="37"/>
    </row>
    <row r="943" spans="1:38" ht="14.25" customHeight="1" x14ac:dyDescent="0.3">
      <c r="A943" s="34"/>
      <c r="B943" s="16"/>
      <c r="C943" s="15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6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5"/>
      <c r="AI943" s="16"/>
      <c r="AJ943" s="16"/>
      <c r="AK943" s="16"/>
      <c r="AL943" s="37"/>
    </row>
    <row r="944" spans="1:38" ht="14.25" customHeight="1" x14ac:dyDescent="0.3">
      <c r="A944" s="34"/>
      <c r="B944" s="16"/>
      <c r="C944" s="15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6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5"/>
      <c r="AI944" s="16"/>
      <c r="AJ944" s="16"/>
      <c r="AK944" s="16"/>
      <c r="AL944" s="37"/>
    </row>
    <row r="945" spans="1:38" ht="14.25" customHeight="1" x14ac:dyDescent="0.3">
      <c r="A945" s="34"/>
      <c r="B945" s="16"/>
      <c r="C945" s="15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6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5"/>
      <c r="AI945" s="16"/>
      <c r="AJ945" s="16"/>
      <c r="AK945" s="16"/>
      <c r="AL945" s="37"/>
    </row>
    <row r="946" spans="1:38" ht="14.25" customHeight="1" x14ac:dyDescent="0.3">
      <c r="A946" s="34"/>
      <c r="B946" s="16"/>
      <c r="C946" s="15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6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5"/>
      <c r="AI946" s="16"/>
      <c r="AJ946" s="16"/>
      <c r="AK946" s="16"/>
      <c r="AL946" s="37"/>
    </row>
    <row r="947" spans="1:38" ht="14.25" customHeight="1" x14ac:dyDescent="0.3">
      <c r="A947" s="34"/>
      <c r="B947" s="16"/>
      <c r="C947" s="15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6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5"/>
      <c r="AI947" s="16"/>
      <c r="AJ947" s="16"/>
      <c r="AK947" s="16"/>
      <c r="AL947" s="37"/>
    </row>
    <row r="948" spans="1:38" ht="14.25" customHeight="1" x14ac:dyDescent="0.3">
      <c r="A948" s="34"/>
      <c r="B948" s="16"/>
      <c r="C948" s="15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6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5"/>
      <c r="AI948" s="16"/>
      <c r="AJ948" s="16"/>
      <c r="AK948" s="16"/>
      <c r="AL948" s="37"/>
    </row>
    <row r="949" spans="1:38" ht="14.25" customHeight="1" x14ac:dyDescent="0.3">
      <c r="A949" s="34"/>
      <c r="B949" s="16"/>
      <c r="C949" s="15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6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5"/>
      <c r="AI949" s="16"/>
      <c r="AJ949" s="16"/>
      <c r="AK949" s="16"/>
      <c r="AL949" s="37"/>
    </row>
    <row r="950" spans="1:38" ht="14.25" customHeight="1" x14ac:dyDescent="0.3">
      <c r="A950" s="34"/>
      <c r="B950" s="16"/>
      <c r="C950" s="15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6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5"/>
      <c r="AI950" s="16"/>
      <c r="AJ950" s="16"/>
      <c r="AK950" s="16"/>
      <c r="AL950" s="37"/>
    </row>
    <row r="951" spans="1:38" ht="14.25" customHeight="1" x14ac:dyDescent="0.3">
      <c r="A951" s="34"/>
      <c r="B951" s="16"/>
      <c r="C951" s="15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6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5"/>
      <c r="AI951" s="16"/>
      <c r="AJ951" s="16"/>
      <c r="AK951" s="16"/>
      <c r="AL951" s="37"/>
    </row>
    <row r="952" spans="1:38" ht="14.25" customHeight="1" x14ac:dyDescent="0.3">
      <c r="A952" s="34"/>
      <c r="B952" s="16"/>
      <c r="C952" s="15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6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5"/>
      <c r="AI952" s="16"/>
      <c r="AJ952" s="16"/>
      <c r="AK952" s="16"/>
      <c r="AL952" s="37"/>
    </row>
    <row r="953" spans="1:38" ht="14.25" customHeight="1" x14ac:dyDescent="0.3">
      <c r="A953" s="34"/>
      <c r="B953" s="16"/>
      <c r="C953" s="15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6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5"/>
      <c r="AI953" s="16"/>
      <c r="AJ953" s="16"/>
      <c r="AK953" s="16"/>
      <c r="AL953" s="37"/>
    </row>
    <row r="954" spans="1:38" ht="14.25" customHeight="1" x14ac:dyDescent="0.3">
      <c r="A954" s="34"/>
      <c r="B954" s="16"/>
      <c r="C954" s="15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6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5"/>
      <c r="AI954" s="16"/>
      <c r="AJ954" s="16"/>
      <c r="AK954" s="16"/>
      <c r="AL954" s="37"/>
    </row>
    <row r="955" spans="1:38" ht="14.25" customHeight="1" x14ac:dyDescent="0.3">
      <c r="A955" s="34"/>
      <c r="B955" s="16"/>
      <c r="C955" s="15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6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5"/>
      <c r="AI955" s="16"/>
      <c r="AJ955" s="16"/>
      <c r="AK955" s="16"/>
      <c r="AL955" s="37"/>
    </row>
    <row r="956" spans="1:38" ht="14.25" customHeight="1" x14ac:dyDescent="0.3">
      <c r="A956" s="34"/>
      <c r="B956" s="16"/>
      <c r="C956" s="15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6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5"/>
      <c r="AI956" s="16"/>
      <c r="AJ956" s="16"/>
      <c r="AK956" s="16"/>
      <c r="AL956" s="37"/>
    </row>
    <row r="957" spans="1:38" ht="14.25" customHeight="1" x14ac:dyDescent="0.3">
      <c r="A957" s="34"/>
      <c r="B957" s="16"/>
      <c r="C957" s="15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6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5"/>
      <c r="AI957" s="16"/>
      <c r="AJ957" s="16"/>
      <c r="AK957" s="16"/>
      <c r="AL957" s="37"/>
    </row>
    <row r="958" spans="1:38" ht="14.25" customHeight="1" x14ac:dyDescent="0.3">
      <c r="A958" s="34"/>
      <c r="B958" s="16"/>
      <c r="C958" s="15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6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5"/>
      <c r="AI958" s="16"/>
      <c r="AJ958" s="16"/>
      <c r="AK958" s="16"/>
      <c r="AL958" s="37"/>
    </row>
    <row r="959" spans="1:38" ht="14.25" customHeight="1" x14ac:dyDescent="0.3">
      <c r="A959" s="34"/>
      <c r="B959" s="16"/>
      <c r="C959" s="15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6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5"/>
      <c r="AI959" s="16"/>
      <c r="AJ959" s="16"/>
      <c r="AK959" s="16"/>
      <c r="AL959" s="37"/>
    </row>
    <row r="960" spans="1:38" ht="14.25" customHeight="1" x14ac:dyDescent="0.3">
      <c r="A960" s="34"/>
      <c r="B960" s="16"/>
      <c r="C960" s="15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6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5"/>
      <c r="AI960" s="16"/>
      <c r="AJ960" s="16"/>
      <c r="AK960" s="16"/>
      <c r="AL960" s="37"/>
    </row>
    <row r="961" spans="1:38" ht="14.25" customHeight="1" x14ac:dyDescent="0.3">
      <c r="A961" s="34"/>
      <c r="B961" s="16"/>
      <c r="C961" s="15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6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5"/>
      <c r="AI961" s="16"/>
      <c r="AJ961" s="16"/>
      <c r="AK961" s="16"/>
      <c r="AL961" s="37"/>
    </row>
    <row r="962" spans="1:38" ht="14.25" customHeight="1" x14ac:dyDescent="0.3">
      <c r="A962" s="34"/>
      <c r="B962" s="16"/>
      <c r="C962" s="15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6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5"/>
      <c r="AI962" s="16"/>
      <c r="AJ962" s="16"/>
      <c r="AK962" s="16"/>
      <c r="AL962" s="37"/>
    </row>
    <row r="963" spans="1:38" ht="14.25" customHeight="1" x14ac:dyDescent="0.3">
      <c r="A963" s="34"/>
      <c r="B963" s="16"/>
      <c r="C963" s="15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6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5"/>
      <c r="AI963" s="16"/>
      <c r="AJ963" s="16"/>
      <c r="AK963" s="16"/>
      <c r="AL963" s="37"/>
    </row>
    <row r="964" spans="1:38" ht="14.25" customHeight="1" x14ac:dyDescent="0.3">
      <c r="A964" s="34"/>
      <c r="B964" s="16"/>
      <c r="C964" s="15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6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5"/>
      <c r="AI964" s="16"/>
      <c r="AJ964" s="16"/>
      <c r="AK964" s="16"/>
      <c r="AL964" s="37"/>
    </row>
    <row r="965" spans="1:38" ht="14.25" customHeight="1" x14ac:dyDescent="0.3">
      <c r="A965" s="34"/>
      <c r="B965" s="16"/>
      <c r="C965" s="15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6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5"/>
      <c r="AI965" s="16"/>
      <c r="AJ965" s="16"/>
      <c r="AK965" s="16"/>
      <c r="AL965" s="37"/>
    </row>
    <row r="966" spans="1:38" ht="14.25" customHeight="1" x14ac:dyDescent="0.3">
      <c r="A966" s="34"/>
      <c r="B966" s="16"/>
      <c r="C966" s="15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6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5"/>
      <c r="AI966" s="16"/>
      <c r="AJ966" s="16"/>
      <c r="AK966" s="16"/>
      <c r="AL966" s="37"/>
    </row>
    <row r="967" spans="1:38" ht="14.25" customHeight="1" x14ac:dyDescent="0.3">
      <c r="A967" s="34"/>
      <c r="B967" s="16"/>
      <c r="C967" s="15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6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5"/>
      <c r="AI967" s="16"/>
      <c r="AJ967" s="16"/>
      <c r="AK967" s="16"/>
      <c r="AL967" s="37"/>
    </row>
    <row r="968" spans="1:38" ht="14.25" customHeight="1" x14ac:dyDescent="0.3">
      <c r="A968" s="34"/>
      <c r="B968" s="16"/>
      <c r="C968" s="15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6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5"/>
      <c r="AI968" s="16"/>
      <c r="AJ968" s="16"/>
      <c r="AK968" s="16"/>
      <c r="AL968" s="37"/>
    </row>
    <row r="969" spans="1:38" ht="14.25" customHeight="1" x14ac:dyDescent="0.3">
      <c r="A969" s="34"/>
      <c r="B969" s="16"/>
      <c r="C969" s="15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6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5"/>
      <c r="AI969" s="16"/>
      <c r="AJ969" s="16"/>
      <c r="AK969" s="16"/>
      <c r="AL969" s="37"/>
    </row>
    <row r="970" spans="1:38" ht="14.25" customHeight="1" x14ac:dyDescent="0.3">
      <c r="A970" s="34"/>
      <c r="B970" s="16"/>
      <c r="C970" s="15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6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5"/>
      <c r="AI970" s="16"/>
      <c r="AJ970" s="16"/>
      <c r="AK970" s="16"/>
      <c r="AL970" s="37"/>
    </row>
    <row r="971" spans="1:38" ht="14.25" customHeight="1" x14ac:dyDescent="0.3">
      <c r="A971" s="34"/>
      <c r="B971" s="16"/>
      <c r="C971" s="15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6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5"/>
      <c r="AI971" s="16"/>
      <c r="AJ971" s="16"/>
      <c r="AK971" s="16"/>
      <c r="AL971" s="37"/>
    </row>
    <row r="972" spans="1:38" ht="14.25" customHeight="1" x14ac:dyDescent="0.3">
      <c r="A972" s="34"/>
      <c r="B972" s="16"/>
      <c r="C972" s="15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6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5"/>
      <c r="AI972" s="16"/>
      <c r="AJ972" s="16"/>
      <c r="AK972" s="16"/>
      <c r="AL972" s="37"/>
    </row>
    <row r="973" spans="1:38" ht="14.25" customHeight="1" x14ac:dyDescent="0.3">
      <c r="A973" s="34"/>
      <c r="B973" s="16"/>
      <c r="C973" s="15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6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5"/>
      <c r="AI973" s="16"/>
      <c r="AJ973" s="16"/>
      <c r="AK973" s="16"/>
      <c r="AL973" s="37"/>
    </row>
    <row r="974" spans="1:38" ht="14.25" customHeight="1" x14ac:dyDescent="0.3">
      <c r="A974" s="34"/>
      <c r="B974" s="16"/>
      <c r="C974" s="15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6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5"/>
      <c r="AI974" s="16"/>
      <c r="AJ974" s="16"/>
      <c r="AK974" s="16"/>
      <c r="AL974" s="37"/>
    </row>
    <row r="975" spans="1:38" ht="14.25" customHeight="1" x14ac:dyDescent="0.3">
      <c r="A975" s="34"/>
      <c r="B975" s="16"/>
      <c r="C975" s="15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6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5"/>
      <c r="AI975" s="16"/>
      <c r="AJ975" s="16"/>
      <c r="AK975" s="16"/>
      <c r="AL975" s="37"/>
    </row>
    <row r="976" spans="1:38" ht="14.25" customHeight="1" x14ac:dyDescent="0.3">
      <c r="A976" s="34"/>
      <c r="B976" s="16"/>
      <c r="C976" s="15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6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5"/>
      <c r="AI976" s="16"/>
      <c r="AJ976" s="16"/>
      <c r="AK976" s="16"/>
      <c r="AL976" s="37"/>
    </row>
    <row r="977" spans="1:38" ht="14.25" customHeight="1" x14ac:dyDescent="0.3">
      <c r="A977" s="34"/>
      <c r="B977" s="16"/>
      <c r="C977" s="15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6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5"/>
      <c r="AI977" s="16"/>
      <c r="AJ977" s="16"/>
      <c r="AK977" s="16"/>
      <c r="AL977" s="37"/>
    </row>
    <row r="978" spans="1:38" ht="14.25" customHeight="1" x14ac:dyDescent="0.3">
      <c r="A978" s="34"/>
      <c r="B978" s="16"/>
      <c r="C978" s="15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6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5"/>
      <c r="AI978" s="16"/>
      <c r="AJ978" s="16"/>
      <c r="AK978" s="16"/>
      <c r="AL978" s="37"/>
    </row>
    <row r="979" spans="1:38" ht="14.25" customHeight="1" x14ac:dyDescent="0.3">
      <c r="A979" s="34"/>
      <c r="B979" s="16"/>
      <c r="C979" s="15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6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5"/>
      <c r="AI979" s="16"/>
      <c r="AJ979" s="16"/>
      <c r="AK979" s="16"/>
      <c r="AL979" s="37"/>
    </row>
    <row r="980" spans="1:38" ht="14.25" customHeight="1" x14ac:dyDescent="0.3">
      <c r="A980" s="34"/>
      <c r="B980" s="16"/>
      <c r="C980" s="15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6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5"/>
      <c r="AI980" s="16"/>
      <c r="AJ980" s="16"/>
      <c r="AK980" s="16"/>
      <c r="AL980" s="37"/>
    </row>
    <row r="981" spans="1:38" ht="14.25" customHeight="1" x14ac:dyDescent="0.3">
      <c r="A981" s="34"/>
      <c r="B981" s="16"/>
      <c r="C981" s="15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6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5"/>
      <c r="AI981" s="16"/>
      <c r="AJ981" s="16"/>
      <c r="AK981" s="16"/>
      <c r="AL981" s="37"/>
    </row>
    <row r="982" spans="1:38" ht="14.25" customHeight="1" x14ac:dyDescent="0.3">
      <c r="A982" s="34"/>
      <c r="B982" s="16"/>
      <c r="C982" s="15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6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5"/>
      <c r="AI982" s="16"/>
      <c r="AJ982" s="16"/>
      <c r="AK982" s="16"/>
      <c r="AL982" s="37"/>
    </row>
    <row r="983" spans="1:38" ht="14.25" customHeight="1" x14ac:dyDescent="0.3">
      <c r="A983" s="34"/>
      <c r="B983" s="16"/>
      <c r="C983" s="15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6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5"/>
      <c r="AI983" s="16"/>
      <c r="AJ983" s="16"/>
      <c r="AK983" s="16"/>
      <c r="AL983" s="37"/>
    </row>
    <row r="984" spans="1:38" ht="14.25" customHeight="1" x14ac:dyDescent="0.3">
      <c r="A984" s="34"/>
      <c r="B984" s="16"/>
      <c r="C984" s="15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6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5"/>
      <c r="AI984" s="16"/>
      <c r="AJ984" s="16"/>
      <c r="AK984" s="16"/>
      <c r="AL984" s="37"/>
    </row>
    <row r="985" spans="1:38" ht="14.25" customHeight="1" x14ac:dyDescent="0.3">
      <c r="A985" s="34"/>
      <c r="B985" s="16"/>
      <c r="C985" s="15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6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5"/>
      <c r="AI985" s="16"/>
      <c r="AJ985" s="16"/>
      <c r="AK985" s="16"/>
      <c r="AL985" s="37"/>
    </row>
    <row r="986" spans="1:38" ht="14.25" customHeight="1" x14ac:dyDescent="0.3">
      <c r="A986" s="34"/>
      <c r="B986" s="16"/>
      <c r="C986" s="15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6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5"/>
      <c r="AI986" s="16"/>
      <c r="AJ986" s="16"/>
      <c r="AK986" s="16"/>
      <c r="AL986" s="37"/>
    </row>
    <row r="987" spans="1:38" ht="14.25" customHeight="1" x14ac:dyDescent="0.3">
      <c r="A987" s="34"/>
      <c r="B987" s="16"/>
      <c r="C987" s="15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6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5"/>
      <c r="AI987" s="16"/>
      <c r="AJ987" s="16"/>
      <c r="AK987" s="16"/>
      <c r="AL987" s="37"/>
    </row>
    <row r="988" spans="1:38" ht="14.25" customHeight="1" x14ac:dyDescent="0.3">
      <c r="A988" s="34"/>
      <c r="B988" s="16"/>
      <c r="C988" s="15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6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5"/>
      <c r="AI988" s="16"/>
      <c r="AJ988" s="16"/>
      <c r="AK988" s="16"/>
      <c r="AL988" s="37"/>
    </row>
    <row r="989" spans="1:38" ht="14.25" customHeight="1" x14ac:dyDescent="0.3">
      <c r="A989" s="34"/>
      <c r="B989" s="16"/>
      <c r="C989" s="15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6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5"/>
      <c r="AI989" s="16"/>
      <c r="AJ989" s="16"/>
      <c r="AK989" s="16"/>
      <c r="AL989" s="37"/>
    </row>
    <row r="990" spans="1:38" ht="14.25" customHeight="1" x14ac:dyDescent="0.3">
      <c r="A990" s="34"/>
      <c r="B990" s="16"/>
      <c r="C990" s="15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6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5"/>
      <c r="AI990" s="16"/>
      <c r="AJ990" s="16"/>
      <c r="AK990" s="16"/>
      <c r="AL990" s="37"/>
    </row>
    <row r="991" spans="1:38" ht="14.25" customHeight="1" x14ac:dyDescent="0.3">
      <c r="A991" s="34"/>
      <c r="B991" s="16"/>
      <c r="C991" s="15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6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5"/>
      <c r="AI991" s="16"/>
      <c r="AJ991" s="16"/>
      <c r="AK991" s="16"/>
      <c r="AL991" s="37"/>
    </row>
    <row r="992" spans="1:38" ht="14.25" customHeight="1" x14ac:dyDescent="0.3">
      <c r="A992" s="34"/>
      <c r="B992" s="16"/>
      <c r="C992" s="15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6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5"/>
      <c r="AI992" s="16"/>
      <c r="AJ992" s="16"/>
      <c r="AK992" s="16"/>
      <c r="AL992" s="37"/>
    </row>
    <row r="993" spans="1:38" ht="14.25" customHeight="1" x14ac:dyDescent="0.3">
      <c r="A993" s="34"/>
      <c r="B993" s="16"/>
      <c r="C993" s="15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6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5"/>
      <c r="AI993" s="16"/>
      <c r="AJ993" s="16"/>
      <c r="AK993" s="16"/>
      <c r="AL993" s="37"/>
    </row>
    <row r="994" spans="1:38" ht="14.25" customHeight="1" x14ac:dyDescent="0.3">
      <c r="A994" s="34"/>
      <c r="B994" s="16"/>
      <c r="C994" s="15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6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5"/>
      <c r="AI994" s="16"/>
      <c r="AJ994" s="16"/>
      <c r="AK994" s="16"/>
      <c r="AL994" s="37"/>
    </row>
    <row r="995" spans="1:38" ht="14.25" customHeight="1" x14ac:dyDescent="0.3">
      <c r="A995" s="34"/>
      <c r="B995" s="16"/>
      <c r="C995" s="15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6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5"/>
      <c r="AI995" s="16"/>
      <c r="AJ995" s="16"/>
      <c r="AK995" s="16"/>
      <c r="AL995" s="37"/>
    </row>
    <row r="996" spans="1:38" ht="14.25" customHeight="1" x14ac:dyDescent="0.3">
      <c r="A996" s="34"/>
      <c r="B996" s="16"/>
      <c r="C996" s="15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6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5"/>
      <c r="AI996" s="16"/>
      <c r="AJ996" s="16"/>
      <c r="AK996" s="16"/>
      <c r="AL996" s="37"/>
    </row>
    <row r="997" spans="1:38" ht="14.25" customHeight="1" x14ac:dyDescent="0.3">
      <c r="A997" s="34"/>
      <c r="B997" s="16"/>
      <c r="C997" s="15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6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5"/>
      <c r="AI997" s="16"/>
      <c r="AJ997" s="16"/>
      <c r="AK997" s="16"/>
      <c r="AL997" s="37"/>
    </row>
    <row r="998" spans="1:38" ht="14.25" customHeight="1" x14ac:dyDescent="0.3">
      <c r="A998" s="34"/>
      <c r="B998" s="16"/>
      <c r="C998" s="15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6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5"/>
      <c r="AI998" s="16"/>
      <c r="AJ998" s="16"/>
      <c r="AK998" s="16"/>
      <c r="AL998" s="37"/>
    </row>
    <row r="999" spans="1:38" ht="14.25" customHeight="1" x14ac:dyDescent="0.3">
      <c r="A999" s="34"/>
      <c r="B999" s="16"/>
      <c r="C999" s="15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6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5"/>
      <c r="AI999" s="16"/>
      <c r="AJ999" s="16"/>
      <c r="AK999" s="16"/>
      <c r="AL999" s="37"/>
    </row>
    <row r="1000" spans="1:38" ht="14.25" customHeight="1" x14ac:dyDescent="0.3">
      <c r="A1000" s="34"/>
      <c r="B1000" s="16"/>
      <c r="C1000" s="15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5"/>
      <c r="AI1000" s="16"/>
      <c r="AJ1000" s="16"/>
      <c r="AK1000" s="16"/>
      <c r="AL1000" s="37"/>
    </row>
  </sheetData>
  <mergeCells count="54">
    <mergeCell ref="AF88:AL8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AF84:AL84"/>
    <mergeCell ref="AF6:AG7"/>
    <mergeCell ref="AH6:AI7"/>
    <mergeCell ref="AJ6:AJ8"/>
    <mergeCell ref="AK6:AK8"/>
    <mergeCell ref="AL6:AL8"/>
    <mergeCell ref="E4:M4"/>
    <mergeCell ref="R4:Z4"/>
    <mergeCell ref="P3:Q3"/>
    <mergeCell ref="P4:Q4"/>
    <mergeCell ref="C6:K6"/>
    <mergeCell ref="L6:T6"/>
    <mergeCell ref="U6:AC6"/>
    <mergeCell ref="A1:AL1"/>
    <mergeCell ref="E2:M2"/>
    <mergeCell ref="P2:Q2"/>
    <mergeCell ref="R2:AC2"/>
    <mergeCell ref="E3:M3"/>
    <mergeCell ref="R3:Z3"/>
    <mergeCell ref="Y8:Z8"/>
    <mergeCell ref="AF8:AG8"/>
    <mergeCell ref="AH8:AI8"/>
    <mergeCell ref="U7:V7"/>
    <mergeCell ref="W7:X7"/>
    <mergeCell ref="AA8:AB8"/>
    <mergeCell ref="AD8:AE8"/>
    <mergeCell ref="U8:V8"/>
    <mergeCell ref="W8:X8"/>
    <mergeCell ref="AF87:AL87"/>
    <mergeCell ref="K7:K8"/>
    <mergeCell ref="L7:M7"/>
    <mergeCell ref="N7:O7"/>
    <mergeCell ref="P7:Q7"/>
    <mergeCell ref="R7:S7"/>
    <mergeCell ref="T7:T8"/>
    <mergeCell ref="L8:M8"/>
    <mergeCell ref="N8:O8"/>
    <mergeCell ref="P8:Q8"/>
    <mergeCell ref="R8:S8"/>
    <mergeCell ref="AF83:AL83"/>
    <mergeCell ref="AD6:AE7"/>
    <mergeCell ref="AC7:AC8"/>
    <mergeCell ref="Y7:Z7"/>
    <mergeCell ref="AA7:AB7"/>
  </mergeCells>
  <conditionalFormatting sqref="D9:D79 F9:F79 H9:H79 J9:K79 M9:M79 O9:O79 Q9:Q79 S9:T79 V9:V79 X9:X79 Z9:Z79 AB9:AC79 AE9:AE79 AG9:AG79 AI9:AL79">
    <cfRule type="cellIs" dxfId="30" priority="1" operator="greaterThan">
      <formula>3</formula>
    </cfRule>
  </conditionalFormatting>
  <conditionalFormatting sqref="D9:D79 F9:F79 H9:H79 J9:K79 M9:M79 O9:O79 Q9:Q79 S9:T79 V9:V79 X9:X79 Z9:Z79 AB9:AC79 AE9:AE79 AG9:AG79 AI9:AL79">
    <cfRule type="cellIs" dxfId="29" priority="2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S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P19" sqref="P19"/>
    </sheetView>
  </sheetViews>
  <sheetFormatPr defaultColWidth="14.44140625" defaultRowHeight="15" customHeight="1" x14ac:dyDescent="0.3"/>
  <cols>
    <col min="1" max="1" width="2.5546875" customWidth="1"/>
    <col min="2" max="2" width="22.33203125" customWidth="1"/>
    <col min="3" max="29" width="3.44140625" customWidth="1"/>
    <col min="30" max="31" width="3.44140625" hidden="1" customWidth="1"/>
    <col min="32" max="33" width="3.44140625" customWidth="1"/>
    <col min="34" max="38" width="3.33203125" customWidth="1"/>
    <col min="39" max="39" width="4.44140625" customWidth="1"/>
    <col min="40" max="45" width="4.6640625" customWidth="1"/>
  </cols>
  <sheetData>
    <row r="1" spans="1:45" ht="12" customHeight="1" x14ac:dyDescent="0.3">
      <c r="A1" s="271" t="s">
        <v>51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  <c r="AM1" s="272"/>
      <c r="AN1" s="33"/>
      <c r="AO1" s="33"/>
      <c r="AP1" s="33"/>
      <c r="AQ1" s="33"/>
      <c r="AR1" s="33"/>
      <c r="AS1" s="33"/>
    </row>
    <row r="2" spans="1:45" ht="12" customHeight="1" thickBot="1" x14ac:dyDescent="0.35">
      <c r="A2" s="34"/>
      <c r="B2" s="16"/>
      <c r="C2" s="16"/>
      <c r="D2" s="35" t="s">
        <v>21</v>
      </c>
      <c r="E2" s="273" t="str">
        <f>IF(Settings!$H$1&lt;&gt;0,Settings!$H$1,"")</f>
        <v/>
      </c>
      <c r="F2" s="274"/>
      <c r="G2" s="274"/>
      <c r="H2" s="274"/>
      <c r="I2" s="274"/>
      <c r="J2" s="274"/>
      <c r="K2" s="274"/>
      <c r="L2" s="274"/>
      <c r="M2" s="274"/>
      <c r="N2" s="15"/>
      <c r="O2" s="16"/>
      <c r="P2" s="243" t="s">
        <v>23</v>
      </c>
      <c r="Q2" s="241"/>
      <c r="R2" s="275" t="str">
        <f>IF(Settings!$B$7&lt;&gt;0,Settings!$B$7,"")</f>
        <v/>
      </c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16"/>
      <c r="AE2" s="15"/>
      <c r="AF2" s="16"/>
      <c r="AG2" s="16"/>
      <c r="AH2" s="16"/>
      <c r="AI2" s="16"/>
      <c r="AJ2" s="37"/>
      <c r="AK2" s="37"/>
      <c r="AL2" s="37"/>
      <c r="AM2" s="37"/>
      <c r="AN2" s="37"/>
      <c r="AO2" s="37"/>
      <c r="AP2" s="37"/>
      <c r="AQ2" s="37"/>
      <c r="AR2" s="37"/>
      <c r="AS2" s="37"/>
    </row>
    <row r="3" spans="1:45" ht="12" customHeight="1" thickTop="1" thickBot="1" x14ac:dyDescent="0.35">
      <c r="A3" s="34"/>
      <c r="B3" s="16"/>
      <c r="C3" s="16"/>
      <c r="D3" s="35" t="s">
        <v>5</v>
      </c>
      <c r="E3" s="276" t="str">
        <f>IF(Settings!$H$3&lt;&gt;0,Settings!$H$3,"")</f>
        <v/>
      </c>
      <c r="F3" s="234"/>
      <c r="G3" s="234"/>
      <c r="H3" s="234"/>
      <c r="I3" s="234"/>
      <c r="J3" s="234"/>
      <c r="K3" s="234"/>
      <c r="L3" s="234"/>
      <c r="M3" s="234"/>
      <c r="N3" s="15"/>
      <c r="O3" s="16"/>
      <c r="P3" s="243" t="s">
        <v>4</v>
      </c>
      <c r="Q3" s="241"/>
      <c r="R3" s="276" t="str">
        <f>IF(Settings!$H$2&lt;&gt;0,Settings!$H$2,"")</f>
        <v/>
      </c>
      <c r="S3" s="234"/>
      <c r="T3" s="234"/>
      <c r="U3" s="234"/>
      <c r="V3" s="234"/>
      <c r="W3" s="234"/>
      <c r="X3" s="234"/>
      <c r="Y3" s="234"/>
      <c r="Z3" s="234"/>
      <c r="AA3" s="12"/>
      <c r="AB3" s="12"/>
      <c r="AC3" s="12"/>
      <c r="AD3" s="16"/>
      <c r="AE3" s="15"/>
      <c r="AF3" s="16"/>
      <c r="AG3" s="16"/>
      <c r="AH3" s="16"/>
      <c r="AI3" s="16"/>
      <c r="AJ3" s="37"/>
      <c r="AK3" s="37"/>
      <c r="AL3" s="37"/>
      <c r="AM3" s="37"/>
      <c r="AN3" s="37"/>
      <c r="AO3" s="37"/>
      <c r="AP3" s="37"/>
      <c r="AQ3" s="37"/>
      <c r="AR3" s="37"/>
      <c r="AS3" s="37"/>
    </row>
    <row r="4" spans="1:45" ht="12" customHeight="1" thickTop="1" thickBot="1" x14ac:dyDescent="0.35">
      <c r="A4" s="34"/>
      <c r="B4" s="16"/>
      <c r="C4" s="16"/>
      <c r="D4" s="35" t="s">
        <v>25</v>
      </c>
      <c r="E4" s="277" t="str">
        <f>IF(Settings!$B$6&lt;&gt;0,Settings!$B$6,"")</f>
        <v/>
      </c>
      <c r="F4" s="234"/>
      <c r="G4" s="234"/>
      <c r="H4" s="234"/>
      <c r="I4" s="234"/>
      <c r="J4" s="234"/>
      <c r="K4" s="234"/>
      <c r="L4" s="234"/>
      <c r="M4" s="234"/>
      <c r="N4" s="15"/>
      <c r="O4" s="16"/>
      <c r="P4" s="240" t="s">
        <v>26</v>
      </c>
      <c r="Q4" s="241"/>
      <c r="R4" s="233" t="str">
        <f>IF(Settings!$B$4&lt;&gt;0,Settings!$B$4,"")</f>
        <v/>
      </c>
      <c r="S4" s="234"/>
      <c r="T4" s="234"/>
      <c r="U4" s="234"/>
      <c r="V4" s="234"/>
      <c r="W4" s="234"/>
      <c r="X4" s="234"/>
      <c r="Y4" s="234"/>
      <c r="Z4" s="234"/>
      <c r="AA4" s="15"/>
      <c r="AB4" s="16"/>
      <c r="AC4" s="16"/>
      <c r="AD4" s="16"/>
      <c r="AE4" s="38"/>
      <c r="AF4" s="38"/>
      <c r="AG4" s="38"/>
      <c r="AH4" s="38"/>
      <c r="AI4" s="38"/>
      <c r="AJ4" s="37"/>
      <c r="AK4" s="37"/>
      <c r="AL4" s="37"/>
      <c r="AM4" s="37"/>
      <c r="AN4" s="37"/>
      <c r="AO4" s="37"/>
      <c r="AP4" s="37"/>
      <c r="AQ4" s="37"/>
      <c r="AR4" s="37"/>
      <c r="AS4" s="37"/>
    </row>
    <row r="5" spans="1:45" ht="12" customHeight="1" thickTop="1" thickBot="1" x14ac:dyDescent="0.35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5"/>
      <c r="AB5" s="16"/>
      <c r="AC5" s="16"/>
      <c r="AD5" s="16"/>
      <c r="AE5" s="16"/>
      <c r="AF5" s="16"/>
      <c r="AG5" s="16"/>
      <c r="AH5" s="15"/>
      <c r="AI5" s="16"/>
      <c r="AJ5" s="16"/>
      <c r="AK5" s="16"/>
      <c r="AL5" s="16"/>
      <c r="AM5" s="37"/>
      <c r="AN5" s="37"/>
      <c r="AO5" s="37"/>
      <c r="AP5" s="37"/>
      <c r="AQ5" s="37"/>
      <c r="AR5" s="37"/>
      <c r="AS5" s="37"/>
    </row>
    <row r="6" spans="1:45" ht="15" customHeight="1" x14ac:dyDescent="0.3">
      <c r="A6" s="282" t="s">
        <v>36</v>
      </c>
      <c r="B6" s="283"/>
      <c r="C6" s="280" t="str">
        <f>IF(Settings!H9&lt;&gt;0,Settings!H9&amp;"("&amp;Settings!I9&amp;"%)","")</f>
        <v>Quiz(20%)</v>
      </c>
      <c r="D6" s="281"/>
      <c r="E6" s="281"/>
      <c r="F6" s="281"/>
      <c r="G6" s="281"/>
      <c r="H6" s="281"/>
      <c r="I6" s="281"/>
      <c r="J6" s="281"/>
      <c r="K6" s="265"/>
      <c r="L6" s="280" t="str">
        <f>IF(Settings!H10&lt;&gt;0,Settings!H10&amp;"("&amp;Settings!I10&amp;"%)","")</f>
        <v>Assignment(10%)</v>
      </c>
      <c r="M6" s="281"/>
      <c r="N6" s="281"/>
      <c r="O6" s="281"/>
      <c r="P6" s="281"/>
      <c r="Q6" s="281"/>
      <c r="R6" s="281"/>
      <c r="S6" s="281"/>
      <c r="T6" s="265"/>
      <c r="U6" s="280" t="str">
        <f>IF(Settings!H11&gt;0,Settings!H11&amp;"("&amp;Settings!I11&amp;"%)","")</f>
        <v>Graded Activity(30%)</v>
      </c>
      <c r="V6" s="281"/>
      <c r="W6" s="281"/>
      <c r="X6" s="281"/>
      <c r="Y6" s="281"/>
      <c r="Z6" s="281"/>
      <c r="AA6" s="281"/>
      <c r="AB6" s="281"/>
      <c r="AC6" s="265"/>
      <c r="AD6" s="292"/>
      <c r="AE6" s="265"/>
      <c r="AF6" s="294" t="str">
        <f>IF(Settings!H12&lt;&gt;0,LEFT(Settings!H12)&amp;"("&amp;Settings!I12&amp;"%)","")</f>
        <v>A(5%)</v>
      </c>
      <c r="AG6" s="265"/>
      <c r="AH6" s="294" t="str">
        <f>IF(Settings!H13&lt;&gt;0,LEFT(Settings!H13)&amp;"("&amp;Settings!I13&amp;"%)","")</f>
        <v>E(35%)</v>
      </c>
      <c r="AI6" s="265"/>
      <c r="AJ6" s="301" t="s">
        <v>52</v>
      </c>
      <c r="AK6" s="301" t="s">
        <v>38</v>
      </c>
      <c r="AL6" s="295" t="s">
        <v>39</v>
      </c>
      <c r="AM6" s="268" t="s">
        <v>40</v>
      </c>
      <c r="AN6" s="37"/>
      <c r="AO6" s="37"/>
      <c r="AP6" s="37"/>
      <c r="AQ6" s="37"/>
      <c r="AR6" s="37"/>
      <c r="AS6" s="37"/>
    </row>
    <row r="7" spans="1:45" ht="14.25" customHeight="1" x14ac:dyDescent="0.3">
      <c r="A7" s="284"/>
      <c r="B7" s="285"/>
      <c r="C7" s="254"/>
      <c r="D7" s="261"/>
      <c r="E7" s="254"/>
      <c r="F7" s="261"/>
      <c r="G7" s="254"/>
      <c r="H7" s="261"/>
      <c r="I7" s="254"/>
      <c r="J7" s="250"/>
      <c r="K7" s="245" t="s">
        <v>42</v>
      </c>
      <c r="L7" s="254"/>
      <c r="M7" s="261"/>
      <c r="N7" s="254"/>
      <c r="O7" s="261"/>
      <c r="P7" s="254"/>
      <c r="Q7" s="261"/>
      <c r="R7" s="254"/>
      <c r="S7" s="250"/>
      <c r="T7" s="245" t="s">
        <v>42</v>
      </c>
      <c r="U7" s="254"/>
      <c r="V7" s="261"/>
      <c r="W7" s="254"/>
      <c r="X7" s="261"/>
      <c r="Y7" s="254"/>
      <c r="Z7" s="261"/>
      <c r="AA7" s="254"/>
      <c r="AB7" s="250"/>
      <c r="AC7" s="245" t="s">
        <v>42</v>
      </c>
      <c r="AD7" s="266"/>
      <c r="AE7" s="267"/>
      <c r="AF7" s="266"/>
      <c r="AG7" s="267"/>
      <c r="AH7" s="266"/>
      <c r="AI7" s="267"/>
      <c r="AJ7" s="269"/>
      <c r="AK7" s="269"/>
      <c r="AL7" s="303"/>
      <c r="AM7" s="269"/>
      <c r="AN7" s="37"/>
      <c r="AO7" s="37"/>
      <c r="AP7" s="37"/>
      <c r="AQ7" s="37"/>
      <c r="AR7" s="37"/>
      <c r="AS7" s="37"/>
    </row>
    <row r="8" spans="1:45" ht="15" customHeight="1" thickBot="1" x14ac:dyDescent="0.35">
      <c r="A8" s="286"/>
      <c r="B8" s="287"/>
      <c r="C8" s="288" t="str">
        <f>CONCATENATE(LEFT(Settings!E9),1)</f>
        <v>Q1</v>
      </c>
      <c r="D8" s="252"/>
      <c r="E8" s="289" t="str">
        <f>CONCATENATE(LEFT(Settings!$E$9),2)</f>
        <v>Q2</v>
      </c>
      <c r="F8" s="256"/>
      <c r="G8" s="289" t="str">
        <f>CONCATENATE(LEFT(Settings!$E$9),3)</f>
        <v>Q3</v>
      </c>
      <c r="H8" s="256"/>
      <c r="I8" s="289" t="str">
        <f>CONCATENATE(LEFT(Settings!$E$9),4)</f>
        <v>Q4</v>
      </c>
      <c r="J8" s="290"/>
      <c r="K8" s="246"/>
      <c r="L8" s="253" t="str">
        <f>CONCATENATE(LEFT(Settings!$E$10),1)</f>
        <v>A1</v>
      </c>
      <c r="M8" s="252"/>
      <c r="N8" s="253" t="str">
        <f>CONCATENATE(LEFT(Settings!$E$10),2)</f>
        <v>A2</v>
      </c>
      <c r="O8" s="252"/>
      <c r="P8" s="253" t="str">
        <f>CONCATENATE(LEFT(Settings!$E$10),3)</f>
        <v>A3</v>
      </c>
      <c r="Q8" s="252"/>
      <c r="R8" s="253" t="str">
        <f>CONCATENATE(LEFT(Settings!$E$10),4)</f>
        <v>A4</v>
      </c>
      <c r="S8" s="252"/>
      <c r="T8" s="246"/>
      <c r="U8" s="255" t="str">
        <f>CONCATENATE(LEFT(Settings!$E$11),1)</f>
        <v>G1</v>
      </c>
      <c r="V8" s="256"/>
      <c r="W8" s="255" t="str">
        <f>CONCATENATE(LEFT(Settings!$E$11),2)</f>
        <v>G2</v>
      </c>
      <c r="X8" s="256"/>
      <c r="Y8" s="255" t="str">
        <f>CONCATENATE(LEFT(Settings!$E$11),3)</f>
        <v>G3</v>
      </c>
      <c r="Z8" s="256"/>
      <c r="AA8" s="255" t="str">
        <f>CONCATENATE(LEFT(Settings!$E$11),4)</f>
        <v>G4</v>
      </c>
      <c r="AB8" s="256"/>
      <c r="AC8" s="246"/>
      <c r="AD8" s="257"/>
      <c r="AE8" s="258"/>
      <c r="AF8" s="270" t="s">
        <v>87</v>
      </c>
      <c r="AG8" s="293"/>
      <c r="AH8" s="270" t="s">
        <v>82</v>
      </c>
      <c r="AI8" s="293"/>
      <c r="AJ8" s="302"/>
      <c r="AK8" s="302"/>
      <c r="AL8" s="304"/>
      <c r="AM8" s="269"/>
      <c r="AN8" s="37"/>
      <c r="AO8" s="37"/>
      <c r="AP8" s="37"/>
      <c r="AQ8" s="37"/>
      <c r="AR8" s="37"/>
      <c r="AS8" s="37"/>
    </row>
    <row r="9" spans="1:45" ht="12" customHeight="1" thickBot="1" x14ac:dyDescent="0.35">
      <c r="A9" s="39" t="s">
        <v>43</v>
      </c>
      <c r="B9" s="40" t="s">
        <v>34</v>
      </c>
      <c r="C9" s="41"/>
      <c r="D9" s="43" t="str">
        <f>IF($C$9&lt;&gt;0,VLOOKUP(C9/$C$9*100,TRANSMUTATION_TABLE!$A$2:$B$102,2),"")</f>
        <v/>
      </c>
      <c r="E9" s="41"/>
      <c r="F9" s="43" t="str">
        <f>IF($E$9&lt;&gt;0,VLOOKUP(E9/$E$9*100,TRANSMUTATION_TABLE!$A$2:$B$102,2),"")</f>
        <v/>
      </c>
      <c r="G9" s="41"/>
      <c r="H9" s="43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>IF(COUNT(D9,F10,H9,J9)&gt;0,AVERAGE(D9,F10,H9,J9),"")</f>
        <v/>
      </c>
      <c r="L9" s="41"/>
      <c r="M9" s="43" t="str">
        <f>IF($L$9&lt;&gt;0,VLOOKUP(L9/$L$9*100,TRANSMUTATION_TABLE!$A$2:$B$102,2),"")</f>
        <v/>
      </c>
      <c r="N9" s="41"/>
      <c r="O9" s="43" t="str">
        <f>IF($N$9&lt;&gt;0,VLOOKUP(N9/$N$9*100,TRANSMUTATION_TABLE!$A$2:$B$102,2),"")</f>
        <v/>
      </c>
      <c r="P9" s="41"/>
      <c r="Q9" s="43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>IF(COUNT(M9,O10,Q9,S9)&gt;0,AVERAGE(M9,O10,Q9,S9),"")</f>
        <v/>
      </c>
      <c r="U9" s="41"/>
      <c r="V9" s="43" t="str">
        <f>IF($U$9&lt;&gt;0,VLOOKUP(U9/$U$9*100,TRANSMUTATION_TABLE!$A$2:$B$102,2),"")</f>
        <v/>
      </c>
      <c r="W9" s="41"/>
      <c r="X9" s="43" t="str">
        <f>IF($W$9&lt;&gt;0,VLOOKUP(W9/$W$9*100,TRANSMUTATION_TABLE!$A$2:$B$102,2),"")</f>
        <v/>
      </c>
      <c r="Y9" s="41"/>
      <c r="Z9" s="43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>IF(COUNT(V9,X10,Z9,AB9)&gt;0,AVERAGE(V9,X10,Z9,AB9),"")</f>
        <v/>
      </c>
      <c r="AD9" s="41"/>
      <c r="AE9" s="42" t="str">
        <f>IF($AD$9&lt;&gt;0,VLOOKUP(AD9/$AD$9*100,TRANSMUTATION_TABLE!$A$2:$B$102,2),"")</f>
        <v/>
      </c>
      <c r="AF9" s="41">
        <f>Attendance!BE6</f>
        <v>0</v>
      </c>
      <c r="AG9" s="45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45" t="str">
        <f>IF(OR(K9&lt;&gt;"",T9&lt;&gt;"",AC9&lt;&gt;"",AI9&lt;&gt;"",AG9),SUM(PRODUCT(K9,IF(Settings!$I$9&lt;&gt;0,Settings!$I$9/100,0)),PRODUCT(T9,IF(Settings!$I$10&lt;&gt;0,Settings!$I$10/100,0)),PRODUCT(AC9,IF(Settings!$I$11&lt;&gt;0,Settings!$I$11/100,0)),PRODUCT(AG9,IF(Settings!$I$12&lt;&gt;0,Settings!$I$12/100,0)),PRODUCT(AI9,IF(Settings!$I$13&lt;&gt;0,Settings!$I$13/100,0))),"")</f>
        <v/>
      </c>
      <c r="AK9" s="45">
        <v>1</v>
      </c>
      <c r="AL9" s="45">
        <v>1</v>
      </c>
      <c r="AM9" s="46" t="str">
        <f>IF(AJ9&lt;&gt;"",AVERAGE(Prelim!AJ9,Midterm!AL9,SemiFinal!AJ9),"")</f>
        <v/>
      </c>
      <c r="AN9" s="37"/>
      <c r="AO9" s="37"/>
      <c r="AP9" s="37"/>
      <c r="AQ9" s="37"/>
      <c r="AR9" s="37"/>
      <c r="AS9" s="37"/>
    </row>
    <row r="10" spans="1:45" ht="12" customHeight="1" thickBot="1" x14ac:dyDescent="0.35">
      <c r="A10" s="47"/>
      <c r="B10" s="60"/>
      <c r="C10" s="5"/>
      <c r="D10" s="42" t="str">
        <f>IF(AND(B10&lt;&gt;""),IF($C$9&lt;&gt;0,VLOOKUP(C10/$C$9*100,TRANSMUTATION_TABLE!$A$2:$B$102,2),""),"")</f>
        <v/>
      </c>
      <c r="E10" s="5"/>
      <c r="F10" s="42" t="str">
        <f>IF(AND(B10&lt;&gt;""),IF($E$9&lt;&gt;0,VLOOKUP(E10/$E$9*100,TRANSMUTATION_TABLE!$A$2:$B$102,2),""),"")</f>
        <v/>
      </c>
      <c r="G10" s="5"/>
      <c r="H10" s="42" t="str">
        <f>IF(AND(B10&lt;&gt;""),IF($G$9&lt;&gt;0,VLOOKUP(G10/$G$9*100,TRANSMUTATION_TABLE!$A$2:$B$102,2),""),"")</f>
        <v/>
      </c>
      <c r="I10" s="5"/>
      <c r="J10" s="43" t="str">
        <f>IF(AND(B10&lt;&gt;""),IF($I$9&lt;&gt;0,VLOOKUP(I10/$I$9*100,TRANSMUTATION_TABLE!$A$2:$B$102,2),""),"")</f>
        <v/>
      </c>
      <c r="K10" s="81" t="str">
        <f t="shared" ref="K10:K69" si="0">IF(COUNT(D10,F10,H10,J10)&gt;0,AVERAGE(D10,F10,H10,J10),"")</f>
        <v/>
      </c>
      <c r="L10" s="22"/>
      <c r="M10" s="42" t="str">
        <f>IF(AND(B10&lt;&gt;""),IF($L$9&lt;&gt;0,VLOOKUP(L10/$L$9*100,TRANSMUTATION_TABLE!$A$2:$B$102,2),""),"")</f>
        <v/>
      </c>
      <c r="N10" s="5"/>
      <c r="O10" s="42" t="str">
        <f>IF(AND(B10&lt;&gt;""),IF($N$9&lt;&gt;0,VLOOKUP(N10/$N$9*100,TRANSMUTATION_TABLE!$A$2:$B$102,2),""),"")</f>
        <v/>
      </c>
      <c r="P10" s="5"/>
      <c r="Q10" s="42" t="str">
        <f>IF(AND(B10&lt;&gt;""),IF($P$9&lt;&gt;0,VLOOKUP(P10/$P$9*100,TRANSMUTATION_TABLE!$A$2:$B$102,2),""),"")</f>
        <v/>
      </c>
      <c r="R10" s="5"/>
      <c r="S10" s="43" t="str">
        <f>IF(AND(B10&lt;&gt;""),IF($R$9&lt;&gt;0,VLOOKUP(R10/$R$9*100,TRANSMUTATION_TABLE!$A$2:$B$102,2),""),"")</f>
        <v/>
      </c>
      <c r="T10" s="81" t="str">
        <f t="shared" ref="T10:T69" si="1">IF(COUNT(M10,O10,Q10,S10)&gt;0,AVERAGE(M10,O10,Q10,S10),"")</f>
        <v/>
      </c>
      <c r="U10" s="5"/>
      <c r="V10" s="42" t="str">
        <f>IF(AND(B10&lt;&gt;""),IF($U$9&lt;&gt;0,VLOOKUP(U10/$U$9*100,TRANSMUTATION_TABLE!$A$2:$B$102,2),""),"")</f>
        <v/>
      </c>
      <c r="W10" s="5"/>
      <c r="X10" s="42" t="str">
        <f>IF(AND(B10&lt;&gt;""),IF($W$9&lt;&gt;0,VLOOKUP(W10/$W$9*100,TRANSMUTATION_TABLE!$A$2:$B$102,2),""),"")</f>
        <v/>
      </c>
      <c r="Y10" s="5"/>
      <c r="Z10" s="42" t="str">
        <f>IF(AND(B10&lt;&gt;""),IF($Y$9&lt;&gt;0,VLOOKUP(Y10/$Y$9*100,TRANSMUTATION_TABLE!$A$2:$B$102,2),""),"")</f>
        <v/>
      </c>
      <c r="AA10" s="5"/>
      <c r="AB10" s="43" t="str">
        <f>IF(AND(B10&lt;&gt;""),IF($AA$9&lt;&gt;0,VLOOKUP(AA10/$AA$9*100,TRANSMUTATION_TABLE!$A$2:$B$102,2),""),"")</f>
        <v/>
      </c>
      <c r="AC10" s="81" t="str">
        <f t="shared" ref="AC10:AC69" si="2">IF(COUNT(V10,X10,Z10,AB10)&gt;0,AVERAGE(V10,X10,Z10,AB10),"")</f>
        <v/>
      </c>
      <c r="AD10" s="49"/>
      <c r="AE10" s="42" t="str">
        <f>IF(AND(B10&lt;&gt;""),IF($AD$9&lt;&gt;0,VLOOKUP(AD10/$AD$9*100,TRANSMUTATION_TABLE!$A$2:$B$102,2),""),"")</f>
        <v/>
      </c>
      <c r="AF10" s="50">
        <f>Attendance!BE7</f>
        <v>0</v>
      </c>
      <c r="AG10" s="45" t="str">
        <f>IF(AND(B10&lt;&gt;""),IF($AF$9&lt;&gt;0,VLOOKUP(AF10/$AF$9*100,TRANSMUTATION_TABLE!$A$2:$B$102,2),""),"")</f>
        <v/>
      </c>
      <c r="AH10" s="5"/>
      <c r="AI10" s="45" t="str">
        <f>IF(AND(B10&lt;&gt;""),IF($AH$9&lt;&gt;0,VLOOKUP(AH10/$AH$9*100,TRANSMUTATION_TABLE!$A$2:$B$102,2),""),"")</f>
        <v/>
      </c>
      <c r="AJ10" s="45" t="str">
        <f>IF(OR(K10&lt;&gt;"",T10&lt;&gt;"",AC10&lt;&gt;"",AI10&lt;&gt;"",AG10),SUM(PRODUCT(K10,IF(Settings!$I$9&lt;&gt;0,Settings!$I$9/100,0)),PRODUCT(T10,IF(Settings!$I$10&lt;&gt;0,Settings!$I$10/100,0)),PRODUCT(AC10,IF(Settings!$I$11&lt;&gt;0,Settings!$I$11/100,0)),PRODUCT(AG10,IF(Settings!$I$12&lt;&gt;0,Settings!$I$12/100,0)),PRODUCT(AI10,IF(Settings!$I$13&lt;&gt;0,Settings!$I$13/100,0))),"")</f>
        <v/>
      </c>
      <c r="AK10" s="45" t="str">
        <f>Prelim!AJ10</f>
        <v/>
      </c>
      <c r="AL10" s="45" t="str">
        <f>Midterm!AL10</f>
        <v/>
      </c>
      <c r="AM10" s="46" t="str">
        <f>IF(AJ10&lt;&gt;"",AVERAGE(Prelim!AJ10,Midterm!AL10,SemiFinal!AJ10),"")</f>
        <v/>
      </c>
      <c r="AN10" s="37"/>
      <c r="AO10" s="37"/>
      <c r="AP10" s="37"/>
      <c r="AQ10" s="37"/>
      <c r="AR10" s="37"/>
      <c r="AS10" s="37"/>
    </row>
    <row r="11" spans="1:45" ht="12" customHeight="1" thickBot="1" x14ac:dyDescent="0.35">
      <c r="A11" s="52"/>
      <c r="B11" s="60"/>
      <c r="C11" s="5"/>
      <c r="D11" s="42" t="str">
        <f>IF(AND(B11&lt;&gt;""),IF($C$9&lt;&gt;0,VLOOKUP(C11/$C$9*100,TRANSMUTATION_TABLE!$A$2:$B$102,2),""),"")</f>
        <v/>
      </c>
      <c r="E11" s="5"/>
      <c r="F11" s="42" t="str">
        <f>IF(AND(B11&lt;&gt;""),IF($E$9&lt;&gt;0,VLOOKUP(E11/$E$9*100,TRANSMUTATION_TABLE!$A$2:$B$102,2),""),"")</f>
        <v/>
      </c>
      <c r="G11" s="5"/>
      <c r="H11" s="42" t="str">
        <f>IF(AND(B11&lt;&gt;""),IF($G$9&lt;&gt;0,VLOOKUP(G11/$G$9*100,TRANSMUTATION_TABLE!$A$2:$B$102,2),""),"")</f>
        <v/>
      </c>
      <c r="I11" s="5"/>
      <c r="J11" s="43" t="str">
        <f>IF(AND(B11&lt;&gt;""),IF($I$9&lt;&gt;0,VLOOKUP(I11/$I$9*100,TRANSMUTATION_TABLE!$A$2:$B$102,2),""),"")</f>
        <v/>
      </c>
      <c r="K11" s="81" t="str">
        <f t="shared" si="0"/>
        <v/>
      </c>
      <c r="L11" s="22"/>
      <c r="M11" s="42" t="str">
        <f>IF(AND(B11&lt;&gt;""),IF($L$9&lt;&gt;0,VLOOKUP(L11/$L$9*100,TRANSMUTATION_TABLE!$A$2:$B$102,2),""),"")</f>
        <v/>
      </c>
      <c r="N11" s="5"/>
      <c r="O11" s="42" t="str">
        <f>IF(AND(B11&lt;&gt;""),IF($N$9&lt;&gt;0,VLOOKUP(N11/$N$9*100,TRANSMUTATION_TABLE!$A$2:$B$102,2),""),"")</f>
        <v/>
      </c>
      <c r="P11" s="5"/>
      <c r="Q11" s="42" t="str">
        <f>IF(AND(B11&lt;&gt;""),IF($P$9&lt;&gt;0,VLOOKUP(P11/$P$9*100,TRANSMUTATION_TABLE!$A$2:$B$102,2),""),"")</f>
        <v/>
      </c>
      <c r="R11" s="5"/>
      <c r="S11" s="43" t="str">
        <f>IF(AND(B11&lt;&gt;""),IF($R$9&lt;&gt;0,VLOOKUP(R11/$R$9*100,TRANSMUTATION_TABLE!$A$2:$B$102,2),""),"")</f>
        <v/>
      </c>
      <c r="T11" s="81" t="str">
        <f t="shared" si="1"/>
        <v/>
      </c>
      <c r="U11" s="5"/>
      <c r="V11" s="42" t="str">
        <f>IF(AND(B11&lt;&gt;""),IF($U$9&lt;&gt;0,VLOOKUP(U11/$U$9*100,TRANSMUTATION_TABLE!$A$2:$B$102,2),""),"")</f>
        <v/>
      </c>
      <c r="W11" s="5"/>
      <c r="X11" s="42" t="str">
        <f>IF(AND(B11&lt;&gt;""),IF($W$9&lt;&gt;0,VLOOKUP(W11/$W$9*100,TRANSMUTATION_TABLE!$A$2:$B$102,2),""),"")</f>
        <v/>
      </c>
      <c r="Y11" s="5"/>
      <c r="Z11" s="42" t="str">
        <f>IF(AND(B11&lt;&gt;""),IF($Y$9&lt;&gt;0,VLOOKUP(Y11/$Y$9*100,TRANSMUTATION_TABLE!$A$2:$B$102,2),""),"")</f>
        <v/>
      </c>
      <c r="AA11" s="5"/>
      <c r="AB11" s="43" t="str">
        <f>IF(AND(B11&lt;&gt;""),IF($AA$9&lt;&gt;0,VLOOKUP(AA11/$AA$9*100,TRANSMUTATION_TABLE!$A$2:$B$102,2),""),"")</f>
        <v/>
      </c>
      <c r="AC11" s="81" t="str">
        <f t="shared" si="2"/>
        <v/>
      </c>
      <c r="AD11" s="53"/>
      <c r="AE11" s="42" t="str">
        <f>IF(AND(B11&lt;&gt;""),IF($AD$9&lt;&gt;0,VLOOKUP(AD11/$AD$9*100,TRANSMUTATION_TABLE!$A$2:$B$102,2),""),"")</f>
        <v/>
      </c>
      <c r="AF11" s="50">
        <f>Attendance!BE8</f>
        <v>0</v>
      </c>
      <c r="AG11" s="45" t="str">
        <f>IF(AND(B11&lt;&gt;""),IF($AF$9&lt;&gt;0,VLOOKUP(AF11/$AF$9*100,TRANSMUTATION_TABLE!$A$2:$B$102,2),""),"")</f>
        <v/>
      </c>
      <c r="AH11" s="5"/>
      <c r="AI11" s="45" t="str">
        <f>IF(AND(B11&lt;&gt;""),IF($AH$9&lt;&gt;0,VLOOKUP(AH11/$AH$9*100,TRANSMUTATION_TABLE!$A$2:$B$102,2),""),"")</f>
        <v/>
      </c>
      <c r="AJ11" s="45" t="str">
        <f>IF(OR(K11&lt;&gt;"",T11&lt;&gt;"",AC11&lt;&gt;"",AI11&lt;&gt;"",AG11),SUM(PRODUCT(K11,IF(Settings!$I$9&lt;&gt;0,Settings!$I$9/100,0)),PRODUCT(T11,IF(Settings!$I$10&lt;&gt;0,Settings!$I$10/100,0)),PRODUCT(AC11,IF(Settings!$I$11&lt;&gt;0,Settings!$I$11/100,0)),PRODUCT(AG11,IF(Settings!$I$12&lt;&gt;0,Settings!$I$12/100,0)),PRODUCT(AI11,IF(Settings!$I$13&lt;&gt;0,Settings!$I$13/100,0))),"")</f>
        <v/>
      </c>
      <c r="AK11" s="45" t="str">
        <f>Prelim!AJ11</f>
        <v/>
      </c>
      <c r="AL11" s="45" t="str">
        <f>Midterm!AL11</f>
        <v/>
      </c>
      <c r="AM11" s="46" t="str">
        <f>IF(AJ11&lt;&gt;"",AVERAGE(Prelim!AJ11,Midterm!AL11,SemiFinal!AJ11),"")</f>
        <v/>
      </c>
      <c r="AN11" s="37"/>
      <c r="AO11" s="37"/>
      <c r="AP11" s="37"/>
      <c r="AQ11" s="37"/>
      <c r="AR11" s="37"/>
      <c r="AS11" s="37"/>
    </row>
    <row r="12" spans="1:45" ht="12" customHeight="1" thickBot="1" x14ac:dyDescent="0.35">
      <c r="A12" s="52"/>
      <c r="B12" s="60"/>
      <c r="C12" s="5"/>
      <c r="D12" s="42" t="str">
        <f>IF(AND(B12&lt;&gt;""),IF($C$9&lt;&gt;0,VLOOKUP(C12/$C$9*100,TRANSMUTATION_TABLE!$A$2:$B$102,2),""),"")</f>
        <v/>
      </c>
      <c r="E12" s="5"/>
      <c r="F12" s="42" t="str">
        <f>IF(AND(B12&lt;&gt;""),IF($E$9&lt;&gt;0,VLOOKUP(E12/$E$9*100,TRANSMUTATION_TABLE!$A$2:$B$102,2),""),"")</f>
        <v/>
      </c>
      <c r="G12" s="5"/>
      <c r="H12" s="42" t="str">
        <f>IF(AND(B12&lt;&gt;""),IF($G$9&lt;&gt;0,VLOOKUP(G12/$G$9*100,TRANSMUTATION_TABLE!$A$2:$B$102,2),""),"")</f>
        <v/>
      </c>
      <c r="I12" s="5"/>
      <c r="J12" s="43" t="str">
        <f>IF(AND(B12&lt;&gt;""),IF($I$9&lt;&gt;0,VLOOKUP(I12/$I$9*100,TRANSMUTATION_TABLE!$A$2:$B$102,2),""),"")</f>
        <v/>
      </c>
      <c r="K12" s="81" t="str">
        <f t="shared" si="0"/>
        <v/>
      </c>
      <c r="L12" s="22"/>
      <c r="M12" s="42" t="str">
        <f>IF(AND(B12&lt;&gt;""),IF($L$9&lt;&gt;0,VLOOKUP(L12/$L$9*100,TRANSMUTATION_TABLE!$A$2:$B$102,2),""),"")</f>
        <v/>
      </c>
      <c r="N12" s="5"/>
      <c r="O12" s="42" t="str">
        <f>IF(AND(B12&lt;&gt;""),IF($N$9&lt;&gt;0,VLOOKUP(N12/$N$9*100,TRANSMUTATION_TABLE!$A$2:$B$102,2),""),"")</f>
        <v/>
      </c>
      <c r="P12" s="5"/>
      <c r="Q12" s="42" t="str">
        <f>IF(AND(B12&lt;&gt;""),IF($P$9&lt;&gt;0,VLOOKUP(P12/$P$9*100,TRANSMUTATION_TABLE!$A$2:$B$102,2),""),"")</f>
        <v/>
      </c>
      <c r="R12" s="5"/>
      <c r="S12" s="43" t="str">
        <f>IF(AND(B12&lt;&gt;""),IF($R$9&lt;&gt;0,VLOOKUP(R12/$R$9*100,TRANSMUTATION_TABLE!$A$2:$B$102,2),""),"")</f>
        <v/>
      </c>
      <c r="T12" s="81" t="str">
        <f t="shared" si="1"/>
        <v/>
      </c>
      <c r="U12" s="5"/>
      <c r="V12" s="42" t="str">
        <f>IF(AND(B12&lt;&gt;""),IF($U$9&lt;&gt;0,VLOOKUP(U12/$U$9*100,TRANSMUTATION_TABLE!$A$2:$B$102,2),""),"")</f>
        <v/>
      </c>
      <c r="W12" s="5"/>
      <c r="X12" s="42" t="str">
        <f>IF(AND(B12&lt;&gt;""),IF($W$9&lt;&gt;0,VLOOKUP(W12/$W$9*100,TRANSMUTATION_TABLE!$A$2:$B$102,2),""),"")</f>
        <v/>
      </c>
      <c r="Y12" s="5"/>
      <c r="Z12" s="42" t="str">
        <f>IF(AND(B12&lt;&gt;""),IF($Y$9&lt;&gt;0,VLOOKUP(Y12/$Y$9*100,TRANSMUTATION_TABLE!$A$2:$B$102,2),""),"")</f>
        <v/>
      </c>
      <c r="AA12" s="5"/>
      <c r="AB12" s="43" t="str">
        <f>IF(AND(B12&lt;&gt;""),IF($AA$9&lt;&gt;0,VLOOKUP(AA12/$AA$9*100,TRANSMUTATION_TABLE!$A$2:$B$102,2),""),"")</f>
        <v/>
      </c>
      <c r="AC12" s="81" t="str">
        <f t="shared" si="2"/>
        <v/>
      </c>
      <c r="AD12" s="53"/>
      <c r="AE12" s="42" t="str">
        <f>IF(AND(B12&lt;&gt;""),IF($AD$9&lt;&gt;0,VLOOKUP(AD12/$AD$9*100,TRANSMUTATION_TABLE!$A$2:$B$102,2),""),"")</f>
        <v/>
      </c>
      <c r="AF12" s="50">
        <f>Attendance!BE9</f>
        <v>0</v>
      </c>
      <c r="AG12" s="45" t="str">
        <f>IF(AND(B12&lt;&gt;""),IF($AF$9&lt;&gt;0,VLOOKUP(AF12/$AF$9*100,TRANSMUTATION_TABLE!$A$2:$B$102,2),""),"")</f>
        <v/>
      </c>
      <c r="AH12" s="5"/>
      <c r="AI12" s="45" t="str">
        <f>IF(AND(B12&lt;&gt;""),IF($AH$9&lt;&gt;0,VLOOKUP(AH12/$AH$9*100,TRANSMUTATION_TABLE!$A$2:$B$102,2),""),"")</f>
        <v/>
      </c>
      <c r="AJ12" s="45" t="str">
        <f>IF(OR(K12&lt;&gt;"",T12&lt;&gt;"",AC12&lt;&gt;"",AI12&lt;&gt;"",AG12),SUM(PRODUCT(K12,IF(Settings!$I$9&lt;&gt;0,Settings!$I$9/100,0)),PRODUCT(T12,IF(Settings!$I$10&lt;&gt;0,Settings!$I$10/100,0)),PRODUCT(AC12,IF(Settings!$I$11&lt;&gt;0,Settings!$I$11/100,0)),PRODUCT(AG12,IF(Settings!$I$12&lt;&gt;0,Settings!$I$12/100,0)),PRODUCT(AI12,IF(Settings!$I$13&lt;&gt;0,Settings!$I$13/100,0))),"")</f>
        <v/>
      </c>
      <c r="AK12" s="45" t="str">
        <f>Prelim!AJ12</f>
        <v/>
      </c>
      <c r="AL12" s="45" t="str">
        <f>Midterm!AL12</f>
        <v/>
      </c>
      <c r="AM12" s="46" t="str">
        <f>IF(AJ12&lt;&gt;"",AVERAGE(Prelim!AJ12,Midterm!AL12,SemiFinal!AJ12),"")</f>
        <v/>
      </c>
      <c r="AN12" s="37"/>
      <c r="AO12" s="37"/>
      <c r="AP12" s="37"/>
      <c r="AQ12" s="37"/>
      <c r="AR12" s="37"/>
      <c r="AS12" s="37"/>
    </row>
    <row r="13" spans="1:45" ht="12" customHeight="1" thickBot="1" x14ac:dyDescent="0.35">
      <c r="A13" s="52"/>
      <c r="B13" s="60"/>
      <c r="C13" s="5"/>
      <c r="D13" s="42" t="str">
        <f>IF(AND(B13&lt;&gt;""),IF($C$9&lt;&gt;0,VLOOKUP(C13/$C$9*100,TRANSMUTATION_TABLE!$A$2:$B$102,2),""),"")</f>
        <v/>
      </c>
      <c r="E13" s="5"/>
      <c r="F13" s="42" t="str">
        <f>IF(AND(B13&lt;&gt;""),IF($E$9&lt;&gt;0,VLOOKUP(E13/$E$9*100,TRANSMUTATION_TABLE!$A$2:$B$102,2),""),"")</f>
        <v/>
      </c>
      <c r="G13" s="5"/>
      <c r="H13" s="42" t="str">
        <f>IF(AND(B13&lt;&gt;""),IF($G$9&lt;&gt;0,VLOOKUP(G13/$G$9*100,TRANSMUTATION_TABLE!$A$2:$B$102,2),""),"")</f>
        <v/>
      </c>
      <c r="I13" s="5"/>
      <c r="J13" s="43" t="str">
        <f>IF(AND(B13&lt;&gt;""),IF($I$9&lt;&gt;0,VLOOKUP(I13/$I$9*100,TRANSMUTATION_TABLE!$A$2:$B$102,2),""),"")</f>
        <v/>
      </c>
      <c r="K13" s="81" t="str">
        <f t="shared" si="0"/>
        <v/>
      </c>
      <c r="L13" s="22"/>
      <c r="M13" s="42" t="str">
        <f>IF(AND(B13&lt;&gt;""),IF($L$9&lt;&gt;0,VLOOKUP(L13/$L$9*100,TRANSMUTATION_TABLE!$A$2:$B$102,2),""),"")</f>
        <v/>
      </c>
      <c r="N13" s="5"/>
      <c r="O13" s="42" t="str">
        <f>IF(AND(B13&lt;&gt;""),IF($N$9&lt;&gt;0,VLOOKUP(N13/$N$9*100,TRANSMUTATION_TABLE!$A$2:$B$102,2),""),"")</f>
        <v/>
      </c>
      <c r="P13" s="5"/>
      <c r="Q13" s="42" t="str">
        <f>IF(AND(B13&lt;&gt;""),IF($P$9&lt;&gt;0,VLOOKUP(P13/$P$9*100,TRANSMUTATION_TABLE!$A$2:$B$102,2),""),"")</f>
        <v/>
      </c>
      <c r="R13" s="5"/>
      <c r="S13" s="43" t="str">
        <f>IF(AND(B13&lt;&gt;""),IF($R$9&lt;&gt;0,VLOOKUP(R13/$R$9*100,TRANSMUTATION_TABLE!$A$2:$B$102,2),""),"")</f>
        <v/>
      </c>
      <c r="T13" s="81" t="str">
        <f t="shared" si="1"/>
        <v/>
      </c>
      <c r="U13" s="5"/>
      <c r="V13" s="42" t="str">
        <f>IF(AND(B13&lt;&gt;""),IF($U$9&lt;&gt;0,VLOOKUP(U13/$U$9*100,TRANSMUTATION_TABLE!$A$2:$B$102,2),""),"")</f>
        <v/>
      </c>
      <c r="W13" s="5"/>
      <c r="X13" s="42" t="str">
        <f>IF(AND(B13&lt;&gt;""),IF($W$9&lt;&gt;0,VLOOKUP(W13/$W$9*100,TRANSMUTATION_TABLE!$A$2:$B$102,2),""),"")</f>
        <v/>
      </c>
      <c r="Y13" s="5"/>
      <c r="Z13" s="42" t="str">
        <f>IF(AND(B13&lt;&gt;""),IF($Y$9&lt;&gt;0,VLOOKUP(Y13/$Y$9*100,TRANSMUTATION_TABLE!$A$2:$B$102,2),""),"")</f>
        <v/>
      </c>
      <c r="AA13" s="5"/>
      <c r="AB13" s="43" t="str">
        <f>IF(AND(B13&lt;&gt;""),IF($AA$9&lt;&gt;0,VLOOKUP(AA13/$AA$9*100,TRANSMUTATION_TABLE!$A$2:$B$102,2),""),"")</f>
        <v/>
      </c>
      <c r="AC13" s="81" t="str">
        <f t="shared" si="2"/>
        <v/>
      </c>
      <c r="AD13" s="53"/>
      <c r="AE13" s="42" t="str">
        <f>IF(AND(B13&lt;&gt;""),IF($AD$9&lt;&gt;0,VLOOKUP(AD13/$AD$9*100,TRANSMUTATION_TABLE!$A$2:$B$102,2),""),"")</f>
        <v/>
      </c>
      <c r="AF13" s="50">
        <f>Attendance!BE10</f>
        <v>0</v>
      </c>
      <c r="AG13" s="45" t="str">
        <f>IF(AND(B13&lt;&gt;""),IF($AF$9&lt;&gt;0,VLOOKUP(AF13/$AF$9*100,TRANSMUTATION_TABLE!$A$2:$B$102,2),""),"")</f>
        <v/>
      </c>
      <c r="AH13" s="5"/>
      <c r="AI13" s="45" t="str">
        <f>IF(AND(B13&lt;&gt;""),IF($AH$9&lt;&gt;0,VLOOKUP(AH13/$AH$9*100,TRANSMUTATION_TABLE!$A$2:$B$102,2),""),"")</f>
        <v/>
      </c>
      <c r="AJ13" s="45" t="str">
        <f>IF(OR(K13&lt;&gt;"",T13&lt;&gt;"",AC13&lt;&gt;"",AI13&lt;&gt;"",AG13),SUM(PRODUCT(K13,IF(Settings!$I$9&lt;&gt;0,Settings!$I$9/100,0)),PRODUCT(T13,IF(Settings!$I$10&lt;&gt;0,Settings!$I$10/100,0)),PRODUCT(AC13,IF(Settings!$I$11&lt;&gt;0,Settings!$I$11/100,0)),PRODUCT(AG13,IF(Settings!$I$12&lt;&gt;0,Settings!$I$12/100,0)),PRODUCT(AI13,IF(Settings!$I$13&lt;&gt;0,Settings!$I$13/100,0))),"")</f>
        <v/>
      </c>
      <c r="AK13" s="45" t="str">
        <f>Prelim!AJ13</f>
        <v/>
      </c>
      <c r="AL13" s="45" t="str">
        <f>Midterm!AL13</f>
        <v/>
      </c>
      <c r="AM13" s="46" t="str">
        <f>IF(AJ13&lt;&gt;"",AVERAGE(Prelim!AJ13,Midterm!AL13,SemiFinal!AJ13),"")</f>
        <v/>
      </c>
      <c r="AN13" s="37"/>
      <c r="AO13" s="37"/>
      <c r="AP13" s="37"/>
      <c r="AQ13" s="37"/>
      <c r="AR13" s="37"/>
      <c r="AS13" s="37"/>
    </row>
    <row r="14" spans="1:45" ht="12" customHeight="1" thickBot="1" x14ac:dyDescent="0.35">
      <c r="A14" s="54"/>
      <c r="B14" s="60"/>
      <c r="C14" s="55"/>
      <c r="D14" s="42" t="str">
        <f>IF(AND(B14&lt;&gt;""),IF($C$9&lt;&gt;0,VLOOKUP(C14/$C$9*100,TRANSMUTATION_TABLE!$A$2:$B$102,2),""),"")</f>
        <v/>
      </c>
      <c r="E14" s="55"/>
      <c r="F14" s="42" t="str">
        <f>IF(AND(B14&lt;&gt;""),IF($E$9&lt;&gt;0,VLOOKUP(E14/$E$9*100,TRANSMUTATION_TABLE!$A$2:$B$102,2),""),"")</f>
        <v/>
      </c>
      <c r="G14" s="55"/>
      <c r="H14" s="42" t="str">
        <f>IF(AND(B14&lt;&gt;""),IF($G$9&lt;&gt;0,VLOOKUP(G14/$G$9*100,TRANSMUTATION_TABLE!$A$2:$B$102,2),""),"")</f>
        <v/>
      </c>
      <c r="I14" s="55"/>
      <c r="J14" s="43" t="str">
        <f>IF(AND(B14&lt;&gt;""),IF($I$9&lt;&gt;0,VLOOKUP(I14/$I$9*100,TRANSMUTATION_TABLE!$A$2:$B$102,2),""),"")</f>
        <v/>
      </c>
      <c r="K14" s="81" t="str">
        <f t="shared" si="0"/>
        <v/>
      </c>
      <c r="L14" s="22"/>
      <c r="M14" s="42" t="str">
        <f>IF(AND(B14&lt;&gt;""),IF($L$9&lt;&gt;0,VLOOKUP(L14/$L$9*100,TRANSMUTATION_TABLE!$A$2:$B$102,2),""),"")</f>
        <v/>
      </c>
      <c r="N14" s="55"/>
      <c r="O14" s="42" t="str">
        <f>IF(AND(B14&lt;&gt;""),IF($N$9&lt;&gt;0,VLOOKUP(N14/$N$9*100,TRANSMUTATION_TABLE!$A$2:$B$102,2),""),"")</f>
        <v/>
      </c>
      <c r="P14" s="55"/>
      <c r="Q14" s="42" t="str">
        <f>IF(AND(B14&lt;&gt;""),IF($P$9&lt;&gt;0,VLOOKUP(P14/$P$9*100,TRANSMUTATION_TABLE!$A$2:$B$102,2),""),"")</f>
        <v/>
      </c>
      <c r="R14" s="55"/>
      <c r="S14" s="43" t="str">
        <f>IF(AND(B14&lt;&gt;""),IF($R$9&lt;&gt;0,VLOOKUP(R14/$R$9*100,TRANSMUTATION_TABLE!$A$2:$B$102,2),""),"")</f>
        <v/>
      </c>
      <c r="T14" s="81" t="str">
        <f t="shared" si="1"/>
        <v/>
      </c>
      <c r="U14" s="55"/>
      <c r="V14" s="42" t="str">
        <f>IF(AND(B14&lt;&gt;""),IF($U$9&lt;&gt;0,VLOOKUP(U14/$U$9*100,TRANSMUTATION_TABLE!$A$2:$B$102,2),""),"")</f>
        <v/>
      </c>
      <c r="W14" s="55"/>
      <c r="X14" s="42" t="str">
        <f>IF(AND(B14&lt;&gt;""),IF($W$9&lt;&gt;0,VLOOKUP(W14/$W$9*100,TRANSMUTATION_TABLE!$A$2:$B$102,2),""),"")</f>
        <v/>
      </c>
      <c r="Y14" s="55"/>
      <c r="Z14" s="42" t="str">
        <f>IF(AND(B14&lt;&gt;""),IF($Y$9&lt;&gt;0,VLOOKUP(Y14/$Y$9*100,TRANSMUTATION_TABLE!$A$2:$B$102,2),""),"")</f>
        <v/>
      </c>
      <c r="AA14" s="55"/>
      <c r="AB14" s="43" t="str">
        <f>IF(AND(B14&lt;&gt;""),IF($AA$9&lt;&gt;0,VLOOKUP(AA14/$AA$9*100,TRANSMUTATION_TABLE!$A$2:$B$102,2),""),"")</f>
        <v/>
      </c>
      <c r="AC14" s="81" t="str">
        <f t="shared" si="2"/>
        <v/>
      </c>
      <c r="AD14" s="56"/>
      <c r="AE14" s="42" t="str">
        <f>IF(AND(B14&lt;&gt;""),IF($AD$9&lt;&gt;0,VLOOKUP(AD14/$AD$9*100,TRANSMUTATION_TABLE!$A$2:$B$102,2),""),"")</f>
        <v/>
      </c>
      <c r="AF14" s="50">
        <f>Attendance!BE11</f>
        <v>0</v>
      </c>
      <c r="AG14" s="45" t="str">
        <f>IF(AND(B14&lt;&gt;""),IF($AF$9&lt;&gt;0,VLOOKUP(AF14/$AF$9*100,TRANSMUTATION_TABLE!$A$2:$B$102,2),""),"")</f>
        <v/>
      </c>
      <c r="AH14" s="55"/>
      <c r="AI14" s="45" t="str">
        <f>IF(AND(B14&lt;&gt;""),IF($AH$9&lt;&gt;0,VLOOKUP(AH14/$AH$9*100,TRANSMUTATION_TABLE!$A$2:$B$102,2),""),"")</f>
        <v/>
      </c>
      <c r="AJ14" s="45" t="str">
        <f>IF(OR(K14&lt;&gt;"",T14&lt;&gt;"",AC14&lt;&gt;"",AI14&lt;&gt;"",AG14),SUM(PRODUCT(K14,IF(Settings!$I$9&lt;&gt;0,Settings!$I$9/100,0)),PRODUCT(T14,IF(Settings!$I$10&lt;&gt;0,Settings!$I$10/100,0)),PRODUCT(AC14,IF(Settings!$I$11&lt;&gt;0,Settings!$I$11/100,0)),PRODUCT(AG14,IF(Settings!$I$12&lt;&gt;0,Settings!$I$12/100,0)),PRODUCT(AI14,IF(Settings!$I$13&lt;&gt;0,Settings!$I$13/100,0))),"")</f>
        <v/>
      </c>
      <c r="AK14" s="45" t="str">
        <f>Prelim!AJ14</f>
        <v/>
      </c>
      <c r="AL14" s="45" t="str">
        <f>Midterm!AL14</f>
        <v/>
      </c>
      <c r="AM14" s="46" t="str">
        <f>IF(AJ14&lt;&gt;"",AVERAGE(Prelim!AJ14,Midterm!AL14,SemiFinal!AJ14),"")</f>
        <v/>
      </c>
      <c r="AN14" s="37"/>
      <c r="AO14" s="37"/>
      <c r="AP14" s="37"/>
      <c r="AQ14" s="37"/>
      <c r="AR14" s="37"/>
      <c r="AS14" s="37"/>
    </row>
    <row r="15" spans="1:45" ht="12" customHeight="1" thickBot="1" x14ac:dyDescent="0.35">
      <c r="A15" s="59"/>
      <c r="B15" s="60"/>
      <c r="C15" s="5"/>
      <c r="D15" s="42" t="str">
        <f>IF(AND(B15&lt;&gt;""),IF($C$9&lt;&gt;0,VLOOKUP(C15/$C$9*100,TRANSMUTATION_TABLE!$A$2:$B$102,2),""),"")</f>
        <v/>
      </c>
      <c r="E15" s="5"/>
      <c r="F15" s="42" t="str">
        <f>IF(AND(B15&lt;&gt;""),IF($E$9&lt;&gt;0,VLOOKUP(E15/$E$9*100,TRANSMUTATION_TABLE!$A$2:$B$102,2),""),"")</f>
        <v/>
      </c>
      <c r="G15" s="5"/>
      <c r="H15" s="42" t="str">
        <f>IF(AND(B15&lt;&gt;""),IF($G$9&lt;&gt;0,VLOOKUP(G15/$G$9*100,TRANSMUTATION_TABLE!$A$2:$B$102,2),""),"")</f>
        <v/>
      </c>
      <c r="I15" s="5"/>
      <c r="J15" s="43" t="str">
        <f>IF(AND(B15&lt;&gt;""),IF($I$9&lt;&gt;0,VLOOKUP(I15/$I$9*100,TRANSMUTATION_TABLE!$A$2:$B$102,2),""),"")</f>
        <v/>
      </c>
      <c r="K15" s="81" t="str">
        <f t="shared" si="0"/>
        <v/>
      </c>
      <c r="L15" s="22"/>
      <c r="M15" s="42" t="str">
        <f>IF(AND(B15&lt;&gt;""),IF($L$9&lt;&gt;0,VLOOKUP(L15/$L$9*100,TRANSMUTATION_TABLE!$A$2:$B$102,2),""),"")</f>
        <v/>
      </c>
      <c r="N15" s="5"/>
      <c r="O15" s="42" t="str">
        <f>IF(AND(B15&lt;&gt;""),IF($N$9&lt;&gt;0,VLOOKUP(N15/$N$9*100,TRANSMUTATION_TABLE!$A$2:$B$102,2),""),"")</f>
        <v/>
      </c>
      <c r="P15" s="5"/>
      <c r="Q15" s="42" t="str">
        <f>IF(AND(B15&lt;&gt;""),IF($P$9&lt;&gt;0,VLOOKUP(P15/$P$9*100,TRANSMUTATION_TABLE!$A$2:$B$102,2),""),"")</f>
        <v/>
      </c>
      <c r="R15" s="5"/>
      <c r="S15" s="43" t="str">
        <f>IF(AND(B15&lt;&gt;""),IF($R$9&lt;&gt;0,VLOOKUP(R15/$R$9*100,TRANSMUTATION_TABLE!$A$2:$B$102,2),""),"")</f>
        <v/>
      </c>
      <c r="T15" s="81" t="str">
        <f t="shared" si="1"/>
        <v/>
      </c>
      <c r="U15" s="5"/>
      <c r="V15" s="42" t="str">
        <f>IF(AND(B15&lt;&gt;""),IF($U$9&lt;&gt;0,VLOOKUP(U15/$U$9*100,TRANSMUTATION_TABLE!$A$2:$B$102,2),""),"")</f>
        <v/>
      </c>
      <c r="W15" s="5"/>
      <c r="X15" s="42" t="str">
        <f>IF(AND(B15&lt;&gt;""),IF($W$9&lt;&gt;0,VLOOKUP(W15/$W$9*100,TRANSMUTATION_TABLE!$A$2:$B$102,2),""),"")</f>
        <v/>
      </c>
      <c r="Y15" s="5"/>
      <c r="Z15" s="42" t="str">
        <f>IF(AND(B15&lt;&gt;""),IF($Y$9&lt;&gt;0,VLOOKUP(Y15/$Y$9*100,TRANSMUTATION_TABLE!$A$2:$B$102,2),""),"")</f>
        <v/>
      </c>
      <c r="AA15" s="5"/>
      <c r="AB15" s="43" t="str">
        <f>IF(AND(B15&lt;&gt;""),IF($AA$9&lt;&gt;0,VLOOKUP(AA15/$AA$9*100,TRANSMUTATION_TABLE!$A$2:$B$102,2),""),"")</f>
        <v/>
      </c>
      <c r="AC15" s="81" t="str">
        <f t="shared" si="2"/>
        <v/>
      </c>
      <c r="AD15" s="58"/>
      <c r="AE15" s="42" t="str">
        <f>IF(AND(B15&lt;&gt;""),IF($AD$9&lt;&gt;0,VLOOKUP(AD15/$AD$9*100,TRANSMUTATION_TABLE!$A$2:$B$102,2),""),"")</f>
        <v/>
      </c>
      <c r="AF15" s="50">
        <f>Attendance!BE12</f>
        <v>0</v>
      </c>
      <c r="AG15" s="45" t="str">
        <f>IF(AND(B15&lt;&gt;""),IF($AF$9&lt;&gt;0,VLOOKUP(AF15/$AF$9*100,TRANSMUTATION_TABLE!$A$2:$B$102,2),""),"")</f>
        <v/>
      </c>
      <c r="AH15" s="5"/>
      <c r="AI15" s="45" t="str">
        <f>IF(AND(B15&lt;&gt;""),IF($AH$9&lt;&gt;0,VLOOKUP(AH15/$AH$9*100,TRANSMUTATION_TABLE!$A$2:$B$102,2),""),"")</f>
        <v/>
      </c>
      <c r="AJ15" s="45" t="str">
        <f>IF(OR(K15&lt;&gt;"",T15&lt;&gt;"",AC15&lt;&gt;"",AI15&lt;&gt;"",AG15),SUM(PRODUCT(K15,IF(Settings!$I$9&lt;&gt;0,Settings!$I$9/100,0)),PRODUCT(T15,IF(Settings!$I$10&lt;&gt;0,Settings!$I$10/100,0)),PRODUCT(AC15,IF(Settings!$I$11&lt;&gt;0,Settings!$I$11/100,0)),PRODUCT(AG15,IF(Settings!$I$12&lt;&gt;0,Settings!$I$12/100,0)),PRODUCT(AI15,IF(Settings!$I$13&lt;&gt;0,Settings!$I$13/100,0))),"")</f>
        <v/>
      </c>
      <c r="AK15" s="45" t="str">
        <f>Prelim!AJ15</f>
        <v/>
      </c>
      <c r="AL15" s="45" t="str">
        <f>Midterm!AL15</f>
        <v/>
      </c>
      <c r="AM15" s="46" t="str">
        <f>IF(AJ15&lt;&gt;"",AVERAGE(Prelim!AJ15,Midterm!AL15,SemiFinal!AJ15),"")</f>
        <v/>
      </c>
      <c r="AN15" s="37"/>
      <c r="AO15" s="37"/>
      <c r="AP15" s="37"/>
      <c r="AQ15" s="37"/>
      <c r="AR15" s="37"/>
      <c r="AS15" s="37"/>
    </row>
    <row r="16" spans="1:45" ht="12" customHeight="1" thickBot="1" x14ac:dyDescent="0.35">
      <c r="A16" s="52"/>
      <c r="B16" s="60"/>
      <c r="C16" s="5"/>
      <c r="D16" s="42" t="str">
        <f>IF(AND(B16&lt;&gt;""),IF($C$9&lt;&gt;0,VLOOKUP(C16/$C$9*100,TRANSMUTATION_TABLE!$A$2:$B$102,2),""),"")</f>
        <v/>
      </c>
      <c r="E16" s="5"/>
      <c r="F16" s="42" t="str">
        <f>IF(AND(B16&lt;&gt;""),IF($E$9&lt;&gt;0,VLOOKUP(E16/$E$9*100,TRANSMUTATION_TABLE!$A$2:$B$102,2),""),"")</f>
        <v/>
      </c>
      <c r="G16" s="5"/>
      <c r="H16" s="42" t="str">
        <f>IF(AND(B16&lt;&gt;""),IF($G$9&lt;&gt;0,VLOOKUP(G16/$G$9*100,TRANSMUTATION_TABLE!$A$2:$B$102,2),""),"")</f>
        <v/>
      </c>
      <c r="I16" s="5"/>
      <c r="J16" s="43" t="str">
        <f>IF(AND(B16&lt;&gt;""),IF($I$9&lt;&gt;0,VLOOKUP(I16/$I$9*100,TRANSMUTATION_TABLE!$A$2:$B$102,2),""),"")</f>
        <v/>
      </c>
      <c r="K16" s="81" t="str">
        <f t="shared" si="0"/>
        <v/>
      </c>
      <c r="L16" s="22"/>
      <c r="M16" s="42" t="str">
        <f>IF(AND(B16&lt;&gt;""),IF($L$9&lt;&gt;0,VLOOKUP(L16/$L$9*100,TRANSMUTATION_TABLE!$A$2:$B$102,2),""),"")</f>
        <v/>
      </c>
      <c r="N16" s="5"/>
      <c r="O16" s="42" t="str">
        <f>IF(AND(B16&lt;&gt;""),IF($N$9&lt;&gt;0,VLOOKUP(N16/$N$9*100,TRANSMUTATION_TABLE!$A$2:$B$102,2),""),"")</f>
        <v/>
      </c>
      <c r="P16" s="5"/>
      <c r="Q16" s="42" t="str">
        <f>IF(AND(B16&lt;&gt;""),IF($P$9&lt;&gt;0,VLOOKUP(P16/$P$9*100,TRANSMUTATION_TABLE!$A$2:$B$102,2),""),"")</f>
        <v/>
      </c>
      <c r="R16" s="5"/>
      <c r="S16" s="43" t="str">
        <f>IF(AND(B16&lt;&gt;""),IF($R$9&lt;&gt;0,VLOOKUP(R16/$R$9*100,TRANSMUTATION_TABLE!$A$2:$B$102,2),""),"")</f>
        <v/>
      </c>
      <c r="T16" s="81" t="str">
        <f t="shared" si="1"/>
        <v/>
      </c>
      <c r="U16" s="5"/>
      <c r="V16" s="42" t="str">
        <f>IF(AND(B16&lt;&gt;""),IF($U$9&lt;&gt;0,VLOOKUP(U16/$U$9*100,TRANSMUTATION_TABLE!$A$2:$B$102,2),""),"")</f>
        <v/>
      </c>
      <c r="W16" s="5"/>
      <c r="X16" s="42" t="str">
        <f>IF(AND(B16&lt;&gt;""),IF($W$9&lt;&gt;0,VLOOKUP(W16/$W$9*100,TRANSMUTATION_TABLE!$A$2:$B$102,2),""),"")</f>
        <v/>
      </c>
      <c r="Y16" s="5"/>
      <c r="Z16" s="42" t="str">
        <f>IF(AND(B16&lt;&gt;""),IF($Y$9&lt;&gt;0,VLOOKUP(Y16/$Y$9*100,TRANSMUTATION_TABLE!$A$2:$B$102,2),""),"")</f>
        <v/>
      </c>
      <c r="AA16" s="5"/>
      <c r="AB16" s="43" t="str">
        <f>IF(AND(B16&lt;&gt;""),IF($AA$9&lt;&gt;0,VLOOKUP(AA16/$AA$9*100,TRANSMUTATION_TABLE!$A$2:$B$102,2),""),"")</f>
        <v/>
      </c>
      <c r="AC16" s="81" t="str">
        <f t="shared" si="2"/>
        <v/>
      </c>
      <c r="AD16" s="53"/>
      <c r="AE16" s="42" t="str">
        <f>IF(AND(B16&lt;&gt;""),IF($AD$9&lt;&gt;0,VLOOKUP(AD16/$AD$9*100,TRANSMUTATION_TABLE!$A$2:$B$102,2),""),"")</f>
        <v/>
      </c>
      <c r="AF16" s="50">
        <f>Attendance!BE13</f>
        <v>0</v>
      </c>
      <c r="AG16" s="45" t="str">
        <f>IF(AND(B16&lt;&gt;""),IF($AF$9&lt;&gt;0,VLOOKUP(AF16/$AF$9*100,TRANSMUTATION_TABLE!$A$2:$B$102,2),""),"")</f>
        <v/>
      </c>
      <c r="AH16" s="5"/>
      <c r="AI16" s="45" t="str">
        <f>IF(AND(B16&lt;&gt;""),IF($AH$9&lt;&gt;0,VLOOKUP(AH16/$AH$9*100,TRANSMUTATION_TABLE!$A$2:$B$102,2),""),"")</f>
        <v/>
      </c>
      <c r="AJ16" s="45" t="str">
        <f>IF(OR(K16&lt;&gt;"",T16&lt;&gt;"",AC16&lt;&gt;"",AI16&lt;&gt;"",AG16),SUM(PRODUCT(K16,IF(Settings!$I$9&lt;&gt;0,Settings!$I$9/100,0)),PRODUCT(T16,IF(Settings!$I$10&lt;&gt;0,Settings!$I$10/100,0)),PRODUCT(AC16,IF(Settings!$I$11&lt;&gt;0,Settings!$I$11/100,0)),PRODUCT(AG16,IF(Settings!$I$12&lt;&gt;0,Settings!$I$12/100,0)),PRODUCT(AI16,IF(Settings!$I$13&lt;&gt;0,Settings!$I$13/100,0))),"")</f>
        <v/>
      </c>
      <c r="AK16" s="45" t="str">
        <f>Prelim!AJ16</f>
        <v/>
      </c>
      <c r="AL16" s="45" t="str">
        <f>Midterm!AL16</f>
        <v/>
      </c>
      <c r="AM16" s="46" t="str">
        <f>IF(AJ16&lt;&gt;"",AVERAGE(Prelim!AJ16,Midterm!AL16,SemiFinal!AJ16),"")</f>
        <v/>
      </c>
      <c r="AN16" s="37"/>
      <c r="AO16" s="37"/>
      <c r="AP16" s="37"/>
      <c r="AQ16" s="37"/>
      <c r="AR16" s="37"/>
      <c r="AS16" s="37"/>
    </row>
    <row r="17" spans="1:45" ht="12" customHeight="1" thickBot="1" x14ac:dyDescent="0.35">
      <c r="A17" s="52"/>
      <c r="B17" s="60"/>
      <c r="C17" s="5"/>
      <c r="D17" s="42" t="str">
        <f>IF(AND(B17&lt;&gt;""),IF($C$9&lt;&gt;0,VLOOKUP(C17/$C$9*100,TRANSMUTATION_TABLE!$A$2:$B$102,2),""),"")</f>
        <v/>
      </c>
      <c r="E17" s="5"/>
      <c r="F17" s="42" t="str">
        <f>IF(AND(B17&lt;&gt;""),IF($E$9&lt;&gt;0,VLOOKUP(E17/$E$9*100,TRANSMUTATION_TABLE!$A$2:$B$102,2),""),"")</f>
        <v/>
      </c>
      <c r="G17" s="5"/>
      <c r="H17" s="42" t="str">
        <f>IF(AND(B17&lt;&gt;""),IF($G$9&lt;&gt;0,VLOOKUP(G17/$G$9*100,TRANSMUTATION_TABLE!$A$2:$B$102,2),""),"")</f>
        <v/>
      </c>
      <c r="I17" s="5"/>
      <c r="J17" s="43" t="str">
        <f>IF(AND(B17&lt;&gt;""),IF($I$9&lt;&gt;0,VLOOKUP(I17/$I$9*100,TRANSMUTATION_TABLE!$A$2:$B$102,2),""),"")</f>
        <v/>
      </c>
      <c r="K17" s="81" t="str">
        <f t="shared" si="0"/>
        <v/>
      </c>
      <c r="L17" s="22"/>
      <c r="M17" s="42" t="str">
        <f>IF(AND(B17&lt;&gt;""),IF($L$9&lt;&gt;0,VLOOKUP(L17/$L$9*100,TRANSMUTATION_TABLE!$A$2:$B$102,2),""),"")</f>
        <v/>
      </c>
      <c r="N17" s="5"/>
      <c r="O17" s="42" t="str">
        <f>IF(AND(B17&lt;&gt;""),IF($N$9&lt;&gt;0,VLOOKUP(N17/$N$9*100,TRANSMUTATION_TABLE!$A$2:$B$102,2),""),"")</f>
        <v/>
      </c>
      <c r="P17" s="5"/>
      <c r="Q17" s="42" t="str">
        <f>IF(AND(B17&lt;&gt;""),IF($P$9&lt;&gt;0,VLOOKUP(P17/$P$9*100,TRANSMUTATION_TABLE!$A$2:$B$102,2),""),"")</f>
        <v/>
      </c>
      <c r="R17" s="5"/>
      <c r="S17" s="43" t="str">
        <f>IF(AND(B17&lt;&gt;""),IF($R$9&lt;&gt;0,VLOOKUP(R17/$R$9*100,TRANSMUTATION_TABLE!$A$2:$B$102,2),""),"")</f>
        <v/>
      </c>
      <c r="T17" s="81" t="str">
        <f t="shared" si="1"/>
        <v/>
      </c>
      <c r="U17" s="5"/>
      <c r="V17" s="42" t="str">
        <f>IF(AND(B17&lt;&gt;""),IF($U$9&lt;&gt;0,VLOOKUP(U17/$U$9*100,TRANSMUTATION_TABLE!$A$2:$B$102,2),""),"")</f>
        <v/>
      </c>
      <c r="W17" s="5"/>
      <c r="X17" s="42" t="str">
        <f>IF(AND(B17&lt;&gt;""),IF($W$9&lt;&gt;0,VLOOKUP(W17/$W$9*100,TRANSMUTATION_TABLE!$A$2:$B$102,2),""),"")</f>
        <v/>
      </c>
      <c r="Y17" s="5"/>
      <c r="Z17" s="42" t="str">
        <f>IF(AND(B17&lt;&gt;""),IF($Y$9&lt;&gt;0,VLOOKUP(Y17/$Y$9*100,TRANSMUTATION_TABLE!$A$2:$B$102,2),""),"")</f>
        <v/>
      </c>
      <c r="AA17" s="5"/>
      <c r="AB17" s="43" t="str">
        <f>IF(AND(B17&lt;&gt;""),IF($AA$9&lt;&gt;0,VLOOKUP(AA17/$AA$9*100,TRANSMUTATION_TABLE!$A$2:$B$102,2),""),"")</f>
        <v/>
      </c>
      <c r="AC17" s="81" t="str">
        <f t="shared" si="2"/>
        <v/>
      </c>
      <c r="AD17" s="53"/>
      <c r="AE17" s="42" t="str">
        <f>IF(AND(B17&lt;&gt;""),IF($AD$9&lt;&gt;0,VLOOKUP(AD17/$AD$9*100,TRANSMUTATION_TABLE!$A$2:$B$102,2),""),"")</f>
        <v/>
      </c>
      <c r="AF17" s="50">
        <f>Attendance!BE14</f>
        <v>0</v>
      </c>
      <c r="AG17" s="45" t="str">
        <f>IF(AND(B17&lt;&gt;""),IF($AF$9&lt;&gt;0,VLOOKUP(AF17/$AF$9*100,TRANSMUTATION_TABLE!$A$2:$B$102,2),""),"")</f>
        <v/>
      </c>
      <c r="AH17" s="5"/>
      <c r="AI17" s="45" t="str">
        <f>IF(AND(B17&lt;&gt;""),IF($AH$9&lt;&gt;0,VLOOKUP(AH17/$AH$9*100,TRANSMUTATION_TABLE!$A$2:$B$102,2),""),"")</f>
        <v/>
      </c>
      <c r="AJ17" s="45" t="str">
        <f>IF(OR(K17&lt;&gt;"",T17&lt;&gt;"",AC17&lt;&gt;"",AI17&lt;&gt;"",AG17),SUM(PRODUCT(K17,IF(Settings!$I$9&lt;&gt;0,Settings!$I$9/100,0)),PRODUCT(T17,IF(Settings!$I$10&lt;&gt;0,Settings!$I$10/100,0)),PRODUCT(AC17,IF(Settings!$I$11&lt;&gt;0,Settings!$I$11/100,0)),PRODUCT(AG17,IF(Settings!$I$12&lt;&gt;0,Settings!$I$12/100,0)),PRODUCT(AI17,IF(Settings!$I$13&lt;&gt;0,Settings!$I$13/100,0))),"")</f>
        <v/>
      </c>
      <c r="AK17" s="45" t="str">
        <f>Prelim!AJ17</f>
        <v/>
      </c>
      <c r="AL17" s="45" t="str">
        <f>Midterm!AL17</f>
        <v/>
      </c>
      <c r="AM17" s="46" t="str">
        <f>IF(AJ17&lt;&gt;"",AVERAGE(Prelim!AJ17,Midterm!AL17,SemiFinal!AJ17),"")</f>
        <v/>
      </c>
      <c r="AN17" s="37"/>
      <c r="AO17" s="37"/>
      <c r="AP17" s="37"/>
      <c r="AQ17" s="37"/>
      <c r="AR17" s="37"/>
      <c r="AS17" s="37"/>
    </row>
    <row r="18" spans="1:45" ht="12" customHeight="1" thickBot="1" x14ac:dyDescent="0.35">
      <c r="A18" s="52"/>
      <c r="B18" s="60"/>
      <c r="C18" s="5"/>
      <c r="D18" s="42" t="str">
        <f>IF(AND(B18&lt;&gt;""),IF($C$9&lt;&gt;0,VLOOKUP(C18/$C$9*100,TRANSMUTATION_TABLE!$A$2:$B$102,2),""),"")</f>
        <v/>
      </c>
      <c r="E18" s="5"/>
      <c r="F18" s="42" t="str">
        <f>IF(AND(B18&lt;&gt;""),IF($E$9&lt;&gt;0,VLOOKUP(E18/$E$9*100,TRANSMUTATION_TABLE!$A$2:$B$102,2),""),"")</f>
        <v/>
      </c>
      <c r="G18" s="5"/>
      <c r="H18" s="42" t="str">
        <f>IF(AND(B18&lt;&gt;""),IF($G$9&lt;&gt;0,VLOOKUP(G18/$G$9*100,TRANSMUTATION_TABLE!$A$2:$B$102,2),""),"")</f>
        <v/>
      </c>
      <c r="I18" s="5"/>
      <c r="J18" s="43" t="str">
        <f>IF(AND(B18&lt;&gt;""),IF($I$9&lt;&gt;0,VLOOKUP(I18/$I$9*100,TRANSMUTATION_TABLE!$A$2:$B$102,2),""),"")</f>
        <v/>
      </c>
      <c r="K18" s="81" t="str">
        <f t="shared" si="0"/>
        <v/>
      </c>
      <c r="L18" s="22"/>
      <c r="M18" s="42" t="str">
        <f>IF(AND(B18&lt;&gt;""),IF($L$9&lt;&gt;0,VLOOKUP(L18/$L$9*100,TRANSMUTATION_TABLE!$A$2:$B$102,2),""),"")</f>
        <v/>
      </c>
      <c r="N18" s="5"/>
      <c r="O18" s="42" t="str">
        <f>IF(AND(B18&lt;&gt;""),IF($N$9&lt;&gt;0,VLOOKUP(N18/$N$9*100,TRANSMUTATION_TABLE!$A$2:$B$102,2),""),"")</f>
        <v/>
      </c>
      <c r="P18" s="5"/>
      <c r="Q18" s="42" t="str">
        <f>IF(AND(B18&lt;&gt;""),IF($P$9&lt;&gt;0,VLOOKUP(P18/$P$9*100,TRANSMUTATION_TABLE!$A$2:$B$102,2),""),"")</f>
        <v/>
      </c>
      <c r="R18" s="5"/>
      <c r="S18" s="43" t="str">
        <f>IF(AND(B18&lt;&gt;""),IF($R$9&lt;&gt;0,VLOOKUP(R18/$R$9*100,TRANSMUTATION_TABLE!$A$2:$B$102,2),""),"")</f>
        <v/>
      </c>
      <c r="T18" s="81" t="str">
        <f t="shared" si="1"/>
        <v/>
      </c>
      <c r="U18" s="5"/>
      <c r="V18" s="42" t="str">
        <f>IF(AND(B18&lt;&gt;""),IF($U$9&lt;&gt;0,VLOOKUP(U18/$U$9*100,TRANSMUTATION_TABLE!$A$2:$B$102,2),""),"")</f>
        <v/>
      </c>
      <c r="W18" s="5"/>
      <c r="X18" s="42" t="str">
        <f>IF(AND(B18&lt;&gt;""),IF($W$9&lt;&gt;0,VLOOKUP(W18/$W$9*100,TRANSMUTATION_TABLE!$A$2:$B$102,2),""),"")</f>
        <v/>
      </c>
      <c r="Y18" s="5"/>
      <c r="Z18" s="42" t="str">
        <f>IF(AND(B18&lt;&gt;""),IF($Y$9&lt;&gt;0,VLOOKUP(Y18/$Y$9*100,TRANSMUTATION_TABLE!$A$2:$B$102,2),""),"")</f>
        <v/>
      </c>
      <c r="AA18" s="5"/>
      <c r="AB18" s="43" t="str">
        <f>IF(AND(B18&lt;&gt;""),IF($AA$9&lt;&gt;0,VLOOKUP(AA18/$AA$9*100,TRANSMUTATION_TABLE!$A$2:$B$102,2),""),"")</f>
        <v/>
      </c>
      <c r="AC18" s="81" t="str">
        <f t="shared" si="2"/>
        <v/>
      </c>
      <c r="AD18" s="53"/>
      <c r="AE18" s="42" t="str">
        <f>IF(AND(B18&lt;&gt;""),IF($AD$9&lt;&gt;0,VLOOKUP(AD18/$AD$9*100,TRANSMUTATION_TABLE!$A$2:$B$102,2),""),"")</f>
        <v/>
      </c>
      <c r="AF18" s="50">
        <f>Attendance!BE15</f>
        <v>0</v>
      </c>
      <c r="AG18" s="45" t="str">
        <f>IF(AND(B18&lt;&gt;""),IF($AF$9&lt;&gt;0,VLOOKUP(AF18/$AF$9*100,TRANSMUTATION_TABLE!$A$2:$B$102,2),""),"")</f>
        <v/>
      </c>
      <c r="AH18" s="5"/>
      <c r="AI18" s="45" t="str">
        <f>IF(AND(B18&lt;&gt;""),IF($AH$9&lt;&gt;0,VLOOKUP(AH18/$AH$9*100,TRANSMUTATION_TABLE!$A$2:$B$102,2),""),"")</f>
        <v/>
      </c>
      <c r="AJ18" s="45" t="str">
        <f>IF(OR(K18&lt;&gt;"",T18&lt;&gt;"",AC18&lt;&gt;"",AI18&lt;&gt;"",AG18),SUM(PRODUCT(K18,IF(Settings!$I$9&lt;&gt;0,Settings!$I$9/100,0)),PRODUCT(T18,IF(Settings!$I$10&lt;&gt;0,Settings!$I$10/100,0)),PRODUCT(AC18,IF(Settings!$I$11&lt;&gt;0,Settings!$I$11/100,0)),PRODUCT(AG18,IF(Settings!$I$12&lt;&gt;0,Settings!$I$12/100,0)),PRODUCT(AI18,IF(Settings!$I$13&lt;&gt;0,Settings!$I$13/100,0))),"")</f>
        <v/>
      </c>
      <c r="AK18" s="45" t="str">
        <f>Prelim!AJ18</f>
        <v/>
      </c>
      <c r="AL18" s="45" t="str">
        <f>Midterm!AL18</f>
        <v/>
      </c>
      <c r="AM18" s="46" t="str">
        <f>IF(AJ18&lt;&gt;"",AVERAGE(Prelim!AJ18,Midterm!AL18,SemiFinal!AJ18),"")</f>
        <v/>
      </c>
      <c r="AN18" s="37"/>
      <c r="AO18" s="37"/>
      <c r="AP18" s="37"/>
      <c r="AQ18" s="37"/>
      <c r="AR18" s="37"/>
      <c r="AS18" s="37"/>
    </row>
    <row r="19" spans="1:45" ht="12" customHeight="1" thickBot="1" x14ac:dyDescent="0.35">
      <c r="A19" s="54"/>
      <c r="B19" s="60"/>
      <c r="C19" s="55"/>
      <c r="D19" s="42" t="str">
        <f>IF(AND(B19&lt;&gt;""),IF($C$9&lt;&gt;0,VLOOKUP(C19/$C$9*100,TRANSMUTATION_TABLE!$A$2:$B$102,2),""),"")</f>
        <v/>
      </c>
      <c r="E19" s="55"/>
      <c r="F19" s="42" t="str">
        <f>IF(AND(B19&lt;&gt;""),IF($E$9&lt;&gt;0,VLOOKUP(E19/$E$9*100,TRANSMUTATION_TABLE!$A$2:$B$102,2),""),"")</f>
        <v/>
      </c>
      <c r="G19" s="55"/>
      <c r="H19" s="42" t="str">
        <f>IF(AND(B19&lt;&gt;""),IF($G$9&lt;&gt;0,VLOOKUP(G19/$G$9*100,TRANSMUTATION_TABLE!$A$2:$B$102,2),""),"")</f>
        <v/>
      </c>
      <c r="I19" s="55"/>
      <c r="J19" s="43" t="str">
        <f>IF(AND(B19&lt;&gt;""),IF($I$9&lt;&gt;0,VLOOKUP(I19/$I$9*100,TRANSMUTATION_TABLE!$A$2:$B$102,2),""),"")</f>
        <v/>
      </c>
      <c r="K19" s="81" t="str">
        <f t="shared" si="0"/>
        <v/>
      </c>
      <c r="L19" s="22"/>
      <c r="M19" s="42" t="str">
        <f>IF(AND(B19&lt;&gt;""),IF($L$9&lt;&gt;0,VLOOKUP(L19/$L$9*100,TRANSMUTATION_TABLE!$A$2:$B$102,2),""),"")</f>
        <v/>
      </c>
      <c r="N19" s="55"/>
      <c r="O19" s="42" t="str">
        <f>IF(AND(B19&lt;&gt;""),IF($N$9&lt;&gt;0,VLOOKUP(N19/$N$9*100,TRANSMUTATION_TABLE!$A$2:$B$102,2),""),"")</f>
        <v/>
      </c>
      <c r="P19" s="55"/>
      <c r="Q19" s="42" t="str">
        <f>IF(AND(B19&lt;&gt;""),IF($P$9&lt;&gt;0,VLOOKUP(P19/$P$9*100,TRANSMUTATION_TABLE!$A$2:$B$102,2),""),"")</f>
        <v/>
      </c>
      <c r="R19" s="55"/>
      <c r="S19" s="43" t="str">
        <f>IF(AND(B19&lt;&gt;""),IF($R$9&lt;&gt;0,VLOOKUP(R19/$R$9*100,TRANSMUTATION_TABLE!$A$2:$B$102,2),""),"")</f>
        <v/>
      </c>
      <c r="T19" s="81" t="str">
        <f t="shared" si="1"/>
        <v/>
      </c>
      <c r="U19" s="55"/>
      <c r="V19" s="42" t="str">
        <f>IF(AND(B19&lt;&gt;""),IF($U$9&lt;&gt;0,VLOOKUP(U19/$U$9*100,TRANSMUTATION_TABLE!$A$2:$B$102,2),""),"")</f>
        <v/>
      </c>
      <c r="W19" s="55"/>
      <c r="X19" s="42" t="str">
        <f>IF(AND(B19&lt;&gt;""),IF($W$9&lt;&gt;0,VLOOKUP(W19/$W$9*100,TRANSMUTATION_TABLE!$A$2:$B$102,2),""),"")</f>
        <v/>
      </c>
      <c r="Y19" s="55"/>
      <c r="Z19" s="42" t="str">
        <f>IF(AND(B19&lt;&gt;""),IF($Y$9&lt;&gt;0,VLOOKUP(Y19/$Y$9*100,TRANSMUTATION_TABLE!$A$2:$B$102,2),""),"")</f>
        <v/>
      </c>
      <c r="AA19" s="55"/>
      <c r="AB19" s="43" t="str">
        <f>IF(AND(B19&lt;&gt;""),IF($AA$9&lt;&gt;0,VLOOKUP(AA19/$AA$9*100,TRANSMUTATION_TABLE!$A$2:$B$102,2),""),"")</f>
        <v/>
      </c>
      <c r="AC19" s="81" t="str">
        <f t="shared" si="2"/>
        <v/>
      </c>
      <c r="AD19" s="56"/>
      <c r="AE19" s="42" t="str">
        <f>IF(AND(B19&lt;&gt;""),IF($AD$9&lt;&gt;0,VLOOKUP(AD19/$AD$9*100,TRANSMUTATION_TABLE!$A$2:$B$102,2),""),"")</f>
        <v/>
      </c>
      <c r="AF19" s="50">
        <f>Attendance!BE16</f>
        <v>0</v>
      </c>
      <c r="AG19" s="45" t="str">
        <f>IF(AND(B19&lt;&gt;""),IF($AF$9&lt;&gt;0,VLOOKUP(AF19/$AF$9*100,TRANSMUTATION_TABLE!$A$2:$B$102,2),""),"")</f>
        <v/>
      </c>
      <c r="AH19" s="55"/>
      <c r="AI19" s="45" t="str">
        <f>IF(AND(B19&lt;&gt;""),IF($AH$9&lt;&gt;0,VLOOKUP(AH19/$AH$9*100,TRANSMUTATION_TABLE!$A$2:$B$102,2),""),"")</f>
        <v/>
      </c>
      <c r="AJ19" s="45" t="str">
        <f>IF(OR(K19&lt;&gt;"",T19&lt;&gt;"",AC19&lt;&gt;"",AI19&lt;&gt;"",AG19),SUM(PRODUCT(K19,IF(Settings!$I$9&lt;&gt;0,Settings!$I$9/100,0)),PRODUCT(T19,IF(Settings!$I$10&lt;&gt;0,Settings!$I$10/100,0)),PRODUCT(AC19,IF(Settings!$I$11&lt;&gt;0,Settings!$I$11/100,0)),PRODUCT(AG19,IF(Settings!$I$12&lt;&gt;0,Settings!$I$12/100,0)),PRODUCT(AI19,IF(Settings!$I$13&lt;&gt;0,Settings!$I$13/100,0))),"")</f>
        <v/>
      </c>
      <c r="AK19" s="45" t="str">
        <f>Prelim!AJ19</f>
        <v/>
      </c>
      <c r="AL19" s="45" t="str">
        <f>Midterm!AL19</f>
        <v/>
      </c>
      <c r="AM19" s="46" t="str">
        <f>IF(AJ19&lt;&gt;"",AVERAGE(Prelim!AJ19,Midterm!AL19,SemiFinal!AJ19),"")</f>
        <v/>
      </c>
      <c r="AN19" s="37"/>
      <c r="AO19" s="37"/>
      <c r="AP19" s="37"/>
      <c r="AQ19" s="37"/>
      <c r="AR19" s="37"/>
      <c r="AS19" s="37"/>
    </row>
    <row r="20" spans="1:45" ht="12" customHeight="1" thickBot="1" x14ac:dyDescent="0.35">
      <c r="A20" s="47"/>
      <c r="B20" s="60"/>
      <c r="C20" s="5"/>
      <c r="D20" s="42" t="str">
        <f>IF(AND(B20&lt;&gt;""),IF($C$9&lt;&gt;0,VLOOKUP(C20/$C$9*100,TRANSMUTATION_TABLE!$A$2:$B$102,2),""),"")</f>
        <v/>
      </c>
      <c r="E20" s="5"/>
      <c r="F20" s="42" t="str">
        <f>IF(AND(B20&lt;&gt;""),IF($E$9&lt;&gt;0,VLOOKUP(E20/$E$9*100,TRANSMUTATION_TABLE!$A$2:$B$102,2),""),"")</f>
        <v/>
      </c>
      <c r="G20" s="5"/>
      <c r="H20" s="42" t="str">
        <f>IF(AND(B20&lt;&gt;""),IF($G$9&lt;&gt;0,VLOOKUP(G20/$G$9*100,TRANSMUTATION_TABLE!$A$2:$B$102,2),""),"")</f>
        <v/>
      </c>
      <c r="I20" s="5"/>
      <c r="J20" s="43" t="str">
        <f>IF(AND(B20&lt;&gt;""),IF($I$9&lt;&gt;0,VLOOKUP(I20/$I$9*100,TRANSMUTATION_TABLE!$A$2:$B$102,2),""),"")</f>
        <v/>
      </c>
      <c r="K20" s="81" t="str">
        <f t="shared" si="0"/>
        <v/>
      </c>
      <c r="L20" s="22"/>
      <c r="M20" s="42" t="str">
        <f>IF(AND(B20&lt;&gt;""),IF($L$9&lt;&gt;0,VLOOKUP(L20/$L$9*100,TRANSMUTATION_TABLE!$A$2:$B$102,2),""),"")</f>
        <v/>
      </c>
      <c r="N20" s="5"/>
      <c r="O20" s="42" t="str">
        <f>IF(AND(B20&lt;&gt;""),IF($N$9&lt;&gt;0,VLOOKUP(N20/$N$9*100,TRANSMUTATION_TABLE!$A$2:$B$102,2),""),"")</f>
        <v/>
      </c>
      <c r="P20" s="5"/>
      <c r="Q20" s="42" t="str">
        <f>IF(AND(B20&lt;&gt;""),IF($P$9&lt;&gt;0,VLOOKUP(P20/$P$9*100,TRANSMUTATION_TABLE!$A$2:$B$102,2),""),"")</f>
        <v/>
      </c>
      <c r="R20" s="5"/>
      <c r="S20" s="43" t="str">
        <f>IF(AND(B20&lt;&gt;""),IF($R$9&lt;&gt;0,VLOOKUP(R20/$R$9*100,TRANSMUTATION_TABLE!$A$2:$B$102,2),""),"")</f>
        <v/>
      </c>
      <c r="T20" s="81" t="str">
        <f t="shared" si="1"/>
        <v/>
      </c>
      <c r="U20" s="5"/>
      <c r="V20" s="42" t="str">
        <f>IF(AND(B20&lt;&gt;""),IF($U$9&lt;&gt;0,VLOOKUP(U20/$U$9*100,TRANSMUTATION_TABLE!$A$2:$B$102,2),""),"")</f>
        <v/>
      </c>
      <c r="W20" s="5"/>
      <c r="X20" s="42" t="str">
        <f>IF(AND(B20&lt;&gt;""),IF($W$9&lt;&gt;0,VLOOKUP(W20/$W$9*100,TRANSMUTATION_TABLE!$A$2:$B$102,2),""),"")</f>
        <v/>
      </c>
      <c r="Y20" s="5"/>
      <c r="Z20" s="42" t="str">
        <f>IF(AND(B20&lt;&gt;""),IF($Y$9&lt;&gt;0,VLOOKUP(Y20/$Y$9*100,TRANSMUTATION_TABLE!$A$2:$B$102,2),""),"")</f>
        <v/>
      </c>
      <c r="AA20" s="5"/>
      <c r="AB20" s="43" t="str">
        <f>IF(AND(B20&lt;&gt;""),IF($AA$9&lt;&gt;0,VLOOKUP(AA20/$AA$9*100,TRANSMUTATION_TABLE!$A$2:$B$102,2),""),"")</f>
        <v/>
      </c>
      <c r="AC20" s="81" t="str">
        <f t="shared" si="2"/>
        <v/>
      </c>
      <c r="AD20" s="58"/>
      <c r="AE20" s="42" t="str">
        <f>IF(AND(B20&lt;&gt;""),IF($AD$9&lt;&gt;0,VLOOKUP(AD20/$AD$9*100,TRANSMUTATION_TABLE!$A$2:$B$102,2),""),"")</f>
        <v/>
      </c>
      <c r="AF20" s="50">
        <f>Attendance!BE17</f>
        <v>0</v>
      </c>
      <c r="AG20" s="45" t="str">
        <f>IF(AND(B20&lt;&gt;""),IF($AF$9&lt;&gt;0,VLOOKUP(AF20/$AF$9*100,TRANSMUTATION_TABLE!$A$2:$B$102,2),""),"")</f>
        <v/>
      </c>
      <c r="AH20" s="5"/>
      <c r="AI20" s="45" t="str">
        <f>IF(AND(B20&lt;&gt;""),IF($AH$9&lt;&gt;0,VLOOKUP(AH20/$AH$9*100,TRANSMUTATION_TABLE!$A$2:$B$102,2),""),"")</f>
        <v/>
      </c>
      <c r="AJ20" s="45" t="str">
        <f>IF(OR(K20&lt;&gt;"",T20&lt;&gt;"",AC20&lt;&gt;"",AI20&lt;&gt;"",AG20),SUM(PRODUCT(K20,IF(Settings!$I$9&lt;&gt;0,Settings!$I$9/100,0)),PRODUCT(T20,IF(Settings!$I$10&lt;&gt;0,Settings!$I$10/100,0)),PRODUCT(AC20,IF(Settings!$I$11&lt;&gt;0,Settings!$I$11/100,0)),PRODUCT(AG20,IF(Settings!$I$12&lt;&gt;0,Settings!$I$12/100,0)),PRODUCT(AI20,IF(Settings!$I$13&lt;&gt;0,Settings!$I$13/100,0))),"")</f>
        <v/>
      </c>
      <c r="AK20" s="45" t="str">
        <f>Prelim!AJ20</f>
        <v/>
      </c>
      <c r="AL20" s="45" t="str">
        <f>Midterm!AL20</f>
        <v/>
      </c>
      <c r="AM20" s="46" t="str">
        <f>IF(AJ20&lt;&gt;"",AVERAGE(Prelim!AJ20,Midterm!AL20,SemiFinal!AJ20),"")</f>
        <v/>
      </c>
      <c r="AN20" s="37"/>
      <c r="AO20" s="37"/>
      <c r="AP20" s="37"/>
      <c r="AQ20" s="37"/>
      <c r="AR20" s="37"/>
      <c r="AS20" s="37"/>
    </row>
    <row r="21" spans="1:45" ht="12" customHeight="1" thickBot="1" x14ac:dyDescent="0.35">
      <c r="A21" s="52"/>
      <c r="B21" s="60"/>
      <c r="C21" s="5"/>
      <c r="D21" s="42" t="str">
        <f>IF(AND(B21&lt;&gt;""),IF($C$9&lt;&gt;0,VLOOKUP(C21/$C$9*100,TRANSMUTATION_TABLE!$A$2:$B$102,2),""),"")</f>
        <v/>
      </c>
      <c r="E21" s="5"/>
      <c r="F21" s="42" t="str">
        <f>IF(AND(B21&lt;&gt;""),IF($E$9&lt;&gt;0,VLOOKUP(E21/$E$9*100,TRANSMUTATION_TABLE!$A$2:$B$102,2),""),"")</f>
        <v/>
      </c>
      <c r="G21" s="5"/>
      <c r="H21" s="42" t="str">
        <f>IF(AND(B21&lt;&gt;""),IF($G$9&lt;&gt;0,VLOOKUP(G21/$G$9*100,TRANSMUTATION_TABLE!$A$2:$B$102,2),""),"")</f>
        <v/>
      </c>
      <c r="I21" s="5"/>
      <c r="J21" s="43" t="str">
        <f>IF(AND(B21&lt;&gt;""),IF($I$9&lt;&gt;0,VLOOKUP(I21/$I$9*100,TRANSMUTATION_TABLE!$A$2:$B$102,2),""),"")</f>
        <v/>
      </c>
      <c r="K21" s="81" t="str">
        <f t="shared" si="0"/>
        <v/>
      </c>
      <c r="L21" s="22"/>
      <c r="M21" s="42" t="str">
        <f>IF(AND(B21&lt;&gt;""),IF($L$9&lt;&gt;0,VLOOKUP(L21/$L$9*100,TRANSMUTATION_TABLE!$A$2:$B$102,2),""),"")</f>
        <v/>
      </c>
      <c r="N21" s="5"/>
      <c r="O21" s="42" t="str">
        <f>IF(AND(B21&lt;&gt;""),IF($N$9&lt;&gt;0,VLOOKUP(N21/$N$9*100,TRANSMUTATION_TABLE!$A$2:$B$102,2),""),"")</f>
        <v/>
      </c>
      <c r="P21" s="5"/>
      <c r="Q21" s="42" t="str">
        <f>IF(AND(B21&lt;&gt;""),IF($P$9&lt;&gt;0,VLOOKUP(P21/$P$9*100,TRANSMUTATION_TABLE!$A$2:$B$102,2),""),"")</f>
        <v/>
      </c>
      <c r="R21" s="5"/>
      <c r="S21" s="43" t="str">
        <f>IF(AND(B21&lt;&gt;""),IF($R$9&lt;&gt;0,VLOOKUP(R21/$R$9*100,TRANSMUTATION_TABLE!$A$2:$B$102,2),""),"")</f>
        <v/>
      </c>
      <c r="T21" s="81" t="str">
        <f t="shared" si="1"/>
        <v/>
      </c>
      <c r="U21" s="5"/>
      <c r="V21" s="42" t="str">
        <f>IF(AND(B21&lt;&gt;""),IF($U$9&lt;&gt;0,VLOOKUP(U21/$U$9*100,TRANSMUTATION_TABLE!$A$2:$B$102,2),""),"")</f>
        <v/>
      </c>
      <c r="W21" s="5"/>
      <c r="X21" s="42" t="str">
        <f>IF(AND(B21&lt;&gt;""),IF($W$9&lt;&gt;0,VLOOKUP(W21/$W$9*100,TRANSMUTATION_TABLE!$A$2:$B$102,2),""),"")</f>
        <v/>
      </c>
      <c r="Y21" s="5"/>
      <c r="Z21" s="42" t="str">
        <f>IF(AND(B21&lt;&gt;""),IF($Y$9&lt;&gt;0,VLOOKUP(Y21/$Y$9*100,TRANSMUTATION_TABLE!$A$2:$B$102,2),""),"")</f>
        <v/>
      </c>
      <c r="AA21" s="5"/>
      <c r="AB21" s="43" t="str">
        <f>IF(AND(B21&lt;&gt;""),IF($AA$9&lt;&gt;0,VLOOKUP(AA21/$AA$9*100,TRANSMUTATION_TABLE!$A$2:$B$102,2),""),"")</f>
        <v/>
      </c>
      <c r="AC21" s="81" t="str">
        <f t="shared" si="2"/>
        <v/>
      </c>
      <c r="AD21" s="53"/>
      <c r="AE21" s="42" t="str">
        <f>IF(AND(B21&lt;&gt;""),IF($AD$9&lt;&gt;0,VLOOKUP(AD21/$AD$9*100,TRANSMUTATION_TABLE!$A$2:$B$102,2),""),"")</f>
        <v/>
      </c>
      <c r="AF21" s="50">
        <f>Attendance!BE18</f>
        <v>0</v>
      </c>
      <c r="AG21" s="45" t="str">
        <f>IF(AND(B21&lt;&gt;""),IF($AF$9&lt;&gt;0,VLOOKUP(AF21/$AF$9*100,TRANSMUTATION_TABLE!$A$2:$B$102,2),""),"")</f>
        <v/>
      </c>
      <c r="AH21" s="5"/>
      <c r="AI21" s="45" t="str">
        <f>IF(AND(B21&lt;&gt;""),IF($AH$9&lt;&gt;0,VLOOKUP(AH21/$AH$9*100,TRANSMUTATION_TABLE!$A$2:$B$102,2),""),"")</f>
        <v/>
      </c>
      <c r="AJ21" s="45" t="str">
        <f>IF(OR(K21&lt;&gt;"",T21&lt;&gt;"",AC21&lt;&gt;"",AI21&lt;&gt;"",AG21),SUM(PRODUCT(K21,IF(Settings!$I$9&lt;&gt;0,Settings!$I$9/100,0)),PRODUCT(T21,IF(Settings!$I$10&lt;&gt;0,Settings!$I$10/100,0)),PRODUCT(AC21,IF(Settings!$I$11&lt;&gt;0,Settings!$I$11/100,0)),PRODUCT(AG21,IF(Settings!$I$12&lt;&gt;0,Settings!$I$12/100,0)),PRODUCT(AI21,IF(Settings!$I$13&lt;&gt;0,Settings!$I$13/100,0))),"")</f>
        <v/>
      </c>
      <c r="AK21" s="45" t="str">
        <f>Prelim!AJ21</f>
        <v/>
      </c>
      <c r="AL21" s="45" t="str">
        <f>Midterm!AL21</f>
        <v/>
      </c>
      <c r="AM21" s="46" t="str">
        <f>IF(AJ21&lt;&gt;"",AVERAGE(Prelim!AJ21,Midterm!AL21,SemiFinal!AJ21),"")</f>
        <v/>
      </c>
      <c r="AN21" s="37"/>
      <c r="AO21" s="37"/>
      <c r="AP21" s="37"/>
      <c r="AQ21" s="37"/>
      <c r="AR21" s="37"/>
      <c r="AS21" s="37" t="s">
        <v>44</v>
      </c>
    </row>
    <row r="22" spans="1:45" ht="12" customHeight="1" thickBot="1" x14ac:dyDescent="0.35">
      <c r="A22" s="52"/>
      <c r="B22" s="60"/>
      <c r="C22" s="5"/>
      <c r="D22" s="42" t="str">
        <f>IF(AND(B22&lt;&gt;""),IF($C$9&lt;&gt;0,VLOOKUP(C22/$C$9*100,TRANSMUTATION_TABLE!$A$2:$B$102,2),""),"")</f>
        <v/>
      </c>
      <c r="E22" s="5"/>
      <c r="F22" s="42" t="str">
        <f>IF(AND(B22&lt;&gt;""),IF($E$9&lt;&gt;0,VLOOKUP(E22/$E$9*100,TRANSMUTATION_TABLE!$A$2:$B$102,2),""),"")</f>
        <v/>
      </c>
      <c r="G22" s="5"/>
      <c r="H22" s="42" t="str">
        <f>IF(AND(B22&lt;&gt;""),IF($G$9&lt;&gt;0,VLOOKUP(G22/$G$9*100,TRANSMUTATION_TABLE!$A$2:$B$102,2),""),"")</f>
        <v/>
      </c>
      <c r="I22" s="5"/>
      <c r="J22" s="43" t="str">
        <f>IF(AND(B22&lt;&gt;""),IF($I$9&lt;&gt;0,VLOOKUP(I22/$I$9*100,TRANSMUTATION_TABLE!$A$2:$B$102,2),""),"")</f>
        <v/>
      </c>
      <c r="K22" s="81" t="str">
        <f t="shared" si="0"/>
        <v/>
      </c>
      <c r="L22" s="22"/>
      <c r="M22" s="42" t="str">
        <f>IF(AND(B22&lt;&gt;""),IF($L$9&lt;&gt;0,VLOOKUP(L22/$L$9*100,TRANSMUTATION_TABLE!$A$2:$B$102,2),""),"")</f>
        <v/>
      </c>
      <c r="N22" s="5"/>
      <c r="O22" s="42" t="str">
        <f>IF(AND(B22&lt;&gt;""),IF($N$9&lt;&gt;0,VLOOKUP(N22/$N$9*100,TRANSMUTATION_TABLE!$A$2:$B$102,2),""),"")</f>
        <v/>
      </c>
      <c r="P22" s="5"/>
      <c r="Q22" s="42" t="str">
        <f>IF(AND(B22&lt;&gt;""),IF($P$9&lt;&gt;0,VLOOKUP(P22/$P$9*100,TRANSMUTATION_TABLE!$A$2:$B$102,2),""),"")</f>
        <v/>
      </c>
      <c r="R22" s="5"/>
      <c r="S22" s="43" t="str">
        <f>IF(AND(B22&lt;&gt;""),IF($R$9&lt;&gt;0,VLOOKUP(R22/$R$9*100,TRANSMUTATION_TABLE!$A$2:$B$102,2),""),"")</f>
        <v/>
      </c>
      <c r="T22" s="81" t="str">
        <f t="shared" si="1"/>
        <v/>
      </c>
      <c r="U22" s="5"/>
      <c r="V22" s="42" t="str">
        <f>IF(AND(B22&lt;&gt;""),IF($U$9&lt;&gt;0,VLOOKUP(U22/$U$9*100,TRANSMUTATION_TABLE!$A$2:$B$102,2),""),"")</f>
        <v/>
      </c>
      <c r="W22" s="5"/>
      <c r="X22" s="42" t="str">
        <f>IF(AND(B22&lt;&gt;""),IF($W$9&lt;&gt;0,VLOOKUP(W22/$W$9*100,TRANSMUTATION_TABLE!$A$2:$B$102,2),""),"")</f>
        <v/>
      </c>
      <c r="Y22" s="5"/>
      <c r="Z22" s="42" t="str">
        <f>IF(AND(B22&lt;&gt;""),IF($Y$9&lt;&gt;0,VLOOKUP(Y22/$Y$9*100,TRANSMUTATION_TABLE!$A$2:$B$102,2),""),"")</f>
        <v/>
      </c>
      <c r="AA22" s="5"/>
      <c r="AB22" s="43" t="str">
        <f>IF(AND(B22&lt;&gt;""),IF($AA$9&lt;&gt;0,VLOOKUP(AA22/$AA$9*100,TRANSMUTATION_TABLE!$A$2:$B$102,2),""),"")</f>
        <v/>
      </c>
      <c r="AC22" s="81" t="str">
        <f t="shared" si="2"/>
        <v/>
      </c>
      <c r="AD22" s="53"/>
      <c r="AE22" s="42" t="str">
        <f>IF(AND(B22&lt;&gt;""),IF($AD$9&lt;&gt;0,VLOOKUP(AD22/$AD$9*100,TRANSMUTATION_TABLE!$A$2:$B$102,2),""),"")</f>
        <v/>
      </c>
      <c r="AF22" s="50">
        <f>Attendance!BE19</f>
        <v>0</v>
      </c>
      <c r="AG22" s="45" t="str">
        <f>IF(AND(B22&lt;&gt;""),IF($AF$9&lt;&gt;0,VLOOKUP(AF22/$AF$9*100,TRANSMUTATION_TABLE!$A$2:$B$102,2),""),"")</f>
        <v/>
      </c>
      <c r="AH22" s="5"/>
      <c r="AI22" s="45" t="str">
        <f>IF(AND(B22&lt;&gt;""),IF($AH$9&lt;&gt;0,VLOOKUP(AH22/$AH$9*100,TRANSMUTATION_TABLE!$A$2:$B$102,2),""),"")</f>
        <v/>
      </c>
      <c r="AJ22" s="45" t="str">
        <f>IF(OR(K22&lt;&gt;"",T22&lt;&gt;"",AC22&lt;&gt;"",AI22&lt;&gt;"",AG22),SUM(PRODUCT(K22,IF(Settings!$I$9&lt;&gt;0,Settings!$I$9/100,0)),PRODUCT(T22,IF(Settings!$I$10&lt;&gt;0,Settings!$I$10/100,0)),PRODUCT(AC22,IF(Settings!$I$11&lt;&gt;0,Settings!$I$11/100,0)),PRODUCT(AG22,IF(Settings!$I$12&lt;&gt;0,Settings!$I$12/100,0)),PRODUCT(AI22,IF(Settings!$I$13&lt;&gt;0,Settings!$I$13/100,0))),"")</f>
        <v/>
      </c>
      <c r="AK22" s="45" t="str">
        <f>Prelim!AJ22</f>
        <v/>
      </c>
      <c r="AL22" s="45" t="str">
        <f>Midterm!AL22</f>
        <v/>
      </c>
      <c r="AM22" s="46" t="str">
        <f>IF(AJ22&lt;&gt;"",AVERAGE(Prelim!AJ22,Midterm!AL22,SemiFinal!AJ22),"")</f>
        <v/>
      </c>
      <c r="AN22" s="37"/>
      <c r="AO22" s="37"/>
      <c r="AP22" s="37"/>
      <c r="AQ22" s="37"/>
      <c r="AR22" s="37"/>
      <c r="AS22" s="37"/>
    </row>
    <row r="23" spans="1:45" ht="12" customHeight="1" thickBot="1" x14ac:dyDescent="0.35">
      <c r="A23" s="52"/>
      <c r="B23" s="60"/>
      <c r="C23" s="5"/>
      <c r="D23" s="42" t="str">
        <f>IF(AND(B23&lt;&gt;""),IF($C$9&lt;&gt;0,VLOOKUP(C23/$C$9*100,TRANSMUTATION_TABLE!$A$2:$B$102,2),""),"")</f>
        <v/>
      </c>
      <c r="E23" s="5"/>
      <c r="F23" s="42" t="str">
        <f>IF(AND(B23&lt;&gt;""),IF($E$9&lt;&gt;0,VLOOKUP(E23/$E$9*100,TRANSMUTATION_TABLE!$A$2:$B$102,2),""),"")</f>
        <v/>
      </c>
      <c r="G23" s="5"/>
      <c r="H23" s="42" t="str">
        <f>IF(AND(B23&lt;&gt;""),IF($G$9&lt;&gt;0,VLOOKUP(G23/$G$9*100,TRANSMUTATION_TABLE!$A$2:$B$102,2),""),"")</f>
        <v/>
      </c>
      <c r="I23" s="5"/>
      <c r="J23" s="43" t="str">
        <f>IF(AND(B23&lt;&gt;""),IF($I$9&lt;&gt;0,VLOOKUP(I23/$I$9*100,TRANSMUTATION_TABLE!$A$2:$B$102,2),""),"")</f>
        <v/>
      </c>
      <c r="K23" s="81" t="str">
        <f t="shared" si="0"/>
        <v/>
      </c>
      <c r="L23" s="22"/>
      <c r="M23" s="42" t="str">
        <f>IF(AND(B23&lt;&gt;""),IF($L$9&lt;&gt;0,VLOOKUP(L23/$L$9*100,TRANSMUTATION_TABLE!$A$2:$B$102,2),""),"")</f>
        <v/>
      </c>
      <c r="N23" s="5"/>
      <c r="O23" s="42" t="str">
        <f>IF(AND(B23&lt;&gt;""),IF($N$9&lt;&gt;0,VLOOKUP(N23/$N$9*100,TRANSMUTATION_TABLE!$A$2:$B$102,2),""),"")</f>
        <v/>
      </c>
      <c r="P23" s="5"/>
      <c r="Q23" s="42" t="str">
        <f>IF(AND(B23&lt;&gt;""),IF($P$9&lt;&gt;0,VLOOKUP(P23/$P$9*100,TRANSMUTATION_TABLE!$A$2:$B$102,2),""),"")</f>
        <v/>
      </c>
      <c r="R23" s="5"/>
      <c r="S23" s="43" t="str">
        <f>IF(AND(B23&lt;&gt;""),IF($R$9&lt;&gt;0,VLOOKUP(R23/$R$9*100,TRANSMUTATION_TABLE!$A$2:$B$102,2),""),"")</f>
        <v/>
      </c>
      <c r="T23" s="81" t="str">
        <f t="shared" si="1"/>
        <v/>
      </c>
      <c r="U23" s="5"/>
      <c r="V23" s="42" t="str">
        <f>IF(AND(B23&lt;&gt;""),IF($U$9&lt;&gt;0,VLOOKUP(U23/$U$9*100,TRANSMUTATION_TABLE!$A$2:$B$102,2),""),"")</f>
        <v/>
      </c>
      <c r="W23" s="5"/>
      <c r="X23" s="42" t="str">
        <f>IF(AND(B23&lt;&gt;""),IF($W$9&lt;&gt;0,VLOOKUP(W23/$W$9*100,TRANSMUTATION_TABLE!$A$2:$B$102,2),""),"")</f>
        <v/>
      </c>
      <c r="Y23" s="5"/>
      <c r="Z23" s="42" t="str">
        <f>IF(AND(B23&lt;&gt;""),IF($Y$9&lt;&gt;0,VLOOKUP(Y23/$Y$9*100,TRANSMUTATION_TABLE!$A$2:$B$102,2),""),"")</f>
        <v/>
      </c>
      <c r="AA23" s="5"/>
      <c r="AB23" s="43" t="str">
        <f>IF(AND(B23&lt;&gt;""),IF($AA$9&lt;&gt;0,VLOOKUP(AA23/$AA$9*100,TRANSMUTATION_TABLE!$A$2:$B$102,2),""),"")</f>
        <v/>
      </c>
      <c r="AC23" s="81" t="str">
        <f t="shared" si="2"/>
        <v/>
      </c>
      <c r="AD23" s="53"/>
      <c r="AE23" s="42" t="str">
        <f>IF(AND(B23&lt;&gt;""),IF($AD$9&lt;&gt;0,VLOOKUP(AD23/$AD$9*100,TRANSMUTATION_TABLE!$A$2:$B$102,2),""),"")</f>
        <v/>
      </c>
      <c r="AF23" s="50">
        <f>Attendance!BE20</f>
        <v>0</v>
      </c>
      <c r="AG23" s="45" t="str">
        <f>IF(AND(B23&lt;&gt;""),IF($AF$9&lt;&gt;0,VLOOKUP(AF23/$AF$9*100,TRANSMUTATION_TABLE!$A$2:$B$102,2),""),"")</f>
        <v/>
      </c>
      <c r="AH23" s="5"/>
      <c r="AI23" s="45" t="str">
        <f>IF(AND(B23&lt;&gt;""),IF($AH$9&lt;&gt;0,VLOOKUP(AH23/$AH$9*100,TRANSMUTATION_TABLE!$A$2:$B$102,2),""),"")</f>
        <v/>
      </c>
      <c r="AJ23" s="45" t="str">
        <f>IF(OR(K23&lt;&gt;"",T23&lt;&gt;"",AC23&lt;&gt;"",AI23&lt;&gt;"",AG23),SUM(PRODUCT(K23,IF(Settings!$I$9&lt;&gt;0,Settings!$I$9/100,0)),PRODUCT(T23,IF(Settings!$I$10&lt;&gt;0,Settings!$I$10/100,0)),PRODUCT(AC23,IF(Settings!$I$11&lt;&gt;0,Settings!$I$11/100,0)),PRODUCT(AG23,IF(Settings!$I$12&lt;&gt;0,Settings!$I$12/100,0)),PRODUCT(AI23,IF(Settings!$I$13&lt;&gt;0,Settings!$I$13/100,0))),"")</f>
        <v/>
      </c>
      <c r="AK23" s="45" t="str">
        <f>Prelim!AJ23</f>
        <v/>
      </c>
      <c r="AL23" s="45" t="str">
        <f>Midterm!AL23</f>
        <v/>
      </c>
      <c r="AM23" s="46" t="str">
        <f>IF(AJ23&lt;&gt;"",AVERAGE(Prelim!AJ23,Midterm!AL23,SemiFinal!AJ23),"")</f>
        <v/>
      </c>
      <c r="AN23" s="37"/>
      <c r="AO23" s="37"/>
      <c r="AP23" s="37"/>
      <c r="AQ23" s="37"/>
      <c r="AR23" s="37"/>
      <c r="AS23" s="37"/>
    </row>
    <row r="24" spans="1:45" ht="12" customHeight="1" thickBot="1" x14ac:dyDescent="0.35">
      <c r="A24" s="54"/>
      <c r="B24" s="60"/>
      <c r="C24" s="55"/>
      <c r="D24" s="42" t="str">
        <f>IF(AND(B24&lt;&gt;""),IF($C$9&lt;&gt;0,VLOOKUP(C24/$C$9*100,TRANSMUTATION_TABLE!$A$2:$B$102,2),""),"")</f>
        <v/>
      </c>
      <c r="E24" s="55"/>
      <c r="F24" s="42" t="str">
        <f>IF(AND(B24&lt;&gt;""),IF($E$9&lt;&gt;0,VLOOKUP(E24/$E$9*100,TRANSMUTATION_TABLE!$A$2:$B$102,2),""),"")</f>
        <v/>
      </c>
      <c r="G24" s="55"/>
      <c r="H24" s="42" t="str">
        <f>IF(AND(B24&lt;&gt;""),IF($G$9&lt;&gt;0,VLOOKUP(G24/$G$9*100,TRANSMUTATION_TABLE!$A$2:$B$102,2),""),"")</f>
        <v/>
      </c>
      <c r="I24" s="55"/>
      <c r="J24" s="43" t="str">
        <f>IF(AND(B24&lt;&gt;""),IF($I$9&lt;&gt;0,VLOOKUP(I24/$I$9*100,TRANSMUTATION_TABLE!$A$2:$B$102,2),""),"")</f>
        <v/>
      </c>
      <c r="K24" s="81" t="str">
        <f t="shared" si="0"/>
        <v/>
      </c>
      <c r="L24" s="22"/>
      <c r="M24" s="42" t="str">
        <f>IF(AND(B24&lt;&gt;""),IF($L$9&lt;&gt;0,VLOOKUP(L24/$L$9*100,TRANSMUTATION_TABLE!$A$2:$B$102,2),""),"")</f>
        <v/>
      </c>
      <c r="N24" s="55"/>
      <c r="O24" s="42" t="str">
        <f>IF(AND(B24&lt;&gt;""),IF($N$9&lt;&gt;0,VLOOKUP(N24/$N$9*100,TRANSMUTATION_TABLE!$A$2:$B$102,2),""),"")</f>
        <v/>
      </c>
      <c r="P24" s="55"/>
      <c r="Q24" s="42" t="str">
        <f>IF(AND(B24&lt;&gt;""),IF($P$9&lt;&gt;0,VLOOKUP(P24/$P$9*100,TRANSMUTATION_TABLE!$A$2:$B$102,2),""),"")</f>
        <v/>
      </c>
      <c r="R24" s="55"/>
      <c r="S24" s="43" t="str">
        <f>IF(AND(B24&lt;&gt;""),IF($R$9&lt;&gt;0,VLOOKUP(R24/$R$9*100,TRANSMUTATION_TABLE!$A$2:$B$102,2),""),"")</f>
        <v/>
      </c>
      <c r="T24" s="81" t="str">
        <f t="shared" si="1"/>
        <v/>
      </c>
      <c r="U24" s="55"/>
      <c r="V24" s="42" t="str">
        <f>IF(AND(B24&lt;&gt;""),IF($U$9&lt;&gt;0,VLOOKUP(U24/$U$9*100,TRANSMUTATION_TABLE!$A$2:$B$102,2),""),"")</f>
        <v/>
      </c>
      <c r="W24" s="55"/>
      <c r="X24" s="42" t="str">
        <f>IF(AND(B24&lt;&gt;""),IF($W$9&lt;&gt;0,VLOOKUP(W24/$W$9*100,TRANSMUTATION_TABLE!$A$2:$B$102,2),""),"")</f>
        <v/>
      </c>
      <c r="Y24" s="55"/>
      <c r="Z24" s="42" t="str">
        <f>IF(AND(B24&lt;&gt;""),IF($Y$9&lt;&gt;0,VLOOKUP(Y24/$Y$9*100,TRANSMUTATION_TABLE!$A$2:$B$102,2),""),"")</f>
        <v/>
      </c>
      <c r="AA24" s="55"/>
      <c r="AB24" s="43" t="str">
        <f>IF(AND(B24&lt;&gt;""),IF($AA$9&lt;&gt;0,VLOOKUP(AA24/$AA$9*100,TRANSMUTATION_TABLE!$A$2:$B$102,2),""),"")</f>
        <v/>
      </c>
      <c r="AC24" s="81" t="str">
        <f t="shared" si="2"/>
        <v/>
      </c>
      <c r="AD24" s="56"/>
      <c r="AE24" s="42" t="str">
        <f>IF(AND(B24&lt;&gt;""),IF($AD$9&lt;&gt;0,VLOOKUP(AD24/$AD$9*100,TRANSMUTATION_TABLE!$A$2:$B$102,2),""),"")</f>
        <v/>
      </c>
      <c r="AF24" s="50">
        <f>Attendance!BE21</f>
        <v>0</v>
      </c>
      <c r="AG24" s="45" t="str">
        <f>IF(AND(B24&lt;&gt;""),IF($AF$9&lt;&gt;0,VLOOKUP(AF24/$AF$9*100,TRANSMUTATION_TABLE!$A$2:$B$102,2),""),"")</f>
        <v/>
      </c>
      <c r="AH24" s="55"/>
      <c r="AI24" s="45" t="str">
        <f>IF(AND(B24&lt;&gt;""),IF($AH$9&lt;&gt;0,VLOOKUP(AH24/$AH$9*100,TRANSMUTATION_TABLE!$A$2:$B$102,2),""),"")</f>
        <v/>
      </c>
      <c r="AJ24" s="45" t="str">
        <f>IF(OR(K24&lt;&gt;"",T24&lt;&gt;"",AC24&lt;&gt;"",AI24&lt;&gt;"",AG24),SUM(PRODUCT(K24,IF(Settings!$I$9&lt;&gt;0,Settings!$I$9/100,0)),PRODUCT(T24,IF(Settings!$I$10&lt;&gt;0,Settings!$I$10/100,0)),PRODUCT(AC24,IF(Settings!$I$11&lt;&gt;0,Settings!$I$11/100,0)),PRODUCT(AG24,IF(Settings!$I$12&lt;&gt;0,Settings!$I$12/100,0)),PRODUCT(AI24,IF(Settings!$I$13&lt;&gt;0,Settings!$I$13/100,0))),"")</f>
        <v/>
      </c>
      <c r="AK24" s="45" t="str">
        <f>Prelim!AJ24</f>
        <v/>
      </c>
      <c r="AL24" s="45" t="str">
        <f>Midterm!AL24</f>
        <v/>
      </c>
      <c r="AM24" s="46" t="str">
        <f>IF(AJ24&lt;&gt;"",AVERAGE(Prelim!AJ24,Midterm!AL24,SemiFinal!AJ24),"")</f>
        <v/>
      </c>
      <c r="AN24" s="37"/>
      <c r="AO24" s="37"/>
      <c r="AP24" s="37"/>
      <c r="AQ24" s="37"/>
      <c r="AR24" s="37"/>
      <c r="AS24" s="37"/>
    </row>
    <row r="25" spans="1:45" ht="12" customHeight="1" thickBot="1" x14ac:dyDescent="0.35">
      <c r="A25" s="47"/>
      <c r="B25" s="60"/>
      <c r="C25" s="5"/>
      <c r="D25" s="42" t="str">
        <f>IF(AND(B25&lt;&gt;""),IF($C$9&lt;&gt;0,VLOOKUP(C25/$C$9*100,TRANSMUTATION_TABLE!$A$2:$B$102,2),""),"")</f>
        <v/>
      </c>
      <c r="E25" s="5"/>
      <c r="F25" s="42" t="str">
        <f>IF(AND(B25&lt;&gt;""),IF($E$9&lt;&gt;0,VLOOKUP(E25/$E$9*100,TRANSMUTATION_TABLE!$A$2:$B$102,2),""),"")</f>
        <v/>
      </c>
      <c r="G25" s="5"/>
      <c r="H25" s="42" t="str">
        <f>IF(AND(B25&lt;&gt;""),IF($G$9&lt;&gt;0,VLOOKUP(G25/$G$9*100,TRANSMUTATION_TABLE!$A$2:$B$102,2),""),"")</f>
        <v/>
      </c>
      <c r="I25" s="5"/>
      <c r="J25" s="43" t="str">
        <f>IF(AND(B25&lt;&gt;""),IF($I$9&lt;&gt;0,VLOOKUP(I25/$I$9*100,TRANSMUTATION_TABLE!$A$2:$B$102,2),""),"")</f>
        <v/>
      </c>
      <c r="K25" s="81" t="str">
        <f t="shared" si="0"/>
        <v/>
      </c>
      <c r="L25" s="22"/>
      <c r="M25" s="42" t="str">
        <f>IF(AND(B25&lt;&gt;""),IF($L$9&lt;&gt;0,VLOOKUP(L25/$L$9*100,TRANSMUTATION_TABLE!$A$2:$B$102,2),""),"")</f>
        <v/>
      </c>
      <c r="N25" s="5"/>
      <c r="O25" s="42" t="str">
        <f>IF(AND(B25&lt;&gt;""),IF($N$9&lt;&gt;0,VLOOKUP(N25/$N$9*100,TRANSMUTATION_TABLE!$A$2:$B$102,2),""),"")</f>
        <v/>
      </c>
      <c r="P25" s="5"/>
      <c r="Q25" s="42" t="str">
        <f>IF(AND(B25&lt;&gt;""),IF($P$9&lt;&gt;0,VLOOKUP(P25/$P$9*100,TRANSMUTATION_TABLE!$A$2:$B$102,2),""),"")</f>
        <v/>
      </c>
      <c r="R25" s="5"/>
      <c r="S25" s="43" t="str">
        <f>IF(AND(B25&lt;&gt;""),IF($R$9&lt;&gt;0,VLOOKUP(R25/$R$9*100,TRANSMUTATION_TABLE!$A$2:$B$102,2),""),"")</f>
        <v/>
      </c>
      <c r="T25" s="81" t="str">
        <f t="shared" si="1"/>
        <v/>
      </c>
      <c r="U25" s="5"/>
      <c r="V25" s="42" t="str">
        <f>IF(AND(B25&lt;&gt;""),IF($U$9&lt;&gt;0,VLOOKUP(U25/$U$9*100,TRANSMUTATION_TABLE!$A$2:$B$102,2),""),"")</f>
        <v/>
      </c>
      <c r="W25" s="5"/>
      <c r="X25" s="42" t="str">
        <f>IF(AND(B25&lt;&gt;""),IF($W$9&lt;&gt;0,VLOOKUP(W25/$W$9*100,TRANSMUTATION_TABLE!$A$2:$B$102,2),""),"")</f>
        <v/>
      </c>
      <c r="Y25" s="5"/>
      <c r="Z25" s="42" t="str">
        <f>IF(AND(B25&lt;&gt;""),IF($Y$9&lt;&gt;0,VLOOKUP(Y25/$Y$9*100,TRANSMUTATION_TABLE!$A$2:$B$102,2),""),"")</f>
        <v/>
      </c>
      <c r="AA25" s="5"/>
      <c r="AB25" s="43" t="str">
        <f>IF(AND(B25&lt;&gt;""),IF($AA$9&lt;&gt;0,VLOOKUP(AA25/$AA$9*100,TRANSMUTATION_TABLE!$A$2:$B$102,2),""),"")</f>
        <v/>
      </c>
      <c r="AC25" s="81" t="str">
        <f t="shared" si="2"/>
        <v/>
      </c>
      <c r="AD25" s="58"/>
      <c r="AE25" s="42" t="str">
        <f>IF(AND(B25&lt;&gt;""),IF($AD$9&lt;&gt;0,VLOOKUP(AD25/$AD$9*100,TRANSMUTATION_TABLE!$A$2:$B$102,2),""),"")</f>
        <v/>
      </c>
      <c r="AF25" s="50">
        <f>Attendance!BE22</f>
        <v>0</v>
      </c>
      <c r="AG25" s="45" t="str">
        <f>IF(AND(B25&lt;&gt;""),IF($AF$9&lt;&gt;0,VLOOKUP(AF25/$AF$9*100,TRANSMUTATION_TABLE!$A$2:$B$102,2),""),"")</f>
        <v/>
      </c>
      <c r="AH25" s="5"/>
      <c r="AI25" s="45" t="str">
        <f>IF(AND(B25&lt;&gt;""),IF($AH$9&lt;&gt;0,VLOOKUP(AH25/$AH$9*100,TRANSMUTATION_TABLE!$A$2:$B$102,2),""),"")</f>
        <v/>
      </c>
      <c r="AJ25" s="45" t="str">
        <f>IF(OR(K25&lt;&gt;"",T25&lt;&gt;"",AC25&lt;&gt;"",AI25&lt;&gt;"",AG25),SUM(PRODUCT(K25,IF(Settings!$I$9&lt;&gt;0,Settings!$I$9/100,0)),PRODUCT(T25,IF(Settings!$I$10&lt;&gt;0,Settings!$I$10/100,0)),PRODUCT(AC25,IF(Settings!$I$11&lt;&gt;0,Settings!$I$11/100,0)),PRODUCT(AG25,IF(Settings!$I$12&lt;&gt;0,Settings!$I$12/100,0)),PRODUCT(AI25,IF(Settings!$I$13&lt;&gt;0,Settings!$I$13/100,0))),"")</f>
        <v/>
      </c>
      <c r="AK25" s="45" t="str">
        <f>Prelim!AJ25</f>
        <v/>
      </c>
      <c r="AL25" s="45" t="str">
        <f>Midterm!AL25</f>
        <v/>
      </c>
      <c r="AM25" s="46" t="str">
        <f>IF(AJ25&lt;&gt;"",AVERAGE(Prelim!AJ25,Midterm!AL25,SemiFinal!AJ25),"")</f>
        <v/>
      </c>
      <c r="AN25" s="37"/>
      <c r="AO25" s="37"/>
      <c r="AP25" s="37"/>
      <c r="AQ25" s="37"/>
      <c r="AR25" s="37"/>
      <c r="AS25" s="37"/>
    </row>
    <row r="26" spans="1:45" ht="12" customHeight="1" thickBot="1" x14ac:dyDescent="0.35">
      <c r="A26" s="52"/>
      <c r="B26" s="60"/>
      <c r="C26" s="5"/>
      <c r="D26" s="42" t="str">
        <f>IF(AND(B26&lt;&gt;""),IF($C$9&lt;&gt;0,VLOOKUP(C26/$C$9*100,TRANSMUTATION_TABLE!$A$2:$B$102,2),""),"")</f>
        <v/>
      </c>
      <c r="E26" s="5"/>
      <c r="F26" s="42" t="str">
        <f>IF(AND(B26&lt;&gt;""),IF($E$9&lt;&gt;0,VLOOKUP(E26/$E$9*100,TRANSMUTATION_TABLE!$A$2:$B$102,2),""),"")</f>
        <v/>
      </c>
      <c r="G26" s="5"/>
      <c r="H26" s="42" t="str">
        <f>IF(AND(B26&lt;&gt;""),IF($G$9&lt;&gt;0,VLOOKUP(G26/$G$9*100,TRANSMUTATION_TABLE!$A$2:$B$102,2),""),"")</f>
        <v/>
      </c>
      <c r="I26" s="5"/>
      <c r="J26" s="43" t="str">
        <f>IF(AND(B26&lt;&gt;""),IF($I$9&lt;&gt;0,VLOOKUP(I26/$I$9*100,TRANSMUTATION_TABLE!$A$2:$B$102,2),""),"")</f>
        <v/>
      </c>
      <c r="K26" s="81" t="str">
        <f t="shared" si="0"/>
        <v/>
      </c>
      <c r="L26" s="22"/>
      <c r="M26" s="42" t="str">
        <f>IF(AND(B26&lt;&gt;""),IF($L$9&lt;&gt;0,VLOOKUP(L26/$L$9*100,TRANSMUTATION_TABLE!$A$2:$B$102,2),""),"")</f>
        <v/>
      </c>
      <c r="N26" s="5"/>
      <c r="O26" s="42" t="str">
        <f>IF(AND(B26&lt;&gt;""),IF($N$9&lt;&gt;0,VLOOKUP(N26/$N$9*100,TRANSMUTATION_TABLE!$A$2:$B$102,2),""),"")</f>
        <v/>
      </c>
      <c r="P26" s="5"/>
      <c r="Q26" s="42" t="str">
        <f>IF(AND(B26&lt;&gt;""),IF($P$9&lt;&gt;0,VLOOKUP(P26/$P$9*100,TRANSMUTATION_TABLE!$A$2:$B$102,2),""),"")</f>
        <v/>
      </c>
      <c r="R26" s="5"/>
      <c r="S26" s="43" t="str">
        <f>IF(AND(B26&lt;&gt;""),IF($R$9&lt;&gt;0,VLOOKUP(R26/$R$9*100,TRANSMUTATION_TABLE!$A$2:$B$102,2),""),"")</f>
        <v/>
      </c>
      <c r="T26" s="81" t="str">
        <f t="shared" si="1"/>
        <v/>
      </c>
      <c r="U26" s="5"/>
      <c r="V26" s="42" t="str">
        <f>IF(AND(B26&lt;&gt;""),IF($U$9&lt;&gt;0,VLOOKUP(U26/$U$9*100,TRANSMUTATION_TABLE!$A$2:$B$102,2),""),"")</f>
        <v/>
      </c>
      <c r="W26" s="5"/>
      <c r="X26" s="42" t="str">
        <f>IF(AND(B26&lt;&gt;""),IF($W$9&lt;&gt;0,VLOOKUP(W26/$W$9*100,TRANSMUTATION_TABLE!$A$2:$B$102,2),""),"")</f>
        <v/>
      </c>
      <c r="Y26" s="5"/>
      <c r="Z26" s="42" t="str">
        <f>IF(AND(B26&lt;&gt;""),IF($Y$9&lt;&gt;0,VLOOKUP(Y26/$Y$9*100,TRANSMUTATION_TABLE!$A$2:$B$102,2),""),"")</f>
        <v/>
      </c>
      <c r="AA26" s="5"/>
      <c r="AB26" s="43" t="str">
        <f>IF(AND(B26&lt;&gt;""),IF($AA$9&lt;&gt;0,VLOOKUP(AA26/$AA$9*100,TRANSMUTATION_TABLE!$A$2:$B$102,2),""),"")</f>
        <v/>
      </c>
      <c r="AC26" s="81" t="str">
        <f t="shared" si="2"/>
        <v/>
      </c>
      <c r="AD26" s="53"/>
      <c r="AE26" s="42" t="str">
        <f>IF(AND(B26&lt;&gt;""),IF($AD$9&lt;&gt;0,VLOOKUP(AD26/$AD$9*100,TRANSMUTATION_TABLE!$A$2:$B$102,2),""),"")</f>
        <v/>
      </c>
      <c r="AF26" s="50">
        <f>Attendance!BE23</f>
        <v>0</v>
      </c>
      <c r="AG26" s="45" t="str">
        <f>IF(AND(B26&lt;&gt;""),IF($AF$9&lt;&gt;0,VLOOKUP(AF26/$AF$9*100,TRANSMUTATION_TABLE!$A$2:$B$102,2),""),"")</f>
        <v/>
      </c>
      <c r="AH26" s="5"/>
      <c r="AI26" s="45" t="str">
        <f>IF(AND(B26&lt;&gt;""),IF($AH$9&lt;&gt;0,VLOOKUP(AH26/$AH$9*100,TRANSMUTATION_TABLE!$A$2:$B$102,2),""),"")</f>
        <v/>
      </c>
      <c r="AJ26" s="45" t="str">
        <f>IF(OR(K26&lt;&gt;"",T26&lt;&gt;"",AC26&lt;&gt;"",AI26&lt;&gt;"",AG26),SUM(PRODUCT(K26,IF(Settings!$I$9&lt;&gt;0,Settings!$I$9/100,0)),PRODUCT(T26,IF(Settings!$I$10&lt;&gt;0,Settings!$I$10/100,0)),PRODUCT(AC26,IF(Settings!$I$11&lt;&gt;0,Settings!$I$11/100,0)),PRODUCT(AG26,IF(Settings!$I$12&lt;&gt;0,Settings!$I$12/100,0)),PRODUCT(AI26,IF(Settings!$I$13&lt;&gt;0,Settings!$I$13/100,0))),"")</f>
        <v/>
      </c>
      <c r="AK26" s="45" t="str">
        <f>Prelim!AJ26</f>
        <v/>
      </c>
      <c r="AL26" s="45" t="str">
        <f>Midterm!AL26</f>
        <v/>
      </c>
      <c r="AM26" s="46" t="str">
        <f>IF(AJ26&lt;&gt;"",AVERAGE(Prelim!AJ26,Midterm!AL26,SemiFinal!AJ26),"")</f>
        <v/>
      </c>
      <c r="AN26" s="37"/>
      <c r="AO26" s="37"/>
      <c r="AP26" s="37"/>
      <c r="AQ26" s="37"/>
      <c r="AR26" s="37"/>
      <c r="AS26" s="37"/>
    </row>
    <row r="27" spans="1:45" ht="12" customHeight="1" thickBot="1" x14ac:dyDescent="0.35">
      <c r="A27" s="52"/>
      <c r="B27" s="60"/>
      <c r="C27" s="5"/>
      <c r="D27" s="42" t="str">
        <f>IF(AND(B27&lt;&gt;""),IF($C$9&lt;&gt;0,VLOOKUP(C27/$C$9*100,TRANSMUTATION_TABLE!$A$2:$B$102,2),""),"")</f>
        <v/>
      </c>
      <c r="E27" s="5"/>
      <c r="F27" s="42" t="str">
        <f>IF(AND(B27&lt;&gt;""),IF($E$9&lt;&gt;0,VLOOKUP(E27/$E$9*100,TRANSMUTATION_TABLE!$A$2:$B$102,2),""),"")</f>
        <v/>
      </c>
      <c r="G27" s="5"/>
      <c r="H27" s="42" t="str">
        <f>IF(AND(B27&lt;&gt;""),IF($G$9&lt;&gt;0,VLOOKUP(G27/$G$9*100,TRANSMUTATION_TABLE!$A$2:$B$102,2),""),"")</f>
        <v/>
      </c>
      <c r="I27" s="5"/>
      <c r="J27" s="43" t="str">
        <f>IF(AND(B27&lt;&gt;""),IF($I$9&lt;&gt;0,VLOOKUP(I27/$I$9*100,TRANSMUTATION_TABLE!$A$2:$B$102,2),""),"")</f>
        <v/>
      </c>
      <c r="K27" s="81" t="str">
        <f t="shared" si="0"/>
        <v/>
      </c>
      <c r="L27" s="22"/>
      <c r="M27" s="42" t="str">
        <f>IF(AND(B27&lt;&gt;""),IF($L$9&lt;&gt;0,VLOOKUP(L27/$L$9*100,TRANSMUTATION_TABLE!$A$2:$B$102,2),""),"")</f>
        <v/>
      </c>
      <c r="N27" s="5"/>
      <c r="O27" s="42" t="str">
        <f>IF(AND(B27&lt;&gt;""),IF($N$9&lt;&gt;0,VLOOKUP(N27/$N$9*100,TRANSMUTATION_TABLE!$A$2:$B$102,2),""),"")</f>
        <v/>
      </c>
      <c r="P27" s="5"/>
      <c r="Q27" s="42" t="str">
        <f>IF(AND(B27&lt;&gt;""),IF($P$9&lt;&gt;0,VLOOKUP(P27/$P$9*100,TRANSMUTATION_TABLE!$A$2:$B$102,2),""),"")</f>
        <v/>
      </c>
      <c r="R27" s="5"/>
      <c r="S27" s="43" t="str">
        <f>IF(AND(B27&lt;&gt;""),IF($R$9&lt;&gt;0,VLOOKUP(R27/$R$9*100,TRANSMUTATION_TABLE!$A$2:$B$102,2),""),"")</f>
        <v/>
      </c>
      <c r="T27" s="81" t="str">
        <f t="shared" si="1"/>
        <v/>
      </c>
      <c r="U27" s="5"/>
      <c r="V27" s="42" t="str">
        <f>IF(AND(B27&lt;&gt;""),IF($U$9&lt;&gt;0,VLOOKUP(U27/$U$9*100,TRANSMUTATION_TABLE!$A$2:$B$102,2),""),"")</f>
        <v/>
      </c>
      <c r="W27" s="5"/>
      <c r="X27" s="42" t="str">
        <f>IF(AND(B27&lt;&gt;""),IF($W$9&lt;&gt;0,VLOOKUP(W27/$W$9*100,TRANSMUTATION_TABLE!$A$2:$B$102,2),""),"")</f>
        <v/>
      </c>
      <c r="Y27" s="5"/>
      <c r="Z27" s="42" t="str">
        <f>IF(AND(B27&lt;&gt;""),IF($Y$9&lt;&gt;0,VLOOKUP(Y27/$Y$9*100,TRANSMUTATION_TABLE!$A$2:$B$102,2),""),"")</f>
        <v/>
      </c>
      <c r="AA27" s="5"/>
      <c r="AB27" s="43" t="str">
        <f>IF(AND(B27&lt;&gt;""),IF($AA$9&lt;&gt;0,VLOOKUP(AA27/$AA$9*100,TRANSMUTATION_TABLE!$A$2:$B$102,2),""),"")</f>
        <v/>
      </c>
      <c r="AC27" s="81" t="str">
        <f t="shared" si="2"/>
        <v/>
      </c>
      <c r="AD27" s="53"/>
      <c r="AE27" s="42" t="str">
        <f>IF(AND(B27&lt;&gt;""),IF($AD$9&lt;&gt;0,VLOOKUP(AD27/$AD$9*100,TRANSMUTATION_TABLE!$A$2:$B$102,2),""),"")</f>
        <v/>
      </c>
      <c r="AF27" s="50">
        <f>Attendance!BE24</f>
        <v>0</v>
      </c>
      <c r="AG27" s="45" t="str">
        <f>IF(AND(B27&lt;&gt;""),IF($AF$9&lt;&gt;0,VLOOKUP(AF27/$AF$9*100,TRANSMUTATION_TABLE!$A$2:$B$102,2),""),"")</f>
        <v/>
      </c>
      <c r="AH27" s="5"/>
      <c r="AI27" s="45" t="str">
        <f>IF(AND(B27&lt;&gt;""),IF($AH$9&lt;&gt;0,VLOOKUP(AH27/$AH$9*100,TRANSMUTATION_TABLE!$A$2:$B$102,2),""),"")</f>
        <v/>
      </c>
      <c r="AJ27" s="45" t="str">
        <f>IF(OR(K27&lt;&gt;"",T27&lt;&gt;"",AC27&lt;&gt;"",AI27&lt;&gt;"",AG27),SUM(PRODUCT(K27,IF(Settings!$I$9&lt;&gt;0,Settings!$I$9/100,0)),PRODUCT(T27,IF(Settings!$I$10&lt;&gt;0,Settings!$I$10/100,0)),PRODUCT(AC27,IF(Settings!$I$11&lt;&gt;0,Settings!$I$11/100,0)),PRODUCT(AG27,IF(Settings!$I$12&lt;&gt;0,Settings!$I$12/100,0)),PRODUCT(AI27,IF(Settings!$I$13&lt;&gt;0,Settings!$I$13/100,0))),"")</f>
        <v/>
      </c>
      <c r="AK27" s="45" t="str">
        <f>Prelim!AJ27</f>
        <v/>
      </c>
      <c r="AL27" s="45" t="str">
        <f>Midterm!AL27</f>
        <v/>
      </c>
      <c r="AM27" s="46" t="str">
        <f>IF(AJ27&lt;&gt;"",AVERAGE(Prelim!AJ27,Midterm!AL27,SemiFinal!AJ27),"")</f>
        <v/>
      </c>
      <c r="AN27" s="37"/>
      <c r="AO27" s="37"/>
      <c r="AP27" s="37"/>
      <c r="AQ27" s="37"/>
      <c r="AR27" s="37"/>
      <c r="AS27" s="37"/>
    </row>
    <row r="28" spans="1:45" ht="12" customHeight="1" thickBot="1" x14ac:dyDescent="0.35">
      <c r="A28" s="52"/>
      <c r="B28" s="60"/>
      <c r="C28" s="5"/>
      <c r="D28" s="42" t="str">
        <f>IF(AND(B28&lt;&gt;""),IF($C$9&lt;&gt;0,VLOOKUP(C28/$C$9*100,TRANSMUTATION_TABLE!$A$2:$B$102,2),""),"")</f>
        <v/>
      </c>
      <c r="E28" s="5"/>
      <c r="F28" s="42" t="str">
        <f>IF(AND(B28&lt;&gt;""),IF($E$9&lt;&gt;0,VLOOKUP(E28/$E$9*100,TRANSMUTATION_TABLE!$A$2:$B$102,2),""),"")</f>
        <v/>
      </c>
      <c r="G28" s="5"/>
      <c r="H28" s="42" t="str">
        <f>IF(AND(B28&lt;&gt;""),IF($G$9&lt;&gt;0,VLOOKUP(G28/$G$9*100,TRANSMUTATION_TABLE!$A$2:$B$102,2),""),"")</f>
        <v/>
      </c>
      <c r="I28" s="5"/>
      <c r="J28" s="43" t="str">
        <f>IF(AND(B28&lt;&gt;""),IF($I$9&lt;&gt;0,VLOOKUP(I28/$I$9*100,TRANSMUTATION_TABLE!$A$2:$B$102,2),""),"")</f>
        <v/>
      </c>
      <c r="K28" s="81" t="str">
        <f t="shared" si="0"/>
        <v/>
      </c>
      <c r="L28" s="22"/>
      <c r="M28" s="42" t="str">
        <f>IF(AND(B28&lt;&gt;""),IF($L$9&lt;&gt;0,VLOOKUP(L28/$L$9*100,TRANSMUTATION_TABLE!$A$2:$B$102,2),""),"")</f>
        <v/>
      </c>
      <c r="N28" s="5"/>
      <c r="O28" s="42" t="str">
        <f>IF(AND(B28&lt;&gt;""),IF($N$9&lt;&gt;0,VLOOKUP(N28/$N$9*100,TRANSMUTATION_TABLE!$A$2:$B$102,2),""),"")</f>
        <v/>
      </c>
      <c r="P28" s="5"/>
      <c r="Q28" s="42" t="str">
        <f>IF(AND(B28&lt;&gt;""),IF($P$9&lt;&gt;0,VLOOKUP(P28/$P$9*100,TRANSMUTATION_TABLE!$A$2:$B$102,2),""),"")</f>
        <v/>
      </c>
      <c r="R28" s="5"/>
      <c r="S28" s="43" t="str">
        <f>IF(AND(B28&lt;&gt;""),IF($R$9&lt;&gt;0,VLOOKUP(R28/$R$9*100,TRANSMUTATION_TABLE!$A$2:$B$102,2),""),"")</f>
        <v/>
      </c>
      <c r="T28" s="81" t="str">
        <f t="shared" si="1"/>
        <v/>
      </c>
      <c r="U28" s="5"/>
      <c r="V28" s="42" t="str">
        <f>IF(AND(B28&lt;&gt;""),IF($U$9&lt;&gt;0,VLOOKUP(U28/$U$9*100,TRANSMUTATION_TABLE!$A$2:$B$102,2),""),"")</f>
        <v/>
      </c>
      <c r="W28" s="5"/>
      <c r="X28" s="42" t="str">
        <f>IF(AND(B28&lt;&gt;""),IF($W$9&lt;&gt;0,VLOOKUP(W28/$W$9*100,TRANSMUTATION_TABLE!$A$2:$B$102,2),""),"")</f>
        <v/>
      </c>
      <c r="Y28" s="5"/>
      <c r="Z28" s="42" t="str">
        <f>IF(AND(B28&lt;&gt;""),IF($Y$9&lt;&gt;0,VLOOKUP(Y28/$Y$9*100,TRANSMUTATION_TABLE!$A$2:$B$102,2),""),"")</f>
        <v/>
      </c>
      <c r="AA28" s="5"/>
      <c r="AB28" s="43" t="str">
        <f>IF(AND(B28&lt;&gt;""),IF($AA$9&lt;&gt;0,VLOOKUP(AA28/$AA$9*100,TRANSMUTATION_TABLE!$A$2:$B$102,2),""),"")</f>
        <v/>
      </c>
      <c r="AC28" s="81" t="str">
        <f t="shared" si="2"/>
        <v/>
      </c>
      <c r="AD28" s="53"/>
      <c r="AE28" s="42" t="str">
        <f>IF(AND(B28&lt;&gt;""),IF($AD$9&lt;&gt;0,VLOOKUP(AD28/$AD$9*100,TRANSMUTATION_TABLE!$A$2:$B$102,2),""),"")</f>
        <v/>
      </c>
      <c r="AF28" s="50">
        <f>Attendance!BE25</f>
        <v>0</v>
      </c>
      <c r="AG28" s="45" t="str">
        <f>IF(AND(B28&lt;&gt;""),IF($AF$9&lt;&gt;0,VLOOKUP(AF28/$AF$9*100,TRANSMUTATION_TABLE!$A$2:$B$102,2),""),"")</f>
        <v/>
      </c>
      <c r="AH28" s="5"/>
      <c r="AI28" s="45" t="str">
        <f>IF(AND(B28&lt;&gt;""),IF($AH$9&lt;&gt;0,VLOOKUP(AH28/$AH$9*100,TRANSMUTATION_TABLE!$A$2:$B$102,2),""),"")</f>
        <v/>
      </c>
      <c r="AJ28" s="45" t="str">
        <f>IF(OR(K28&lt;&gt;"",T28&lt;&gt;"",AC28&lt;&gt;"",AI28&lt;&gt;"",AG28),SUM(PRODUCT(K28,IF(Settings!$I$9&lt;&gt;0,Settings!$I$9/100,0)),PRODUCT(T28,IF(Settings!$I$10&lt;&gt;0,Settings!$I$10/100,0)),PRODUCT(AC28,IF(Settings!$I$11&lt;&gt;0,Settings!$I$11/100,0)),PRODUCT(AG28,IF(Settings!$I$12&lt;&gt;0,Settings!$I$12/100,0)),PRODUCT(AI28,IF(Settings!$I$13&lt;&gt;0,Settings!$I$13/100,0))),"")</f>
        <v/>
      </c>
      <c r="AK28" s="45" t="str">
        <f>Prelim!AJ28</f>
        <v/>
      </c>
      <c r="AL28" s="45" t="str">
        <f>Midterm!AL28</f>
        <v/>
      </c>
      <c r="AM28" s="46" t="str">
        <f>IF(AJ28&lt;&gt;"",AVERAGE(Prelim!AJ28,Midterm!AL28,SemiFinal!AJ28),"")</f>
        <v/>
      </c>
      <c r="AN28" s="37"/>
      <c r="AO28" s="37"/>
      <c r="AP28" s="37"/>
      <c r="AQ28" s="37"/>
      <c r="AR28" s="37"/>
      <c r="AS28" s="37"/>
    </row>
    <row r="29" spans="1:45" ht="12" customHeight="1" thickBot="1" x14ac:dyDescent="0.35">
      <c r="A29" s="54"/>
      <c r="B29" s="60"/>
      <c r="C29" s="55"/>
      <c r="D29" s="42" t="str">
        <f>IF(AND(B29&lt;&gt;""),IF($C$9&lt;&gt;0,VLOOKUP(C29/$C$9*100,TRANSMUTATION_TABLE!$A$2:$B$102,2),""),"")</f>
        <v/>
      </c>
      <c r="E29" s="55"/>
      <c r="F29" s="42" t="str">
        <f>IF(AND(B29&lt;&gt;""),IF($E$9&lt;&gt;0,VLOOKUP(E29/$E$9*100,TRANSMUTATION_TABLE!$A$2:$B$102,2),""),"")</f>
        <v/>
      </c>
      <c r="G29" s="55"/>
      <c r="H29" s="42" t="str">
        <f>IF(AND(B29&lt;&gt;""),IF($G$9&lt;&gt;0,VLOOKUP(G29/$G$9*100,TRANSMUTATION_TABLE!$A$2:$B$102,2),""),"")</f>
        <v/>
      </c>
      <c r="I29" s="55"/>
      <c r="J29" s="43" t="str">
        <f>IF(AND(B29&lt;&gt;""),IF($I$9&lt;&gt;0,VLOOKUP(I29/$I$9*100,TRANSMUTATION_TABLE!$A$2:$B$102,2),""),"")</f>
        <v/>
      </c>
      <c r="K29" s="81" t="str">
        <f t="shared" si="0"/>
        <v/>
      </c>
      <c r="L29" s="22"/>
      <c r="M29" s="42" t="str">
        <f>IF(AND(B29&lt;&gt;""),IF($L$9&lt;&gt;0,VLOOKUP(L29/$L$9*100,TRANSMUTATION_TABLE!$A$2:$B$102,2),""),"")</f>
        <v/>
      </c>
      <c r="N29" s="55"/>
      <c r="O29" s="42" t="str">
        <f>IF(AND(B29&lt;&gt;""),IF($N$9&lt;&gt;0,VLOOKUP(N29/$N$9*100,TRANSMUTATION_TABLE!$A$2:$B$102,2),""),"")</f>
        <v/>
      </c>
      <c r="P29" s="55"/>
      <c r="Q29" s="42" t="str">
        <f>IF(AND(B29&lt;&gt;""),IF($P$9&lt;&gt;0,VLOOKUP(P29/$P$9*100,TRANSMUTATION_TABLE!$A$2:$B$102,2),""),"")</f>
        <v/>
      </c>
      <c r="R29" s="55"/>
      <c r="S29" s="43" t="str">
        <f>IF(AND(B29&lt;&gt;""),IF($R$9&lt;&gt;0,VLOOKUP(R29/$R$9*100,TRANSMUTATION_TABLE!$A$2:$B$102,2),""),"")</f>
        <v/>
      </c>
      <c r="T29" s="81" t="str">
        <f t="shared" si="1"/>
        <v/>
      </c>
      <c r="U29" s="55"/>
      <c r="V29" s="42" t="str">
        <f>IF(AND(B29&lt;&gt;""),IF($U$9&lt;&gt;0,VLOOKUP(U29/$U$9*100,TRANSMUTATION_TABLE!$A$2:$B$102,2),""),"")</f>
        <v/>
      </c>
      <c r="W29" s="55"/>
      <c r="X29" s="42" t="str">
        <f>IF(AND(B29&lt;&gt;""),IF($W$9&lt;&gt;0,VLOOKUP(W29/$W$9*100,TRANSMUTATION_TABLE!$A$2:$B$102,2),""),"")</f>
        <v/>
      </c>
      <c r="Y29" s="55"/>
      <c r="Z29" s="42" t="str">
        <f>IF(AND(B29&lt;&gt;""),IF($Y$9&lt;&gt;0,VLOOKUP(Y29/$Y$9*100,TRANSMUTATION_TABLE!$A$2:$B$102,2),""),"")</f>
        <v/>
      </c>
      <c r="AA29" s="55"/>
      <c r="AB29" s="43" t="str">
        <f>IF(AND(B29&lt;&gt;""),IF($AA$9&lt;&gt;0,VLOOKUP(AA29/$AA$9*100,TRANSMUTATION_TABLE!$A$2:$B$102,2),""),"")</f>
        <v/>
      </c>
      <c r="AC29" s="81" t="str">
        <f t="shared" si="2"/>
        <v/>
      </c>
      <c r="AD29" s="56"/>
      <c r="AE29" s="42" t="str">
        <f>IF(AND(B29&lt;&gt;""),IF($AD$9&lt;&gt;0,VLOOKUP(AD29/$AD$9*100,TRANSMUTATION_TABLE!$A$2:$B$102,2),""),"")</f>
        <v/>
      </c>
      <c r="AF29" s="50">
        <f>Attendance!BE26</f>
        <v>0</v>
      </c>
      <c r="AG29" s="45" t="str">
        <f>IF(AND(B29&lt;&gt;""),IF($AF$9&lt;&gt;0,VLOOKUP(AF29/$AF$9*100,TRANSMUTATION_TABLE!$A$2:$B$102,2),""),"")</f>
        <v/>
      </c>
      <c r="AH29" s="55"/>
      <c r="AI29" s="45" t="str">
        <f>IF(AND(B29&lt;&gt;""),IF($AH$9&lt;&gt;0,VLOOKUP(AH29/$AH$9*100,TRANSMUTATION_TABLE!$A$2:$B$102,2),""),"")</f>
        <v/>
      </c>
      <c r="AJ29" s="45" t="str">
        <f>IF(OR(K29&lt;&gt;"",T29&lt;&gt;"",AC29&lt;&gt;"",AI29&lt;&gt;"",AG29),SUM(PRODUCT(K29,IF(Settings!$I$9&lt;&gt;0,Settings!$I$9/100,0)),PRODUCT(T29,IF(Settings!$I$10&lt;&gt;0,Settings!$I$10/100,0)),PRODUCT(AC29,IF(Settings!$I$11&lt;&gt;0,Settings!$I$11/100,0)),PRODUCT(AG29,IF(Settings!$I$12&lt;&gt;0,Settings!$I$12/100,0)),PRODUCT(AI29,IF(Settings!$I$13&lt;&gt;0,Settings!$I$13/100,0))),"")</f>
        <v/>
      </c>
      <c r="AK29" s="45" t="str">
        <f>Prelim!AJ29</f>
        <v/>
      </c>
      <c r="AL29" s="45" t="str">
        <f>Midterm!AL29</f>
        <v/>
      </c>
      <c r="AM29" s="46" t="str">
        <f>IF(AJ29&lt;&gt;"",AVERAGE(Prelim!AJ29,Midterm!AL29,SemiFinal!AJ29),"")</f>
        <v/>
      </c>
      <c r="AN29" s="37"/>
      <c r="AO29" s="37"/>
      <c r="AP29" s="37"/>
      <c r="AQ29" s="37"/>
      <c r="AR29" s="37"/>
      <c r="AS29" s="37"/>
    </row>
    <row r="30" spans="1:45" ht="12" customHeight="1" thickBot="1" x14ac:dyDescent="0.35">
      <c r="A30" s="47"/>
      <c r="B30" s="60"/>
      <c r="C30" s="5"/>
      <c r="D30" s="42" t="str">
        <f>IF(AND(B30&lt;&gt;""),IF($C$9&lt;&gt;0,VLOOKUP(C30/$C$9*100,TRANSMUTATION_TABLE!$A$2:$B$102,2),""),"")</f>
        <v/>
      </c>
      <c r="E30" s="5"/>
      <c r="F30" s="42" t="str">
        <f>IF(AND(B30&lt;&gt;""),IF($E$9&lt;&gt;0,VLOOKUP(E30/$E$9*100,TRANSMUTATION_TABLE!$A$2:$B$102,2),""),"")</f>
        <v/>
      </c>
      <c r="G30" s="5"/>
      <c r="H30" s="42" t="str">
        <f>IF(AND(B30&lt;&gt;""),IF($G$9&lt;&gt;0,VLOOKUP(G30/$G$9*100,TRANSMUTATION_TABLE!$A$2:$B$102,2),""),"")</f>
        <v/>
      </c>
      <c r="I30" s="5"/>
      <c r="J30" s="43" t="str">
        <f>IF(AND(B30&lt;&gt;""),IF($I$9&lt;&gt;0,VLOOKUP(I30/$I$9*100,TRANSMUTATION_TABLE!$A$2:$B$102,2),""),"")</f>
        <v/>
      </c>
      <c r="K30" s="81" t="str">
        <f t="shared" si="0"/>
        <v/>
      </c>
      <c r="L30" s="22"/>
      <c r="M30" s="42" t="str">
        <f>IF(AND(B30&lt;&gt;""),IF($L$9&lt;&gt;0,VLOOKUP(L30/$L$9*100,TRANSMUTATION_TABLE!$A$2:$B$102,2),""),"")</f>
        <v/>
      </c>
      <c r="N30" s="5"/>
      <c r="O30" s="42" t="str">
        <f>IF(AND(B30&lt;&gt;""),IF($N$9&lt;&gt;0,VLOOKUP(N30/$N$9*100,TRANSMUTATION_TABLE!$A$2:$B$102,2),""),"")</f>
        <v/>
      </c>
      <c r="P30" s="5"/>
      <c r="Q30" s="42" t="str">
        <f>IF(AND(B30&lt;&gt;""),IF($P$9&lt;&gt;0,VLOOKUP(P30/$P$9*100,TRANSMUTATION_TABLE!$A$2:$B$102,2),""),"")</f>
        <v/>
      </c>
      <c r="R30" s="5"/>
      <c r="S30" s="43" t="str">
        <f>IF(AND(B30&lt;&gt;""),IF($R$9&lt;&gt;0,VLOOKUP(R30/$R$9*100,TRANSMUTATION_TABLE!$A$2:$B$102,2),""),"")</f>
        <v/>
      </c>
      <c r="T30" s="81" t="str">
        <f t="shared" si="1"/>
        <v/>
      </c>
      <c r="U30" s="5"/>
      <c r="V30" s="42" t="str">
        <f>IF(AND(B30&lt;&gt;""),IF($U$9&lt;&gt;0,VLOOKUP(U30/$U$9*100,TRANSMUTATION_TABLE!$A$2:$B$102,2),""),"")</f>
        <v/>
      </c>
      <c r="W30" s="5"/>
      <c r="X30" s="42" t="str">
        <f>IF(AND(B30&lt;&gt;""),IF($W$9&lt;&gt;0,VLOOKUP(W30/$W$9*100,TRANSMUTATION_TABLE!$A$2:$B$102,2),""),"")</f>
        <v/>
      </c>
      <c r="Y30" s="5"/>
      <c r="Z30" s="42" t="str">
        <f>IF(AND(B30&lt;&gt;""),IF($Y$9&lt;&gt;0,VLOOKUP(Y30/$Y$9*100,TRANSMUTATION_TABLE!$A$2:$B$102,2),""),"")</f>
        <v/>
      </c>
      <c r="AA30" s="5"/>
      <c r="AB30" s="43" t="str">
        <f>IF(AND(B30&lt;&gt;""),IF($AA$9&lt;&gt;0,VLOOKUP(AA30/$AA$9*100,TRANSMUTATION_TABLE!$A$2:$B$102,2),""),"")</f>
        <v/>
      </c>
      <c r="AC30" s="81" t="str">
        <f t="shared" si="2"/>
        <v/>
      </c>
      <c r="AD30" s="58"/>
      <c r="AE30" s="42" t="str">
        <f>IF(AND(B30&lt;&gt;""),IF($AD$9&lt;&gt;0,VLOOKUP(AD30/$AD$9*100,TRANSMUTATION_TABLE!$A$2:$B$102,2),""),"")</f>
        <v/>
      </c>
      <c r="AF30" s="50">
        <f>Attendance!BE27</f>
        <v>0</v>
      </c>
      <c r="AG30" s="45" t="str">
        <f>IF(AND(B30&lt;&gt;""),IF($AF$9&lt;&gt;0,VLOOKUP(AF30/$AF$9*100,TRANSMUTATION_TABLE!$A$2:$B$102,2),""),"")</f>
        <v/>
      </c>
      <c r="AH30" s="5"/>
      <c r="AI30" s="45" t="str">
        <f>IF(AND(B30&lt;&gt;""),IF($AH$9&lt;&gt;0,VLOOKUP(AH30/$AH$9*100,TRANSMUTATION_TABLE!$A$2:$B$102,2),""),"")</f>
        <v/>
      </c>
      <c r="AJ30" s="45" t="str">
        <f>IF(OR(K30&lt;&gt;"",T30&lt;&gt;"",AC30&lt;&gt;"",AI30&lt;&gt;"",AG30),SUM(PRODUCT(K30,IF(Settings!$I$9&lt;&gt;0,Settings!$I$9/100,0)),PRODUCT(T30,IF(Settings!$I$10&lt;&gt;0,Settings!$I$10/100,0)),PRODUCT(AC30,IF(Settings!$I$11&lt;&gt;0,Settings!$I$11/100,0)),PRODUCT(AG30,IF(Settings!$I$12&lt;&gt;0,Settings!$I$12/100,0)),PRODUCT(AI30,IF(Settings!$I$13&lt;&gt;0,Settings!$I$13/100,0))),"")</f>
        <v/>
      </c>
      <c r="AK30" s="45" t="str">
        <f>Prelim!AJ30</f>
        <v/>
      </c>
      <c r="AL30" s="45" t="str">
        <f>Midterm!AL30</f>
        <v/>
      </c>
      <c r="AM30" s="46" t="str">
        <f>IF(AJ30&lt;&gt;"",AVERAGE(Prelim!AJ30,Midterm!AL30,SemiFinal!AJ30),"")</f>
        <v/>
      </c>
      <c r="AN30" s="37"/>
      <c r="AO30" s="37"/>
      <c r="AP30" s="37"/>
      <c r="AQ30" s="37"/>
      <c r="AR30" s="37"/>
      <c r="AS30" s="37"/>
    </row>
    <row r="31" spans="1:45" ht="12" customHeight="1" thickBot="1" x14ac:dyDescent="0.35">
      <c r="A31" s="52"/>
      <c r="B31" s="60"/>
      <c r="C31" s="5"/>
      <c r="D31" s="42" t="str">
        <f>IF(AND(B31&lt;&gt;""),IF($C$9&lt;&gt;0,VLOOKUP(C31/$C$9*100,TRANSMUTATION_TABLE!$A$2:$B$102,2),""),"")</f>
        <v/>
      </c>
      <c r="E31" s="5"/>
      <c r="F31" s="42" t="str">
        <f>IF(AND(B31&lt;&gt;""),IF($E$9&lt;&gt;0,VLOOKUP(E31/$E$9*100,TRANSMUTATION_TABLE!$A$2:$B$102,2),""),"")</f>
        <v/>
      </c>
      <c r="G31" s="5"/>
      <c r="H31" s="42" t="str">
        <f>IF(AND(B31&lt;&gt;""),IF($G$9&lt;&gt;0,VLOOKUP(G31/$G$9*100,TRANSMUTATION_TABLE!$A$2:$B$102,2),""),"")</f>
        <v/>
      </c>
      <c r="I31" s="5"/>
      <c r="J31" s="43" t="str">
        <f>IF(AND(B31&lt;&gt;""),IF($I$9&lt;&gt;0,VLOOKUP(I31/$I$9*100,TRANSMUTATION_TABLE!$A$2:$B$102,2),""),"")</f>
        <v/>
      </c>
      <c r="K31" s="81" t="str">
        <f t="shared" si="0"/>
        <v/>
      </c>
      <c r="L31" s="22"/>
      <c r="M31" s="42" t="str">
        <f>IF(AND(B31&lt;&gt;""),IF($L$9&lt;&gt;0,VLOOKUP(L31/$L$9*100,TRANSMUTATION_TABLE!$A$2:$B$102,2),""),"")</f>
        <v/>
      </c>
      <c r="N31" s="5"/>
      <c r="O31" s="42" t="str">
        <f>IF(AND(B31&lt;&gt;""),IF($N$9&lt;&gt;0,VLOOKUP(N31/$N$9*100,TRANSMUTATION_TABLE!$A$2:$B$102,2),""),"")</f>
        <v/>
      </c>
      <c r="P31" s="5"/>
      <c r="Q31" s="42" t="str">
        <f>IF(AND(B31&lt;&gt;""),IF($P$9&lt;&gt;0,VLOOKUP(P31/$P$9*100,TRANSMUTATION_TABLE!$A$2:$B$102,2),""),"")</f>
        <v/>
      </c>
      <c r="R31" s="5"/>
      <c r="S31" s="43" t="str">
        <f>IF(AND(B31&lt;&gt;""),IF($R$9&lt;&gt;0,VLOOKUP(R31/$R$9*100,TRANSMUTATION_TABLE!$A$2:$B$102,2),""),"")</f>
        <v/>
      </c>
      <c r="T31" s="81" t="str">
        <f t="shared" si="1"/>
        <v/>
      </c>
      <c r="U31" s="5"/>
      <c r="V31" s="42" t="str">
        <f>IF(AND(B31&lt;&gt;""),IF($U$9&lt;&gt;0,VLOOKUP(U31/$U$9*100,TRANSMUTATION_TABLE!$A$2:$B$102,2),""),"")</f>
        <v/>
      </c>
      <c r="W31" s="5"/>
      <c r="X31" s="42" t="str">
        <f>IF(AND(B31&lt;&gt;""),IF($W$9&lt;&gt;0,VLOOKUP(W31/$W$9*100,TRANSMUTATION_TABLE!$A$2:$B$102,2),""),"")</f>
        <v/>
      </c>
      <c r="Y31" s="5"/>
      <c r="Z31" s="42" t="str">
        <f>IF(AND(B31&lt;&gt;""),IF($Y$9&lt;&gt;0,VLOOKUP(Y31/$Y$9*100,TRANSMUTATION_TABLE!$A$2:$B$102,2),""),"")</f>
        <v/>
      </c>
      <c r="AA31" s="5"/>
      <c r="AB31" s="43" t="str">
        <f>IF(AND(B31&lt;&gt;""),IF($AA$9&lt;&gt;0,VLOOKUP(AA31/$AA$9*100,TRANSMUTATION_TABLE!$A$2:$B$102,2),""),"")</f>
        <v/>
      </c>
      <c r="AC31" s="81" t="str">
        <f t="shared" si="2"/>
        <v/>
      </c>
      <c r="AD31" s="53"/>
      <c r="AE31" s="42" t="str">
        <f>IF(AND(B31&lt;&gt;""),IF($AD$9&lt;&gt;0,VLOOKUP(AD31/$AD$9*100,TRANSMUTATION_TABLE!$A$2:$B$102,2),""),"")</f>
        <v/>
      </c>
      <c r="AF31" s="50">
        <f>Attendance!BE28</f>
        <v>0</v>
      </c>
      <c r="AG31" s="45" t="str">
        <f>IF(AND(B31&lt;&gt;""),IF($AF$9&lt;&gt;0,VLOOKUP(AF31/$AF$9*100,TRANSMUTATION_TABLE!$A$2:$B$102,2),""),"")</f>
        <v/>
      </c>
      <c r="AH31" s="5"/>
      <c r="AI31" s="45" t="str">
        <f>IF(AND(B31&lt;&gt;""),IF($AH$9&lt;&gt;0,VLOOKUP(AH31/$AH$9*100,TRANSMUTATION_TABLE!$A$2:$B$102,2),""),"")</f>
        <v/>
      </c>
      <c r="AJ31" s="45" t="str">
        <f>IF(OR(K31&lt;&gt;"",T31&lt;&gt;"",AC31&lt;&gt;"",AI31&lt;&gt;"",AG31),SUM(PRODUCT(K31,IF(Settings!$I$9&lt;&gt;0,Settings!$I$9/100,0)),PRODUCT(T31,IF(Settings!$I$10&lt;&gt;0,Settings!$I$10/100,0)),PRODUCT(AC31,IF(Settings!$I$11&lt;&gt;0,Settings!$I$11/100,0)),PRODUCT(AG31,IF(Settings!$I$12&lt;&gt;0,Settings!$I$12/100,0)),PRODUCT(AI31,IF(Settings!$I$13&lt;&gt;0,Settings!$I$13/100,0))),"")</f>
        <v/>
      </c>
      <c r="AK31" s="45" t="str">
        <f>Prelim!AJ31</f>
        <v/>
      </c>
      <c r="AL31" s="45" t="str">
        <f>Midterm!AL31</f>
        <v/>
      </c>
      <c r="AM31" s="46" t="str">
        <f>IF(AJ31&lt;&gt;"",AVERAGE(Prelim!AJ31,Midterm!AL31,SemiFinal!AJ31),"")</f>
        <v/>
      </c>
      <c r="AN31" s="37"/>
      <c r="AO31" s="37"/>
      <c r="AP31" s="37"/>
      <c r="AQ31" s="37"/>
      <c r="AR31" s="37"/>
      <c r="AS31" s="37"/>
    </row>
    <row r="32" spans="1:45" ht="12" customHeight="1" thickBot="1" x14ac:dyDescent="0.35">
      <c r="A32" s="52"/>
      <c r="B32" s="60"/>
      <c r="C32" s="5"/>
      <c r="D32" s="42" t="str">
        <f>IF(AND(B32&lt;&gt;""),IF($C$9&lt;&gt;0,VLOOKUP(C32/$C$9*100,TRANSMUTATION_TABLE!$A$2:$B$102,2),""),"")</f>
        <v/>
      </c>
      <c r="E32" s="5"/>
      <c r="F32" s="42" t="str">
        <f>IF(AND(B32&lt;&gt;""),IF($E$9&lt;&gt;0,VLOOKUP(E32/$E$9*100,TRANSMUTATION_TABLE!$A$2:$B$102,2),""),"")</f>
        <v/>
      </c>
      <c r="G32" s="5"/>
      <c r="H32" s="42" t="str">
        <f>IF(AND(B32&lt;&gt;""),IF($G$9&lt;&gt;0,VLOOKUP(G32/$G$9*100,TRANSMUTATION_TABLE!$A$2:$B$102,2),""),"")</f>
        <v/>
      </c>
      <c r="I32" s="5"/>
      <c r="J32" s="43" t="str">
        <f>IF(AND(B32&lt;&gt;""),IF($I$9&lt;&gt;0,VLOOKUP(I32/$I$9*100,TRANSMUTATION_TABLE!$A$2:$B$102,2),""),"")</f>
        <v/>
      </c>
      <c r="K32" s="81" t="str">
        <f t="shared" si="0"/>
        <v/>
      </c>
      <c r="L32" s="22"/>
      <c r="M32" s="42" t="str">
        <f>IF(AND(B32&lt;&gt;""),IF($L$9&lt;&gt;0,VLOOKUP(L32/$L$9*100,TRANSMUTATION_TABLE!$A$2:$B$102,2),""),"")</f>
        <v/>
      </c>
      <c r="N32" s="5"/>
      <c r="O32" s="42" t="str">
        <f>IF(AND(B32&lt;&gt;""),IF($N$9&lt;&gt;0,VLOOKUP(N32/$N$9*100,TRANSMUTATION_TABLE!$A$2:$B$102,2),""),"")</f>
        <v/>
      </c>
      <c r="P32" s="5"/>
      <c r="Q32" s="42" t="str">
        <f>IF(AND(B32&lt;&gt;""),IF($P$9&lt;&gt;0,VLOOKUP(P32/$P$9*100,TRANSMUTATION_TABLE!$A$2:$B$102,2),""),"")</f>
        <v/>
      </c>
      <c r="R32" s="5"/>
      <c r="S32" s="43" t="str">
        <f>IF(AND(B32&lt;&gt;""),IF($R$9&lt;&gt;0,VLOOKUP(R32/$R$9*100,TRANSMUTATION_TABLE!$A$2:$B$102,2),""),"")</f>
        <v/>
      </c>
      <c r="T32" s="81" t="str">
        <f t="shared" si="1"/>
        <v/>
      </c>
      <c r="U32" s="5"/>
      <c r="V32" s="42" t="str">
        <f>IF(AND(B32&lt;&gt;""),IF($U$9&lt;&gt;0,VLOOKUP(U32/$U$9*100,TRANSMUTATION_TABLE!$A$2:$B$102,2),""),"")</f>
        <v/>
      </c>
      <c r="W32" s="5"/>
      <c r="X32" s="42" t="str">
        <f>IF(AND(B32&lt;&gt;""),IF($W$9&lt;&gt;0,VLOOKUP(W32/$W$9*100,TRANSMUTATION_TABLE!$A$2:$B$102,2),""),"")</f>
        <v/>
      </c>
      <c r="Y32" s="5"/>
      <c r="Z32" s="42" t="str">
        <f>IF(AND(B32&lt;&gt;""),IF($Y$9&lt;&gt;0,VLOOKUP(Y32/$Y$9*100,TRANSMUTATION_TABLE!$A$2:$B$102,2),""),"")</f>
        <v/>
      </c>
      <c r="AA32" s="5"/>
      <c r="AB32" s="43" t="str">
        <f>IF(AND(B32&lt;&gt;""),IF($AA$9&lt;&gt;0,VLOOKUP(AA32/$AA$9*100,TRANSMUTATION_TABLE!$A$2:$B$102,2),""),"")</f>
        <v/>
      </c>
      <c r="AC32" s="81" t="str">
        <f t="shared" si="2"/>
        <v/>
      </c>
      <c r="AD32" s="53"/>
      <c r="AE32" s="42" t="str">
        <f>IF(AND(B32&lt;&gt;""),IF($AD$9&lt;&gt;0,VLOOKUP(AD32/$AD$9*100,TRANSMUTATION_TABLE!$A$2:$B$102,2),""),"")</f>
        <v/>
      </c>
      <c r="AF32" s="50">
        <f>Attendance!BE29</f>
        <v>0</v>
      </c>
      <c r="AG32" s="45" t="str">
        <f>IF(AND(B32&lt;&gt;""),IF($AF$9&lt;&gt;0,VLOOKUP(AF32/$AF$9*100,TRANSMUTATION_TABLE!$A$2:$B$102,2),""),"")</f>
        <v/>
      </c>
      <c r="AH32" s="5"/>
      <c r="AI32" s="45" t="str">
        <f>IF(AND(B32&lt;&gt;""),IF($AH$9&lt;&gt;0,VLOOKUP(AH32/$AH$9*100,TRANSMUTATION_TABLE!$A$2:$B$102,2),""),"")</f>
        <v/>
      </c>
      <c r="AJ32" s="45" t="str">
        <f>IF(OR(K32&lt;&gt;"",T32&lt;&gt;"",AC32&lt;&gt;"",AI32&lt;&gt;"",AG32),SUM(PRODUCT(K32,IF(Settings!$I$9&lt;&gt;0,Settings!$I$9/100,0)),PRODUCT(T32,IF(Settings!$I$10&lt;&gt;0,Settings!$I$10/100,0)),PRODUCT(AC32,IF(Settings!$I$11&lt;&gt;0,Settings!$I$11/100,0)),PRODUCT(AG32,IF(Settings!$I$12&lt;&gt;0,Settings!$I$12/100,0)),PRODUCT(AI32,IF(Settings!$I$13&lt;&gt;0,Settings!$I$13/100,0))),"")</f>
        <v/>
      </c>
      <c r="AK32" s="45" t="str">
        <f>Prelim!AJ32</f>
        <v/>
      </c>
      <c r="AL32" s="45" t="str">
        <f>Midterm!AL32</f>
        <v/>
      </c>
      <c r="AM32" s="46" t="str">
        <f>IF(AJ32&lt;&gt;"",AVERAGE(Prelim!AJ32,Midterm!AL32,SemiFinal!AJ32),"")</f>
        <v/>
      </c>
      <c r="AN32" s="37"/>
      <c r="AO32" s="37"/>
      <c r="AP32" s="37"/>
      <c r="AQ32" s="37"/>
      <c r="AR32" s="37"/>
      <c r="AS32" s="37"/>
    </row>
    <row r="33" spans="1:45" ht="12" customHeight="1" thickBot="1" x14ac:dyDescent="0.35">
      <c r="A33" s="52"/>
      <c r="B33" s="60"/>
      <c r="C33" s="5"/>
      <c r="D33" s="42" t="str">
        <f>IF(AND(B33&lt;&gt;""),IF($C$9&lt;&gt;0,VLOOKUP(C33/$C$9*100,TRANSMUTATION_TABLE!$A$2:$B$102,2),""),"")</f>
        <v/>
      </c>
      <c r="E33" s="5"/>
      <c r="F33" s="42" t="str">
        <f>IF(AND(B33&lt;&gt;""),IF($E$9&lt;&gt;0,VLOOKUP(E33/$E$9*100,TRANSMUTATION_TABLE!$A$2:$B$102,2),""),"")</f>
        <v/>
      </c>
      <c r="G33" s="5"/>
      <c r="H33" s="42" t="str">
        <f>IF(AND(B33&lt;&gt;""),IF($G$9&lt;&gt;0,VLOOKUP(G33/$G$9*100,TRANSMUTATION_TABLE!$A$2:$B$102,2),""),"")</f>
        <v/>
      </c>
      <c r="I33" s="5"/>
      <c r="J33" s="43" t="str">
        <f>IF(AND(B33&lt;&gt;""),IF($I$9&lt;&gt;0,VLOOKUP(I33/$I$9*100,TRANSMUTATION_TABLE!$A$2:$B$102,2),""),"")</f>
        <v/>
      </c>
      <c r="K33" s="81" t="str">
        <f t="shared" si="0"/>
        <v/>
      </c>
      <c r="L33" s="22"/>
      <c r="M33" s="42" t="str">
        <f>IF(AND(B33&lt;&gt;""),IF($L$9&lt;&gt;0,VLOOKUP(L33/$L$9*100,TRANSMUTATION_TABLE!$A$2:$B$102,2),""),"")</f>
        <v/>
      </c>
      <c r="N33" s="5"/>
      <c r="O33" s="42" t="str">
        <f>IF(AND(B33&lt;&gt;""),IF($N$9&lt;&gt;0,VLOOKUP(N33/$N$9*100,TRANSMUTATION_TABLE!$A$2:$B$102,2),""),"")</f>
        <v/>
      </c>
      <c r="P33" s="5"/>
      <c r="Q33" s="42" t="str">
        <f>IF(AND(B33&lt;&gt;""),IF($P$9&lt;&gt;0,VLOOKUP(P33/$P$9*100,TRANSMUTATION_TABLE!$A$2:$B$102,2),""),"")</f>
        <v/>
      </c>
      <c r="R33" s="5"/>
      <c r="S33" s="43" t="str">
        <f>IF(AND(B33&lt;&gt;""),IF($R$9&lt;&gt;0,VLOOKUP(R33/$R$9*100,TRANSMUTATION_TABLE!$A$2:$B$102,2),""),"")</f>
        <v/>
      </c>
      <c r="T33" s="81" t="str">
        <f t="shared" si="1"/>
        <v/>
      </c>
      <c r="U33" s="5"/>
      <c r="V33" s="42" t="str">
        <f>IF(AND(B33&lt;&gt;""),IF($U$9&lt;&gt;0,VLOOKUP(U33/$U$9*100,TRANSMUTATION_TABLE!$A$2:$B$102,2),""),"")</f>
        <v/>
      </c>
      <c r="W33" s="5"/>
      <c r="X33" s="42" t="str">
        <f>IF(AND(B33&lt;&gt;""),IF($W$9&lt;&gt;0,VLOOKUP(W33/$W$9*100,TRANSMUTATION_TABLE!$A$2:$B$102,2),""),"")</f>
        <v/>
      </c>
      <c r="Y33" s="5"/>
      <c r="Z33" s="42" t="str">
        <f>IF(AND(B33&lt;&gt;""),IF($Y$9&lt;&gt;0,VLOOKUP(Y33/$Y$9*100,TRANSMUTATION_TABLE!$A$2:$B$102,2),""),"")</f>
        <v/>
      </c>
      <c r="AA33" s="5"/>
      <c r="AB33" s="43" t="str">
        <f>IF(AND(B33&lt;&gt;""),IF($AA$9&lt;&gt;0,VLOOKUP(AA33/$AA$9*100,TRANSMUTATION_TABLE!$A$2:$B$102,2),""),"")</f>
        <v/>
      </c>
      <c r="AC33" s="81" t="str">
        <f t="shared" si="2"/>
        <v/>
      </c>
      <c r="AD33" s="53"/>
      <c r="AE33" s="42" t="str">
        <f>IF(AND(B33&lt;&gt;""),IF($AD$9&lt;&gt;0,VLOOKUP(AD33/$AD$9*100,TRANSMUTATION_TABLE!$A$2:$B$102,2),""),"")</f>
        <v/>
      </c>
      <c r="AF33" s="50">
        <f>Attendance!BE30</f>
        <v>0</v>
      </c>
      <c r="AG33" s="45" t="str">
        <f>IF(AND(B33&lt;&gt;""),IF($AF$9&lt;&gt;0,VLOOKUP(AF33/$AF$9*100,TRANSMUTATION_TABLE!$A$2:$B$102,2),""),"")</f>
        <v/>
      </c>
      <c r="AH33" s="5"/>
      <c r="AI33" s="45" t="str">
        <f>IF(AND(B33&lt;&gt;""),IF($AH$9&lt;&gt;0,VLOOKUP(AH33/$AH$9*100,TRANSMUTATION_TABLE!$A$2:$B$102,2),""),"")</f>
        <v/>
      </c>
      <c r="AJ33" s="45" t="str">
        <f>IF(OR(K33&lt;&gt;"",T33&lt;&gt;"",AC33&lt;&gt;"",AI33&lt;&gt;"",AG33),SUM(PRODUCT(K33,IF(Settings!$I$9&lt;&gt;0,Settings!$I$9/100,0)),PRODUCT(T33,IF(Settings!$I$10&lt;&gt;0,Settings!$I$10/100,0)),PRODUCT(AC33,IF(Settings!$I$11&lt;&gt;0,Settings!$I$11/100,0)),PRODUCT(AG33,IF(Settings!$I$12&lt;&gt;0,Settings!$I$12/100,0)),PRODUCT(AI33,IF(Settings!$I$13&lt;&gt;0,Settings!$I$13/100,0))),"")</f>
        <v/>
      </c>
      <c r="AK33" s="45" t="str">
        <f>Prelim!AJ33</f>
        <v/>
      </c>
      <c r="AL33" s="45" t="str">
        <f>Midterm!AL33</f>
        <v/>
      </c>
      <c r="AM33" s="46" t="str">
        <f>IF(AJ33&lt;&gt;"",AVERAGE(Prelim!AJ33,Midterm!AL33,SemiFinal!AJ33),"")</f>
        <v/>
      </c>
      <c r="AN33" s="37"/>
      <c r="AO33" s="37"/>
      <c r="AP33" s="37"/>
      <c r="AQ33" s="37"/>
      <c r="AR33" s="37"/>
      <c r="AS33" s="37"/>
    </row>
    <row r="34" spans="1:45" ht="12" customHeight="1" thickBot="1" x14ac:dyDescent="0.35">
      <c r="A34" s="54"/>
      <c r="B34" s="60"/>
      <c r="C34" s="55"/>
      <c r="D34" s="42" t="str">
        <f>IF(AND(B34&lt;&gt;""),IF($C$9&lt;&gt;0,VLOOKUP(C34/$C$9*100,TRANSMUTATION_TABLE!$A$2:$B$102,2),""),"")</f>
        <v/>
      </c>
      <c r="E34" s="55"/>
      <c r="F34" s="42" t="str">
        <f>IF(AND(B34&lt;&gt;""),IF($E$9&lt;&gt;0,VLOOKUP(E34/$E$9*100,TRANSMUTATION_TABLE!$A$2:$B$102,2),""),"")</f>
        <v/>
      </c>
      <c r="G34" s="55"/>
      <c r="H34" s="42" t="str">
        <f>IF(AND(B34&lt;&gt;""),IF($G$9&lt;&gt;0,VLOOKUP(G34/$G$9*100,TRANSMUTATION_TABLE!$A$2:$B$102,2),""),"")</f>
        <v/>
      </c>
      <c r="I34" s="55"/>
      <c r="J34" s="43" t="str">
        <f>IF(AND(B34&lt;&gt;""),IF($I$9&lt;&gt;0,VLOOKUP(I34/$I$9*100,TRANSMUTATION_TABLE!$A$2:$B$102,2),""),"")</f>
        <v/>
      </c>
      <c r="K34" s="81" t="str">
        <f t="shared" si="0"/>
        <v/>
      </c>
      <c r="L34" s="22"/>
      <c r="M34" s="42" t="str">
        <f>IF(AND(B34&lt;&gt;""),IF($L$9&lt;&gt;0,VLOOKUP(L34/$L$9*100,TRANSMUTATION_TABLE!$A$2:$B$102,2),""),"")</f>
        <v/>
      </c>
      <c r="N34" s="55"/>
      <c r="O34" s="42" t="str">
        <f>IF(AND(B34&lt;&gt;""),IF($N$9&lt;&gt;0,VLOOKUP(N34/$N$9*100,TRANSMUTATION_TABLE!$A$2:$B$102,2),""),"")</f>
        <v/>
      </c>
      <c r="P34" s="55"/>
      <c r="Q34" s="42" t="str">
        <f>IF(AND(B34&lt;&gt;""),IF($P$9&lt;&gt;0,VLOOKUP(P34/$P$9*100,TRANSMUTATION_TABLE!$A$2:$B$102,2),""),"")</f>
        <v/>
      </c>
      <c r="R34" s="55"/>
      <c r="S34" s="43" t="str">
        <f>IF(AND(B34&lt;&gt;""),IF($R$9&lt;&gt;0,VLOOKUP(R34/$R$9*100,TRANSMUTATION_TABLE!$A$2:$B$102,2),""),"")</f>
        <v/>
      </c>
      <c r="T34" s="81" t="str">
        <f t="shared" si="1"/>
        <v/>
      </c>
      <c r="U34" s="55"/>
      <c r="V34" s="42" t="str">
        <f>IF(AND(B34&lt;&gt;""),IF($U$9&lt;&gt;0,VLOOKUP(U34/$U$9*100,TRANSMUTATION_TABLE!$A$2:$B$102,2),""),"")</f>
        <v/>
      </c>
      <c r="W34" s="55"/>
      <c r="X34" s="42" t="str">
        <f>IF(AND(B34&lt;&gt;""),IF($W$9&lt;&gt;0,VLOOKUP(W34/$W$9*100,TRANSMUTATION_TABLE!$A$2:$B$102,2),""),"")</f>
        <v/>
      </c>
      <c r="Y34" s="55"/>
      <c r="Z34" s="42" t="str">
        <f>IF(AND(B34&lt;&gt;""),IF($Y$9&lt;&gt;0,VLOOKUP(Y34/$Y$9*100,TRANSMUTATION_TABLE!$A$2:$B$102,2),""),"")</f>
        <v/>
      </c>
      <c r="AA34" s="55"/>
      <c r="AB34" s="43" t="str">
        <f>IF(AND(B34&lt;&gt;""),IF($AA$9&lt;&gt;0,VLOOKUP(AA34/$AA$9*100,TRANSMUTATION_TABLE!$A$2:$B$102,2),""),"")</f>
        <v/>
      </c>
      <c r="AC34" s="81" t="str">
        <f t="shared" si="2"/>
        <v/>
      </c>
      <c r="AD34" s="56"/>
      <c r="AE34" s="42" t="str">
        <f>IF(AND(B34&lt;&gt;""),IF($AD$9&lt;&gt;0,VLOOKUP(AD34/$AD$9*100,TRANSMUTATION_TABLE!$A$2:$B$102,2),""),"")</f>
        <v/>
      </c>
      <c r="AF34" s="50">
        <f>Attendance!BE31</f>
        <v>0</v>
      </c>
      <c r="AG34" s="45" t="str">
        <f>IF(AND(B34&lt;&gt;""),IF($AF$9&lt;&gt;0,VLOOKUP(AF34/$AF$9*100,TRANSMUTATION_TABLE!$A$2:$B$102,2),""),"")</f>
        <v/>
      </c>
      <c r="AH34" s="55"/>
      <c r="AI34" s="45" t="str">
        <f>IF(AND(B34&lt;&gt;""),IF($AH$9&lt;&gt;0,VLOOKUP(AH34/$AH$9*100,TRANSMUTATION_TABLE!$A$2:$B$102,2),""),"")</f>
        <v/>
      </c>
      <c r="AJ34" s="45" t="str">
        <f>IF(OR(K34&lt;&gt;"",T34&lt;&gt;"",AC34&lt;&gt;"",AI34&lt;&gt;"",AG34),SUM(PRODUCT(K34,IF(Settings!$I$9&lt;&gt;0,Settings!$I$9/100,0)),PRODUCT(T34,IF(Settings!$I$10&lt;&gt;0,Settings!$I$10/100,0)),PRODUCT(AC34,IF(Settings!$I$11&lt;&gt;0,Settings!$I$11/100,0)),PRODUCT(AG34,IF(Settings!$I$12&lt;&gt;0,Settings!$I$12/100,0)),PRODUCT(AI34,IF(Settings!$I$13&lt;&gt;0,Settings!$I$13/100,0))),"")</f>
        <v/>
      </c>
      <c r="AK34" s="45" t="str">
        <f>Prelim!AJ34</f>
        <v/>
      </c>
      <c r="AL34" s="45" t="str">
        <f>Midterm!AL34</f>
        <v/>
      </c>
      <c r="AM34" s="46" t="str">
        <f>IF(AJ34&lt;&gt;"",AVERAGE(Prelim!AJ34,Midterm!AL34,SemiFinal!AJ34),"")</f>
        <v/>
      </c>
      <c r="AN34" s="37"/>
      <c r="AO34" s="37"/>
      <c r="AP34" s="37"/>
      <c r="AQ34" s="37"/>
      <c r="AR34" s="37"/>
      <c r="AS34" s="37"/>
    </row>
    <row r="35" spans="1:45" ht="12" customHeight="1" thickBot="1" x14ac:dyDescent="0.35">
      <c r="A35" s="47"/>
      <c r="B35" s="60"/>
      <c r="C35" s="5"/>
      <c r="D35" s="42" t="str">
        <f>IF(AND(B35&lt;&gt;""),IF($C$9&lt;&gt;0,VLOOKUP(C35/$C$9*100,TRANSMUTATION_TABLE!$A$2:$B$102,2),""),"")</f>
        <v/>
      </c>
      <c r="E35" s="5"/>
      <c r="F35" s="42" t="str">
        <f>IF(AND(B35&lt;&gt;""),IF($E$9&lt;&gt;0,VLOOKUP(E35/$E$9*100,TRANSMUTATION_TABLE!$A$2:$B$102,2),""),"")</f>
        <v/>
      </c>
      <c r="G35" s="5"/>
      <c r="H35" s="42" t="str">
        <f>IF(AND(B35&lt;&gt;""),IF($G$9&lt;&gt;0,VLOOKUP(G35/$G$9*100,TRANSMUTATION_TABLE!$A$2:$B$102,2),""),"")</f>
        <v/>
      </c>
      <c r="I35" s="5"/>
      <c r="J35" s="43" t="str">
        <f>IF(AND(B35&lt;&gt;""),IF($I$9&lt;&gt;0,VLOOKUP(I35/$I$9*100,TRANSMUTATION_TABLE!$A$2:$B$102,2),""),"")</f>
        <v/>
      </c>
      <c r="K35" s="81" t="str">
        <f t="shared" si="0"/>
        <v/>
      </c>
      <c r="L35" s="22"/>
      <c r="M35" s="42" t="str">
        <f>IF(AND(B35&lt;&gt;""),IF($L$9&lt;&gt;0,VLOOKUP(L35/$L$9*100,TRANSMUTATION_TABLE!$A$2:$B$102,2),""),"")</f>
        <v/>
      </c>
      <c r="N35" s="5"/>
      <c r="O35" s="42" t="str">
        <f>IF(AND(B35&lt;&gt;""),IF($N$9&lt;&gt;0,VLOOKUP(N35/$N$9*100,TRANSMUTATION_TABLE!$A$2:$B$102,2),""),"")</f>
        <v/>
      </c>
      <c r="P35" s="5"/>
      <c r="Q35" s="42" t="str">
        <f>IF(AND(B35&lt;&gt;""),IF($P$9&lt;&gt;0,VLOOKUP(P35/$P$9*100,TRANSMUTATION_TABLE!$A$2:$B$102,2),""),"")</f>
        <v/>
      </c>
      <c r="R35" s="5"/>
      <c r="S35" s="43" t="str">
        <f>IF(AND(B35&lt;&gt;""),IF($R$9&lt;&gt;0,VLOOKUP(R35/$R$9*100,TRANSMUTATION_TABLE!$A$2:$B$102,2),""),"")</f>
        <v/>
      </c>
      <c r="T35" s="81" t="str">
        <f t="shared" si="1"/>
        <v/>
      </c>
      <c r="U35" s="5"/>
      <c r="V35" s="42" t="str">
        <f>IF(AND(B35&lt;&gt;""),IF($U$9&lt;&gt;0,VLOOKUP(U35/$U$9*100,TRANSMUTATION_TABLE!$A$2:$B$102,2),""),"")</f>
        <v/>
      </c>
      <c r="W35" s="5"/>
      <c r="X35" s="42" t="str">
        <f>IF(AND(B35&lt;&gt;""),IF($W$9&lt;&gt;0,VLOOKUP(W35/$W$9*100,TRANSMUTATION_TABLE!$A$2:$B$102,2),""),"")</f>
        <v/>
      </c>
      <c r="Y35" s="5"/>
      <c r="Z35" s="42" t="str">
        <f>IF(AND(B35&lt;&gt;""),IF($Y$9&lt;&gt;0,VLOOKUP(Y35/$Y$9*100,TRANSMUTATION_TABLE!$A$2:$B$102,2),""),"")</f>
        <v/>
      </c>
      <c r="AA35" s="5"/>
      <c r="AB35" s="43" t="str">
        <f>IF(AND(B35&lt;&gt;""),IF($AA$9&lt;&gt;0,VLOOKUP(AA35/$AA$9*100,TRANSMUTATION_TABLE!$A$2:$B$102,2),""),"")</f>
        <v/>
      </c>
      <c r="AC35" s="81" t="str">
        <f t="shared" si="2"/>
        <v/>
      </c>
      <c r="AD35" s="58"/>
      <c r="AE35" s="42" t="str">
        <f>IF(AND(B35&lt;&gt;""),IF($AD$9&lt;&gt;0,VLOOKUP(AD35/$AD$9*100,TRANSMUTATION_TABLE!$A$2:$B$102,2),""),"")</f>
        <v/>
      </c>
      <c r="AF35" s="50">
        <f>Attendance!BE32</f>
        <v>0</v>
      </c>
      <c r="AG35" s="45" t="str">
        <f>IF(AND(B35&lt;&gt;""),IF($AF$9&lt;&gt;0,VLOOKUP(AF35/$AF$9*100,TRANSMUTATION_TABLE!$A$2:$B$102,2),""),"")</f>
        <v/>
      </c>
      <c r="AH35" s="5"/>
      <c r="AI35" s="45" t="str">
        <f>IF(AND(B35&lt;&gt;""),IF($AH$9&lt;&gt;0,VLOOKUP(AH35/$AH$9*100,TRANSMUTATION_TABLE!$A$2:$B$102,2),""),"")</f>
        <v/>
      </c>
      <c r="AJ35" s="45" t="str">
        <f>IF(OR(K35&lt;&gt;"",T35&lt;&gt;"",AC35&lt;&gt;"",AI35&lt;&gt;"",AG35),SUM(PRODUCT(K35,IF(Settings!$I$9&lt;&gt;0,Settings!$I$9/100,0)),PRODUCT(T35,IF(Settings!$I$10&lt;&gt;0,Settings!$I$10/100,0)),PRODUCT(AC35,IF(Settings!$I$11&lt;&gt;0,Settings!$I$11/100,0)),PRODUCT(AG35,IF(Settings!$I$12&lt;&gt;0,Settings!$I$12/100,0)),PRODUCT(AI35,IF(Settings!$I$13&lt;&gt;0,Settings!$I$13/100,0))),"")</f>
        <v/>
      </c>
      <c r="AK35" s="45" t="str">
        <f>Prelim!AJ35</f>
        <v/>
      </c>
      <c r="AL35" s="45" t="str">
        <f>Midterm!AL35</f>
        <v/>
      </c>
      <c r="AM35" s="46" t="str">
        <f>IF(AJ35&lt;&gt;"",AVERAGE(Prelim!AJ35,Midterm!AL35,SemiFinal!AJ35),"")</f>
        <v/>
      </c>
      <c r="AN35" s="37"/>
      <c r="AO35" s="37"/>
      <c r="AP35" s="37"/>
      <c r="AQ35" s="37"/>
      <c r="AR35" s="37"/>
      <c r="AS35" s="37"/>
    </row>
    <row r="36" spans="1:45" ht="12" customHeight="1" thickBot="1" x14ac:dyDescent="0.35">
      <c r="A36" s="52"/>
      <c r="B36" s="60"/>
      <c r="C36" s="5"/>
      <c r="D36" s="42" t="str">
        <f>IF(AND(B36&lt;&gt;""),IF($C$9&lt;&gt;0,VLOOKUP(C36/$C$9*100,TRANSMUTATION_TABLE!$A$2:$B$102,2),""),"")</f>
        <v/>
      </c>
      <c r="E36" s="5"/>
      <c r="F36" s="42" t="str">
        <f>IF(AND(B36&lt;&gt;""),IF($E$9&lt;&gt;0,VLOOKUP(E36/$E$9*100,TRANSMUTATION_TABLE!$A$2:$B$102,2),""),"")</f>
        <v/>
      </c>
      <c r="G36" s="5"/>
      <c r="H36" s="42" t="str">
        <f>IF(AND(B36&lt;&gt;""),IF($G$9&lt;&gt;0,VLOOKUP(G36/$G$9*100,TRANSMUTATION_TABLE!$A$2:$B$102,2),""),"")</f>
        <v/>
      </c>
      <c r="I36" s="5"/>
      <c r="J36" s="43" t="str">
        <f>IF(AND(B36&lt;&gt;""),IF($I$9&lt;&gt;0,VLOOKUP(I36/$I$9*100,TRANSMUTATION_TABLE!$A$2:$B$102,2),""),"")</f>
        <v/>
      </c>
      <c r="K36" s="81" t="str">
        <f t="shared" si="0"/>
        <v/>
      </c>
      <c r="L36" s="22"/>
      <c r="M36" s="42" t="str">
        <f>IF(AND(B36&lt;&gt;""),IF($L$9&lt;&gt;0,VLOOKUP(L36/$L$9*100,TRANSMUTATION_TABLE!$A$2:$B$102,2),""),"")</f>
        <v/>
      </c>
      <c r="N36" s="5"/>
      <c r="O36" s="42" t="str">
        <f>IF(AND(B36&lt;&gt;""),IF($N$9&lt;&gt;0,VLOOKUP(N36/$N$9*100,TRANSMUTATION_TABLE!$A$2:$B$102,2),""),"")</f>
        <v/>
      </c>
      <c r="P36" s="5"/>
      <c r="Q36" s="42" t="str">
        <f>IF(AND(B36&lt;&gt;""),IF($P$9&lt;&gt;0,VLOOKUP(P36/$P$9*100,TRANSMUTATION_TABLE!$A$2:$B$102,2),""),"")</f>
        <v/>
      </c>
      <c r="R36" s="5"/>
      <c r="S36" s="43" t="str">
        <f>IF(AND(B36&lt;&gt;""),IF($R$9&lt;&gt;0,VLOOKUP(R36/$R$9*100,TRANSMUTATION_TABLE!$A$2:$B$102,2),""),"")</f>
        <v/>
      </c>
      <c r="T36" s="81" t="str">
        <f t="shared" si="1"/>
        <v/>
      </c>
      <c r="U36" s="5"/>
      <c r="V36" s="42" t="str">
        <f>IF(AND(B36&lt;&gt;""),IF($U$9&lt;&gt;0,VLOOKUP(U36/$U$9*100,TRANSMUTATION_TABLE!$A$2:$B$102,2),""),"")</f>
        <v/>
      </c>
      <c r="W36" s="5"/>
      <c r="X36" s="42" t="str">
        <f>IF(AND(B36&lt;&gt;""),IF($W$9&lt;&gt;0,VLOOKUP(W36/$W$9*100,TRANSMUTATION_TABLE!$A$2:$B$102,2),""),"")</f>
        <v/>
      </c>
      <c r="Y36" s="5"/>
      <c r="Z36" s="42" t="str">
        <f>IF(AND(B36&lt;&gt;""),IF($Y$9&lt;&gt;0,VLOOKUP(Y36/$Y$9*100,TRANSMUTATION_TABLE!$A$2:$B$102,2),""),"")</f>
        <v/>
      </c>
      <c r="AA36" s="5"/>
      <c r="AB36" s="43" t="str">
        <f>IF(AND(B36&lt;&gt;""),IF($AA$9&lt;&gt;0,VLOOKUP(AA36/$AA$9*100,TRANSMUTATION_TABLE!$A$2:$B$102,2),""),"")</f>
        <v/>
      </c>
      <c r="AC36" s="81" t="str">
        <f t="shared" si="2"/>
        <v/>
      </c>
      <c r="AD36" s="53"/>
      <c r="AE36" s="42" t="str">
        <f>IF(AND(B36&lt;&gt;""),IF($AD$9&lt;&gt;0,VLOOKUP(AD36/$AD$9*100,TRANSMUTATION_TABLE!$A$2:$B$102,2),""),"")</f>
        <v/>
      </c>
      <c r="AF36" s="50">
        <f>Attendance!BE33</f>
        <v>0</v>
      </c>
      <c r="AG36" s="45" t="str">
        <f>IF(AND(B36&lt;&gt;""),IF($AF$9&lt;&gt;0,VLOOKUP(AF36/$AF$9*100,TRANSMUTATION_TABLE!$A$2:$B$102,2),""),"")</f>
        <v/>
      </c>
      <c r="AH36" s="5"/>
      <c r="AI36" s="45" t="str">
        <f>IF(AND(B36&lt;&gt;""),IF($AH$9&lt;&gt;0,VLOOKUP(AH36/$AH$9*100,TRANSMUTATION_TABLE!$A$2:$B$102,2),""),"")</f>
        <v/>
      </c>
      <c r="AJ36" s="45" t="str">
        <f>IF(OR(K36&lt;&gt;"",T36&lt;&gt;"",AC36&lt;&gt;"",AI36&lt;&gt;"",AG36),SUM(PRODUCT(K36,IF(Settings!$I$9&lt;&gt;0,Settings!$I$9/100,0)),PRODUCT(T36,IF(Settings!$I$10&lt;&gt;0,Settings!$I$10/100,0)),PRODUCT(AC36,IF(Settings!$I$11&lt;&gt;0,Settings!$I$11/100,0)),PRODUCT(AG36,IF(Settings!$I$12&lt;&gt;0,Settings!$I$12/100,0)),PRODUCT(AI36,IF(Settings!$I$13&lt;&gt;0,Settings!$I$13/100,0))),"")</f>
        <v/>
      </c>
      <c r="AK36" s="45" t="str">
        <f>Prelim!AJ36</f>
        <v/>
      </c>
      <c r="AL36" s="45" t="str">
        <f>Midterm!AL36</f>
        <v/>
      </c>
      <c r="AM36" s="46" t="str">
        <f>IF(AJ36&lt;&gt;"",AVERAGE(Prelim!AJ36,Midterm!AL36,SemiFinal!AJ36),"")</f>
        <v/>
      </c>
      <c r="AN36" s="37"/>
      <c r="AO36" s="37"/>
      <c r="AP36" s="37"/>
      <c r="AQ36" s="37"/>
      <c r="AR36" s="37"/>
      <c r="AS36" s="37"/>
    </row>
    <row r="37" spans="1:45" ht="12" customHeight="1" thickBot="1" x14ac:dyDescent="0.35">
      <c r="A37" s="52"/>
      <c r="B37" s="60"/>
      <c r="C37" s="5"/>
      <c r="D37" s="42" t="str">
        <f>IF(AND(B37&lt;&gt;""),IF($C$9&lt;&gt;0,VLOOKUP(C37/$C$9*100,TRANSMUTATION_TABLE!$A$2:$B$102,2),""),"")</f>
        <v/>
      </c>
      <c r="E37" s="5"/>
      <c r="F37" s="42" t="str">
        <f>IF(AND(B37&lt;&gt;""),IF($E$9&lt;&gt;0,VLOOKUP(E37/$E$9*100,TRANSMUTATION_TABLE!$A$2:$B$102,2),""),"")</f>
        <v/>
      </c>
      <c r="G37" s="5"/>
      <c r="H37" s="42" t="str">
        <f>IF(AND(B37&lt;&gt;""),IF($G$9&lt;&gt;0,VLOOKUP(G37/$G$9*100,TRANSMUTATION_TABLE!$A$2:$B$102,2),""),"")</f>
        <v/>
      </c>
      <c r="I37" s="5"/>
      <c r="J37" s="43" t="str">
        <f>IF(AND(B37&lt;&gt;""),IF($I$9&lt;&gt;0,VLOOKUP(I37/$I$9*100,TRANSMUTATION_TABLE!$A$2:$B$102,2),""),"")</f>
        <v/>
      </c>
      <c r="K37" s="81" t="str">
        <f t="shared" si="0"/>
        <v/>
      </c>
      <c r="L37" s="22"/>
      <c r="M37" s="42" t="str">
        <f>IF(AND(B37&lt;&gt;""),IF($L$9&lt;&gt;0,VLOOKUP(L37/$L$9*100,TRANSMUTATION_TABLE!$A$2:$B$102,2),""),"")</f>
        <v/>
      </c>
      <c r="N37" s="5"/>
      <c r="O37" s="42" t="str">
        <f>IF(AND(B37&lt;&gt;""),IF($N$9&lt;&gt;0,VLOOKUP(N37/$N$9*100,TRANSMUTATION_TABLE!$A$2:$B$102,2),""),"")</f>
        <v/>
      </c>
      <c r="P37" s="5"/>
      <c r="Q37" s="42" t="str">
        <f>IF(AND(B37&lt;&gt;""),IF($P$9&lt;&gt;0,VLOOKUP(P37/$P$9*100,TRANSMUTATION_TABLE!$A$2:$B$102,2),""),"")</f>
        <v/>
      </c>
      <c r="R37" s="5"/>
      <c r="S37" s="43" t="str">
        <f>IF(AND(B37&lt;&gt;""),IF($R$9&lt;&gt;0,VLOOKUP(R37/$R$9*100,TRANSMUTATION_TABLE!$A$2:$B$102,2),""),"")</f>
        <v/>
      </c>
      <c r="T37" s="81" t="str">
        <f t="shared" si="1"/>
        <v/>
      </c>
      <c r="U37" s="5"/>
      <c r="V37" s="42" t="str">
        <f>IF(AND(B37&lt;&gt;""),IF($U$9&lt;&gt;0,VLOOKUP(U37/$U$9*100,TRANSMUTATION_TABLE!$A$2:$B$102,2),""),"")</f>
        <v/>
      </c>
      <c r="W37" s="5"/>
      <c r="X37" s="42" t="str">
        <f>IF(AND(B37&lt;&gt;""),IF($W$9&lt;&gt;0,VLOOKUP(W37/$W$9*100,TRANSMUTATION_TABLE!$A$2:$B$102,2),""),"")</f>
        <v/>
      </c>
      <c r="Y37" s="5"/>
      <c r="Z37" s="42" t="str">
        <f>IF(AND(B37&lt;&gt;""),IF($Y$9&lt;&gt;0,VLOOKUP(Y37/$Y$9*100,TRANSMUTATION_TABLE!$A$2:$B$102,2),""),"")</f>
        <v/>
      </c>
      <c r="AA37" s="5"/>
      <c r="AB37" s="43" t="str">
        <f>IF(AND(B37&lt;&gt;""),IF($AA$9&lt;&gt;0,VLOOKUP(AA37/$AA$9*100,TRANSMUTATION_TABLE!$A$2:$B$102,2),""),"")</f>
        <v/>
      </c>
      <c r="AC37" s="81" t="str">
        <f t="shared" si="2"/>
        <v/>
      </c>
      <c r="AD37" s="53"/>
      <c r="AE37" s="42" t="str">
        <f>IF(AND(B37&lt;&gt;""),IF($AD$9&lt;&gt;0,VLOOKUP(AD37/$AD$9*100,TRANSMUTATION_TABLE!$A$2:$B$102,2),""),"")</f>
        <v/>
      </c>
      <c r="AF37" s="50">
        <f>Attendance!BE34</f>
        <v>0</v>
      </c>
      <c r="AG37" s="45" t="str">
        <f>IF(AND(B37&lt;&gt;""),IF($AF$9&lt;&gt;0,VLOOKUP(AF37/$AF$9*100,TRANSMUTATION_TABLE!$A$2:$B$102,2),""),"")</f>
        <v/>
      </c>
      <c r="AH37" s="5"/>
      <c r="AI37" s="45" t="str">
        <f>IF(AND(B37&lt;&gt;""),IF($AH$9&lt;&gt;0,VLOOKUP(AH37/$AH$9*100,TRANSMUTATION_TABLE!$A$2:$B$102,2),""),"")</f>
        <v/>
      </c>
      <c r="AJ37" s="45" t="str">
        <f>IF(OR(K37&lt;&gt;"",T37&lt;&gt;"",AC37&lt;&gt;"",AI37&lt;&gt;"",AG37),SUM(PRODUCT(K37,IF(Settings!$I$9&lt;&gt;0,Settings!$I$9/100,0)),PRODUCT(T37,IF(Settings!$I$10&lt;&gt;0,Settings!$I$10/100,0)),PRODUCT(AC37,IF(Settings!$I$11&lt;&gt;0,Settings!$I$11/100,0)),PRODUCT(AG37,IF(Settings!$I$12&lt;&gt;0,Settings!$I$12/100,0)),PRODUCT(AI37,IF(Settings!$I$13&lt;&gt;0,Settings!$I$13/100,0))),"")</f>
        <v/>
      </c>
      <c r="AK37" s="45" t="str">
        <f>Prelim!AJ37</f>
        <v/>
      </c>
      <c r="AL37" s="45" t="str">
        <f>Midterm!AL37</f>
        <v/>
      </c>
      <c r="AM37" s="46" t="str">
        <f>IF(AJ37&lt;&gt;"",AVERAGE(Prelim!AJ37,Midterm!AL37,SemiFinal!AJ37),"")</f>
        <v/>
      </c>
      <c r="AN37" s="37"/>
      <c r="AO37" s="37"/>
      <c r="AP37" s="37"/>
      <c r="AQ37" s="37"/>
      <c r="AR37" s="37"/>
      <c r="AS37" s="37"/>
    </row>
    <row r="38" spans="1:45" ht="12" customHeight="1" thickBot="1" x14ac:dyDescent="0.35">
      <c r="A38" s="52"/>
      <c r="B38" s="60"/>
      <c r="C38" s="5"/>
      <c r="D38" s="42" t="str">
        <f>IF(AND(B38&lt;&gt;""),IF($C$9&lt;&gt;0,VLOOKUP(C38/$C$9*100,TRANSMUTATION_TABLE!$A$2:$B$102,2),""),"")</f>
        <v/>
      </c>
      <c r="E38" s="5"/>
      <c r="F38" s="42" t="str">
        <f>IF(AND(B38&lt;&gt;""),IF($E$9&lt;&gt;0,VLOOKUP(E38/$E$9*100,TRANSMUTATION_TABLE!$A$2:$B$102,2),""),"")</f>
        <v/>
      </c>
      <c r="G38" s="5"/>
      <c r="H38" s="42" t="str">
        <f>IF(AND(B38&lt;&gt;""),IF($G$9&lt;&gt;0,VLOOKUP(G38/$G$9*100,TRANSMUTATION_TABLE!$A$2:$B$102,2),""),"")</f>
        <v/>
      </c>
      <c r="I38" s="5"/>
      <c r="J38" s="43" t="str">
        <f>IF(AND(B38&lt;&gt;""),IF($I$9&lt;&gt;0,VLOOKUP(I38/$I$9*100,TRANSMUTATION_TABLE!$A$2:$B$102,2),""),"")</f>
        <v/>
      </c>
      <c r="K38" s="81" t="str">
        <f t="shared" si="0"/>
        <v/>
      </c>
      <c r="L38" s="22"/>
      <c r="M38" s="42" t="str">
        <f>IF(AND(B38&lt;&gt;""),IF($L$9&lt;&gt;0,VLOOKUP(L38/$L$9*100,TRANSMUTATION_TABLE!$A$2:$B$102,2),""),"")</f>
        <v/>
      </c>
      <c r="N38" s="5"/>
      <c r="O38" s="42" t="str">
        <f>IF(AND(B38&lt;&gt;""),IF($N$9&lt;&gt;0,VLOOKUP(N38/$N$9*100,TRANSMUTATION_TABLE!$A$2:$B$102,2),""),"")</f>
        <v/>
      </c>
      <c r="P38" s="5"/>
      <c r="Q38" s="42" t="str">
        <f>IF(AND(B38&lt;&gt;""),IF($P$9&lt;&gt;0,VLOOKUP(P38/$P$9*100,TRANSMUTATION_TABLE!$A$2:$B$102,2),""),"")</f>
        <v/>
      </c>
      <c r="R38" s="5"/>
      <c r="S38" s="43" t="str">
        <f>IF(AND(B38&lt;&gt;""),IF($R$9&lt;&gt;0,VLOOKUP(R38/$R$9*100,TRANSMUTATION_TABLE!$A$2:$B$102,2),""),"")</f>
        <v/>
      </c>
      <c r="T38" s="81" t="str">
        <f t="shared" si="1"/>
        <v/>
      </c>
      <c r="U38" s="5"/>
      <c r="V38" s="42" t="str">
        <f>IF(AND(B38&lt;&gt;""),IF($U$9&lt;&gt;0,VLOOKUP(U38/$U$9*100,TRANSMUTATION_TABLE!$A$2:$B$102,2),""),"")</f>
        <v/>
      </c>
      <c r="W38" s="5"/>
      <c r="X38" s="42" t="str">
        <f>IF(AND(B38&lt;&gt;""),IF($W$9&lt;&gt;0,VLOOKUP(W38/$W$9*100,TRANSMUTATION_TABLE!$A$2:$B$102,2),""),"")</f>
        <v/>
      </c>
      <c r="Y38" s="5"/>
      <c r="Z38" s="42" t="str">
        <f>IF(AND(B38&lt;&gt;""),IF($Y$9&lt;&gt;0,VLOOKUP(Y38/$Y$9*100,TRANSMUTATION_TABLE!$A$2:$B$102,2),""),"")</f>
        <v/>
      </c>
      <c r="AA38" s="5"/>
      <c r="AB38" s="43" t="str">
        <f>IF(AND(B38&lt;&gt;""),IF($AA$9&lt;&gt;0,VLOOKUP(AA38/$AA$9*100,TRANSMUTATION_TABLE!$A$2:$B$102,2),""),"")</f>
        <v/>
      </c>
      <c r="AC38" s="81" t="str">
        <f t="shared" si="2"/>
        <v/>
      </c>
      <c r="AD38" s="53"/>
      <c r="AE38" s="42" t="str">
        <f>IF(AND(B38&lt;&gt;""),IF($AD$9&lt;&gt;0,VLOOKUP(AD38/$AD$9*100,TRANSMUTATION_TABLE!$A$2:$B$102,2),""),"")</f>
        <v/>
      </c>
      <c r="AF38" s="50">
        <f>Attendance!BE35</f>
        <v>0</v>
      </c>
      <c r="AG38" s="45" t="str">
        <f>IF(AND(B38&lt;&gt;""),IF($AF$9&lt;&gt;0,VLOOKUP(AF38/$AF$9*100,TRANSMUTATION_TABLE!$A$2:$B$102,2),""),"")</f>
        <v/>
      </c>
      <c r="AH38" s="5"/>
      <c r="AI38" s="45" t="str">
        <f>IF(AND(B38&lt;&gt;""),IF($AH$9&lt;&gt;0,VLOOKUP(AH38/$AH$9*100,TRANSMUTATION_TABLE!$A$2:$B$102,2),""),"")</f>
        <v/>
      </c>
      <c r="AJ38" s="45" t="str">
        <f>IF(OR(K38&lt;&gt;"",T38&lt;&gt;"",AC38&lt;&gt;"",AI38&lt;&gt;"",AG38),SUM(PRODUCT(K38,IF(Settings!$I$9&lt;&gt;0,Settings!$I$9/100,0)),PRODUCT(T38,IF(Settings!$I$10&lt;&gt;0,Settings!$I$10/100,0)),PRODUCT(AC38,IF(Settings!$I$11&lt;&gt;0,Settings!$I$11/100,0)),PRODUCT(AG38,IF(Settings!$I$12&lt;&gt;0,Settings!$I$12/100,0)),PRODUCT(AI38,IF(Settings!$I$13&lt;&gt;0,Settings!$I$13/100,0))),"")</f>
        <v/>
      </c>
      <c r="AK38" s="45" t="str">
        <f>Prelim!AJ38</f>
        <v/>
      </c>
      <c r="AL38" s="45" t="str">
        <f>Midterm!AL38</f>
        <v/>
      </c>
      <c r="AM38" s="46" t="str">
        <f>IF(AJ38&lt;&gt;"",AVERAGE(Prelim!AJ38,Midterm!AL38,SemiFinal!AJ38),"")</f>
        <v/>
      </c>
      <c r="AN38" s="37"/>
      <c r="AO38" s="37"/>
      <c r="AP38" s="37"/>
      <c r="AQ38" s="37"/>
      <c r="AR38" s="37"/>
      <c r="AS38" s="37"/>
    </row>
    <row r="39" spans="1:45" ht="12" customHeight="1" thickBot="1" x14ac:dyDescent="0.35">
      <c r="A39" s="54"/>
      <c r="B39" s="60"/>
      <c r="C39" s="55"/>
      <c r="D39" s="42" t="str">
        <f>IF(AND(B39&lt;&gt;""),IF($C$9&lt;&gt;0,VLOOKUP(C39/$C$9*100,TRANSMUTATION_TABLE!$A$2:$B$102,2),""),"")</f>
        <v/>
      </c>
      <c r="E39" s="55"/>
      <c r="F39" s="42" t="str">
        <f>IF(AND(B39&lt;&gt;""),IF($E$9&lt;&gt;0,VLOOKUP(E39/$E$9*100,TRANSMUTATION_TABLE!$A$2:$B$102,2),""),"")</f>
        <v/>
      </c>
      <c r="G39" s="55"/>
      <c r="H39" s="42" t="str">
        <f>IF(AND(B39&lt;&gt;""),IF($G$9&lt;&gt;0,VLOOKUP(G39/$G$9*100,TRANSMUTATION_TABLE!$A$2:$B$102,2),""),"")</f>
        <v/>
      </c>
      <c r="I39" s="55"/>
      <c r="J39" s="43" t="str">
        <f>IF(AND(B39&lt;&gt;""),IF($I$9&lt;&gt;0,VLOOKUP(I39/$I$9*100,TRANSMUTATION_TABLE!$A$2:$B$102,2),""),"")</f>
        <v/>
      </c>
      <c r="K39" s="81" t="str">
        <f t="shared" si="0"/>
        <v/>
      </c>
      <c r="L39" s="22"/>
      <c r="M39" s="42" t="str">
        <f>IF(AND(B39&lt;&gt;""),IF($L$9&lt;&gt;0,VLOOKUP(L39/$L$9*100,TRANSMUTATION_TABLE!$A$2:$B$102,2),""),"")</f>
        <v/>
      </c>
      <c r="N39" s="55"/>
      <c r="O39" s="42" t="str">
        <f>IF(AND(B39&lt;&gt;""),IF($N$9&lt;&gt;0,VLOOKUP(N39/$N$9*100,TRANSMUTATION_TABLE!$A$2:$B$102,2),""),"")</f>
        <v/>
      </c>
      <c r="P39" s="55"/>
      <c r="Q39" s="42" t="str">
        <f>IF(AND(B39&lt;&gt;""),IF($P$9&lt;&gt;0,VLOOKUP(P39/$P$9*100,TRANSMUTATION_TABLE!$A$2:$B$102,2),""),"")</f>
        <v/>
      </c>
      <c r="R39" s="55"/>
      <c r="S39" s="43" t="str">
        <f>IF(AND(B39&lt;&gt;""),IF($R$9&lt;&gt;0,VLOOKUP(R39/$R$9*100,TRANSMUTATION_TABLE!$A$2:$B$102,2),""),"")</f>
        <v/>
      </c>
      <c r="T39" s="81" t="str">
        <f t="shared" si="1"/>
        <v/>
      </c>
      <c r="U39" s="55"/>
      <c r="V39" s="42" t="str">
        <f>IF(AND(B39&lt;&gt;""),IF($U$9&lt;&gt;0,VLOOKUP(U39/$U$9*100,TRANSMUTATION_TABLE!$A$2:$B$102,2),""),"")</f>
        <v/>
      </c>
      <c r="W39" s="55"/>
      <c r="X39" s="42" t="str">
        <f>IF(AND(B39&lt;&gt;""),IF($W$9&lt;&gt;0,VLOOKUP(W39/$W$9*100,TRANSMUTATION_TABLE!$A$2:$B$102,2),""),"")</f>
        <v/>
      </c>
      <c r="Y39" s="55"/>
      <c r="Z39" s="42" t="str">
        <f>IF(AND(B39&lt;&gt;""),IF($Y$9&lt;&gt;0,VLOOKUP(Y39/$Y$9*100,TRANSMUTATION_TABLE!$A$2:$B$102,2),""),"")</f>
        <v/>
      </c>
      <c r="AA39" s="55"/>
      <c r="AB39" s="43" t="str">
        <f>IF(AND(B39&lt;&gt;""),IF($AA$9&lt;&gt;0,VLOOKUP(AA39/$AA$9*100,TRANSMUTATION_TABLE!$A$2:$B$102,2),""),"")</f>
        <v/>
      </c>
      <c r="AC39" s="81" t="str">
        <f t="shared" si="2"/>
        <v/>
      </c>
      <c r="AD39" s="56"/>
      <c r="AE39" s="42" t="str">
        <f>IF(AND(B39&lt;&gt;""),IF($AD$9&lt;&gt;0,VLOOKUP(AD39/$AD$9*100,TRANSMUTATION_TABLE!$A$2:$B$102,2),""),"")</f>
        <v/>
      </c>
      <c r="AF39" s="50">
        <f>Attendance!BE36</f>
        <v>0</v>
      </c>
      <c r="AG39" s="45" t="str">
        <f>IF(AND(B39&lt;&gt;""),IF($AF$9&lt;&gt;0,VLOOKUP(AF39/$AF$9*100,TRANSMUTATION_TABLE!$A$2:$B$102,2),""),"")</f>
        <v/>
      </c>
      <c r="AH39" s="55"/>
      <c r="AI39" s="45" t="str">
        <f>IF(AND(B39&lt;&gt;""),IF($AH$9&lt;&gt;0,VLOOKUP(AH39/$AH$9*100,TRANSMUTATION_TABLE!$A$2:$B$102,2),""),"")</f>
        <v/>
      </c>
      <c r="AJ39" s="45" t="str">
        <f>IF(OR(K39&lt;&gt;"",T39&lt;&gt;"",AC39&lt;&gt;"",AI39&lt;&gt;"",AG39),SUM(PRODUCT(K39,IF(Settings!$I$9&lt;&gt;0,Settings!$I$9/100,0)),PRODUCT(T39,IF(Settings!$I$10&lt;&gt;0,Settings!$I$10/100,0)),PRODUCT(AC39,IF(Settings!$I$11&lt;&gt;0,Settings!$I$11/100,0)),PRODUCT(AG39,IF(Settings!$I$12&lt;&gt;0,Settings!$I$12/100,0)),PRODUCT(AI39,IF(Settings!$I$13&lt;&gt;0,Settings!$I$13/100,0))),"")</f>
        <v/>
      </c>
      <c r="AK39" s="45" t="str">
        <f>Prelim!AJ39</f>
        <v/>
      </c>
      <c r="AL39" s="45" t="str">
        <f>Midterm!AL39</f>
        <v/>
      </c>
      <c r="AM39" s="46" t="str">
        <f>IF(AJ39&lt;&gt;"",AVERAGE(Prelim!AJ39,Midterm!AL39,SemiFinal!AJ39),"")</f>
        <v/>
      </c>
      <c r="AN39" s="37"/>
      <c r="AO39" s="37"/>
      <c r="AP39" s="37"/>
      <c r="AQ39" s="37"/>
      <c r="AR39" s="37"/>
      <c r="AS39" s="37"/>
    </row>
    <row r="40" spans="1:45" ht="12" customHeight="1" thickBot="1" x14ac:dyDescent="0.35">
      <c r="A40" s="47"/>
      <c r="B40" s="60"/>
      <c r="C40" s="5"/>
      <c r="D40" s="42" t="str">
        <f>IF(AND(B40&lt;&gt;""),IF($C$9&lt;&gt;0,VLOOKUP(C40/$C$9*100,TRANSMUTATION_TABLE!$A$2:$B$102,2),""),"")</f>
        <v/>
      </c>
      <c r="E40" s="5"/>
      <c r="F40" s="42" t="str">
        <f>IF(AND(B40&lt;&gt;""),IF($E$9&lt;&gt;0,VLOOKUP(E40/$E$9*100,TRANSMUTATION_TABLE!$A$2:$B$102,2),""),"")</f>
        <v/>
      </c>
      <c r="G40" s="5"/>
      <c r="H40" s="42" t="str">
        <f>IF(AND(B40&lt;&gt;""),IF($G$9&lt;&gt;0,VLOOKUP(G40/$G$9*100,TRANSMUTATION_TABLE!$A$2:$B$102,2),""),"")</f>
        <v/>
      </c>
      <c r="I40" s="5"/>
      <c r="J40" s="43" t="str">
        <f>IF(AND(B40&lt;&gt;""),IF($I$9&lt;&gt;0,VLOOKUP(I40/$I$9*100,TRANSMUTATION_TABLE!$A$2:$B$102,2),""),"")</f>
        <v/>
      </c>
      <c r="K40" s="81" t="str">
        <f t="shared" si="0"/>
        <v/>
      </c>
      <c r="L40" s="22"/>
      <c r="M40" s="42" t="str">
        <f>IF(AND(B40&lt;&gt;""),IF($L$9&lt;&gt;0,VLOOKUP(L40/$L$9*100,TRANSMUTATION_TABLE!$A$2:$B$102,2),""),"")</f>
        <v/>
      </c>
      <c r="N40" s="5"/>
      <c r="O40" s="42" t="str">
        <f>IF(AND(B40&lt;&gt;""),IF($N$9&lt;&gt;0,VLOOKUP(N40/$N$9*100,TRANSMUTATION_TABLE!$A$2:$B$102,2),""),"")</f>
        <v/>
      </c>
      <c r="P40" s="5"/>
      <c r="Q40" s="42" t="str">
        <f>IF(AND(B40&lt;&gt;""),IF($P$9&lt;&gt;0,VLOOKUP(P40/$P$9*100,TRANSMUTATION_TABLE!$A$2:$B$102,2),""),"")</f>
        <v/>
      </c>
      <c r="R40" s="5"/>
      <c r="S40" s="43" t="str">
        <f>IF(AND(B40&lt;&gt;""),IF($R$9&lt;&gt;0,VLOOKUP(R40/$R$9*100,TRANSMUTATION_TABLE!$A$2:$B$102,2),""),"")</f>
        <v/>
      </c>
      <c r="T40" s="81" t="str">
        <f t="shared" si="1"/>
        <v/>
      </c>
      <c r="U40" s="5"/>
      <c r="V40" s="42" t="str">
        <f>IF(AND(B40&lt;&gt;""),IF($U$9&lt;&gt;0,VLOOKUP(U40/$U$9*100,TRANSMUTATION_TABLE!$A$2:$B$102,2),""),"")</f>
        <v/>
      </c>
      <c r="W40" s="5"/>
      <c r="X40" s="42" t="str">
        <f>IF(AND(B40&lt;&gt;""),IF($W$9&lt;&gt;0,VLOOKUP(W40/$W$9*100,TRANSMUTATION_TABLE!$A$2:$B$102,2),""),"")</f>
        <v/>
      </c>
      <c r="Y40" s="5"/>
      <c r="Z40" s="42" t="str">
        <f>IF(AND(B40&lt;&gt;""),IF($Y$9&lt;&gt;0,VLOOKUP(Y40/$Y$9*100,TRANSMUTATION_TABLE!$A$2:$B$102,2),""),"")</f>
        <v/>
      </c>
      <c r="AA40" s="5"/>
      <c r="AB40" s="43" t="str">
        <f>IF(AND(B40&lt;&gt;""),IF($AA$9&lt;&gt;0,VLOOKUP(AA40/$AA$9*100,TRANSMUTATION_TABLE!$A$2:$B$102,2),""),"")</f>
        <v/>
      </c>
      <c r="AC40" s="81" t="str">
        <f t="shared" si="2"/>
        <v/>
      </c>
      <c r="AD40" s="58"/>
      <c r="AE40" s="42" t="str">
        <f>IF(AND(B40&lt;&gt;""),IF($AD$9&lt;&gt;0,VLOOKUP(AD40/$AD$9*100,TRANSMUTATION_TABLE!$A$2:$B$102,2),""),"")</f>
        <v/>
      </c>
      <c r="AF40" s="50">
        <f>Attendance!BE37</f>
        <v>0</v>
      </c>
      <c r="AG40" s="45" t="str">
        <f>IF(AND(B40&lt;&gt;""),IF($AF$9&lt;&gt;0,VLOOKUP(AF40/$AF$9*100,TRANSMUTATION_TABLE!$A$2:$B$102,2),""),"")</f>
        <v/>
      </c>
      <c r="AH40" s="5"/>
      <c r="AI40" s="45" t="str">
        <f>IF(AND(B40&lt;&gt;""),IF($AH$9&lt;&gt;0,VLOOKUP(AH40/$AH$9*100,TRANSMUTATION_TABLE!$A$2:$B$102,2),""),"")</f>
        <v/>
      </c>
      <c r="AJ40" s="45" t="str">
        <f>IF(OR(K40&lt;&gt;"",T40&lt;&gt;"",AC40&lt;&gt;"",AI40&lt;&gt;"",AG40),SUM(PRODUCT(K40,IF(Settings!$I$9&lt;&gt;0,Settings!$I$9/100,0)),PRODUCT(T40,IF(Settings!$I$10&lt;&gt;0,Settings!$I$10/100,0)),PRODUCT(AC40,IF(Settings!$I$11&lt;&gt;0,Settings!$I$11/100,0)),PRODUCT(AG40,IF(Settings!$I$12&lt;&gt;0,Settings!$I$12/100,0)),PRODUCT(AI40,IF(Settings!$I$13&lt;&gt;0,Settings!$I$13/100,0))),"")</f>
        <v/>
      </c>
      <c r="AK40" s="45" t="str">
        <f>Prelim!AJ40</f>
        <v/>
      </c>
      <c r="AL40" s="45" t="str">
        <f>Midterm!AL40</f>
        <v/>
      </c>
      <c r="AM40" s="46" t="str">
        <f>IF(AJ40&lt;&gt;"",AVERAGE(Prelim!AJ40,Midterm!AL40,SemiFinal!AJ40),"")</f>
        <v/>
      </c>
      <c r="AN40" s="37"/>
      <c r="AO40" s="37"/>
      <c r="AP40" s="37"/>
      <c r="AQ40" s="37"/>
      <c r="AR40" s="37"/>
      <c r="AS40" s="37"/>
    </row>
    <row r="41" spans="1:45" ht="12" customHeight="1" thickBot="1" x14ac:dyDescent="0.35">
      <c r="A41" s="52"/>
      <c r="B41" s="60"/>
      <c r="C41" s="5"/>
      <c r="D41" s="42" t="str">
        <f>IF(AND(B41&lt;&gt;""),IF($C$9&lt;&gt;0,VLOOKUP(C41/$C$9*100,TRANSMUTATION_TABLE!$A$2:$B$102,2),""),"")</f>
        <v/>
      </c>
      <c r="E41" s="5"/>
      <c r="F41" s="42" t="str">
        <f>IF(AND(B41&lt;&gt;""),IF($E$9&lt;&gt;0,VLOOKUP(E41/$E$9*100,TRANSMUTATION_TABLE!$A$2:$B$102,2),""),"")</f>
        <v/>
      </c>
      <c r="G41" s="5"/>
      <c r="H41" s="42" t="str">
        <f>IF(AND(B41&lt;&gt;""),IF($G$9&lt;&gt;0,VLOOKUP(G41/$G$9*100,TRANSMUTATION_TABLE!$A$2:$B$102,2),""),"")</f>
        <v/>
      </c>
      <c r="I41" s="5"/>
      <c r="J41" s="43" t="str">
        <f>IF(AND(B41&lt;&gt;""),IF($I$9&lt;&gt;0,VLOOKUP(I41/$I$9*100,TRANSMUTATION_TABLE!$A$2:$B$102,2),""),"")</f>
        <v/>
      </c>
      <c r="K41" s="81" t="str">
        <f t="shared" si="0"/>
        <v/>
      </c>
      <c r="L41" s="22"/>
      <c r="M41" s="42" t="str">
        <f>IF(AND(B41&lt;&gt;""),IF($L$9&lt;&gt;0,VLOOKUP(L41/$L$9*100,TRANSMUTATION_TABLE!$A$2:$B$102,2),""),"")</f>
        <v/>
      </c>
      <c r="N41" s="5"/>
      <c r="O41" s="42" t="str">
        <f>IF(AND(B41&lt;&gt;""),IF($N$9&lt;&gt;0,VLOOKUP(N41/$N$9*100,TRANSMUTATION_TABLE!$A$2:$B$102,2),""),"")</f>
        <v/>
      </c>
      <c r="P41" s="5"/>
      <c r="Q41" s="42" t="str">
        <f>IF(AND(B41&lt;&gt;""),IF($P$9&lt;&gt;0,VLOOKUP(P41/$P$9*100,TRANSMUTATION_TABLE!$A$2:$B$102,2),""),"")</f>
        <v/>
      </c>
      <c r="R41" s="5"/>
      <c r="S41" s="43" t="str">
        <f>IF(AND(B41&lt;&gt;""),IF($R$9&lt;&gt;0,VLOOKUP(R41/$R$9*100,TRANSMUTATION_TABLE!$A$2:$B$102,2),""),"")</f>
        <v/>
      </c>
      <c r="T41" s="81" t="str">
        <f t="shared" si="1"/>
        <v/>
      </c>
      <c r="U41" s="5"/>
      <c r="V41" s="42" t="str">
        <f>IF(AND(B41&lt;&gt;""),IF($U$9&lt;&gt;0,VLOOKUP(U41/$U$9*100,TRANSMUTATION_TABLE!$A$2:$B$102,2),""),"")</f>
        <v/>
      </c>
      <c r="W41" s="5"/>
      <c r="X41" s="42" t="str">
        <f>IF(AND(B41&lt;&gt;""),IF($W$9&lt;&gt;0,VLOOKUP(W41/$W$9*100,TRANSMUTATION_TABLE!$A$2:$B$102,2),""),"")</f>
        <v/>
      </c>
      <c r="Y41" s="5"/>
      <c r="Z41" s="42" t="str">
        <f>IF(AND(B41&lt;&gt;""),IF($Y$9&lt;&gt;0,VLOOKUP(Y41/$Y$9*100,TRANSMUTATION_TABLE!$A$2:$B$102,2),""),"")</f>
        <v/>
      </c>
      <c r="AA41" s="5"/>
      <c r="AB41" s="43" t="str">
        <f>IF(AND(B41&lt;&gt;""),IF($AA$9&lt;&gt;0,VLOOKUP(AA41/$AA$9*100,TRANSMUTATION_TABLE!$A$2:$B$102,2),""),"")</f>
        <v/>
      </c>
      <c r="AC41" s="81" t="str">
        <f t="shared" si="2"/>
        <v/>
      </c>
      <c r="AD41" s="53"/>
      <c r="AE41" s="42" t="str">
        <f>IF(AND(B41&lt;&gt;""),IF($AD$9&lt;&gt;0,VLOOKUP(AD41/$AD$9*100,TRANSMUTATION_TABLE!$A$2:$B$102,2),""),"")</f>
        <v/>
      </c>
      <c r="AF41" s="50">
        <f>Attendance!BE38</f>
        <v>0</v>
      </c>
      <c r="AG41" s="45" t="str">
        <f>IF(AND(B41&lt;&gt;""),IF($AF$9&lt;&gt;0,VLOOKUP(AF41/$AF$9*100,TRANSMUTATION_TABLE!$A$2:$B$102,2),""),"")</f>
        <v/>
      </c>
      <c r="AH41" s="5"/>
      <c r="AI41" s="45" t="str">
        <f>IF(AND(B41&lt;&gt;""),IF($AH$9&lt;&gt;0,VLOOKUP(AH41/$AH$9*100,TRANSMUTATION_TABLE!$A$2:$B$102,2),""),"")</f>
        <v/>
      </c>
      <c r="AJ41" s="45" t="str">
        <f>IF(OR(K41&lt;&gt;"",T41&lt;&gt;"",AC41&lt;&gt;"",AI41&lt;&gt;"",AG41),SUM(PRODUCT(K41,IF(Settings!$I$9&lt;&gt;0,Settings!$I$9/100,0)),PRODUCT(T41,IF(Settings!$I$10&lt;&gt;0,Settings!$I$10/100,0)),PRODUCT(AC41,IF(Settings!$I$11&lt;&gt;0,Settings!$I$11/100,0)),PRODUCT(AG41,IF(Settings!$I$12&lt;&gt;0,Settings!$I$12/100,0)),PRODUCT(AI41,IF(Settings!$I$13&lt;&gt;0,Settings!$I$13/100,0))),"")</f>
        <v/>
      </c>
      <c r="AK41" s="45" t="str">
        <f>Prelim!AJ41</f>
        <v/>
      </c>
      <c r="AL41" s="45" t="str">
        <f>Midterm!AL41</f>
        <v/>
      </c>
      <c r="AM41" s="46" t="str">
        <f>IF(AJ41&lt;&gt;"",AVERAGE(Prelim!AJ41,Midterm!AL41,SemiFinal!AJ41),"")</f>
        <v/>
      </c>
      <c r="AN41" s="37"/>
      <c r="AO41" s="37"/>
      <c r="AP41" s="37"/>
      <c r="AQ41" s="37"/>
      <c r="AR41" s="37"/>
      <c r="AS41" s="37"/>
    </row>
    <row r="42" spans="1:45" ht="12" customHeight="1" thickBot="1" x14ac:dyDescent="0.35">
      <c r="A42" s="52"/>
      <c r="B42" s="60"/>
      <c r="C42" s="5"/>
      <c r="D42" s="42" t="str">
        <f>IF(AND(B42&lt;&gt;""),IF($C$9&lt;&gt;0,VLOOKUP(C42/$C$9*100,TRANSMUTATION_TABLE!$A$2:$B$102,2),""),"")</f>
        <v/>
      </c>
      <c r="E42" s="5"/>
      <c r="F42" s="42" t="str">
        <f>IF(AND(B42&lt;&gt;""),IF($E$9&lt;&gt;0,VLOOKUP(E42/$E$9*100,TRANSMUTATION_TABLE!$A$2:$B$102,2),""),"")</f>
        <v/>
      </c>
      <c r="G42" s="5"/>
      <c r="H42" s="42" t="str">
        <f>IF(AND(B42&lt;&gt;""),IF($G$9&lt;&gt;0,VLOOKUP(G42/$G$9*100,TRANSMUTATION_TABLE!$A$2:$B$102,2),""),"")</f>
        <v/>
      </c>
      <c r="I42" s="5"/>
      <c r="J42" s="43" t="str">
        <f>IF(AND(B42&lt;&gt;""),IF($I$9&lt;&gt;0,VLOOKUP(I42/$I$9*100,TRANSMUTATION_TABLE!$A$2:$B$102,2),""),"")</f>
        <v/>
      </c>
      <c r="K42" s="81" t="str">
        <f t="shared" si="0"/>
        <v/>
      </c>
      <c r="L42" s="22"/>
      <c r="M42" s="42" t="str">
        <f>IF(AND(B42&lt;&gt;""),IF($L$9&lt;&gt;0,VLOOKUP(L42/$L$9*100,TRANSMUTATION_TABLE!$A$2:$B$102,2),""),"")</f>
        <v/>
      </c>
      <c r="N42" s="5"/>
      <c r="O42" s="42" t="str">
        <f>IF(AND(B42&lt;&gt;""),IF($N$9&lt;&gt;0,VLOOKUP(N42/$N$9*100,TRANSMUTATION_TABLE!$A$2:$B$102,2),""),"")</f>
        <v/>
      </c>
      <c r="P42" s="5"/>
      <c r="Q42" s="42" t="str">
        <f>IF(AND(B42&lt;&gt;""),IF($P$9&lt;&gt;0,VLOOKUP(P42/$P$9*100,TRANSMUTATION_TABLE!$A$2:$B$102,2),""),"")</f>
        <v/>
      </c>
      <c r="R42" s="5"/>
      <c r="S42" s="43" t="str">
        <f>IF(AND(B42&lt;&gt;""),IF($R$9&lt;&gt;0,VLOOKUP(R42/$R$9*100,TRANSMUTATION_TABLE!$A$2:$B$102,2),""),"")</f>
        <v/>
      </c>
      <c r="T42" s="81" t="str">
        <f t="shared" si="1"/>
        <v/>
      </c>
      <c r="U42" s="5"/>
      <c r="V42" s="42" t="str">
        <f>IF(AND(B42&lt;&gt;""),IF($U$9&lt;&gt;0,VLOOKUP(U42/$U$9*100,TRANSMUTATION_TABLE!$A$2:$B$102,2),""),"")</f>
        <v/>
      </c>
      <c r="W42" s="5"/>
      <c r="X42" s="42" t="str">
        <f>IF(AND(B42&lt;&gt;""),IF($W$9&lt;&gt;0,VLOOKUP(W42/$W$9*100,TRANSMUTATION_TABLE!$A$2:$B$102,2),""),"")</f>
        <v/>
      </c>
      <c r="Y42" s="5"/>
      <c r="Z42" s="42" t="str">
        <f>IF(AND(B42&lt;&gt;""),IF($Y$9&lt;&gt;0,VLOOKUP(Y42/$Y$9*100,TRANSMUTATION_TABLE!$A$2:$B$102,2),""),"")</f>
        <v/>
      </c>
      <c r="AA42" s="5"/>
      <c r="AB42" s="43" t="str">
        <f>IF(AND(B42&lt;&gt;""),IF($AA$9&lt;&gt;0,VLOOKUP(AA42/$AA$9*100,TRANSMUTATION_TABLE!$A$2:$B$102,2),""),"")</f>
        <v/>
      </c>
      <c r="AC42" s="81" t="str">
        <f t="shared" si="2"/>
        <v/>
      </c>
      <c r="AD42" s="53"/>
      <c r="AE42" s="42" t="str">
        <f>IF(AND(B42&lt;&gt;""),IF($AD$9&lt;&gt;0,VLOOKUP(AD42/$AD$9*100,TRANSMUTATION_TABLE!$A$2:$B$102,2),""),"")</f>
        <v/>
      </c>
      <c r="AF42" s="50">
        <f>Attendance!BE39</f>
        <v>0</v>
      </c>
      <c r="AG42" s="45" t="str">
        <f>IF(AND(B42&lt;&gt;""),IF($AF$9&lt;&gt;0,VLOOKUP(AF42/$AF$9*100,TRANSMUTATION_TABLE!$A$2:$B$102,2),""),"")</f>
        <v/>
      </c>
      <c r="AH42" s="5"/>
      <c r="AI42" s="45" t="str">
        <f>IF(AND(B42&lt;&gt;""),IF($AH$9&lt;&gt;0,VLOOKUP(AH42/$AH$9*100,TRANSMUTATION_TABLE!$A$2:$B$102,2),""),"")</f>
        <v/>
      </c>
      <c r="AJ42" s="45" t="str">
        <f>IF(OR(K42&lt;&gt;"",T42&lt;&gt;"",AC42&lt;&gt;"",AI42&lt;&gt;"",AG42),SUM(PRODUCT(K42,IF(Settings!$I$9&lt;&gt;0,Settings!$I$9/100,0)),PRODUCT(T42,IF(Settings!$I$10&lt;&gt;0,Settings!$I$10/100,0)),PRODUCT(AC42,IF(Settings!$I$11&lt;&gt;0,Settings!$I$11/100,0)),PRODUCT(AG42,IF(Settings!$I$12&lt;&gt;0,Settings!$I$12/100,0)),PRODUCT(AI42,IF(Settings!$I$13&lt;&gt;0,Settings!$I$13/100,0))),"")</f>
        <v/>
      </c>
      <c r="AK42" s="45" t="str">
        <f>Prelim!AJ42</f>
        <v/>
      </c>
      <c r="AL42" s="45" t="str">
        <f>Midterm!AL42</f>
        <v/>
      </c>
      <c r="AM42" s="46" t="str">
        <f>IF(AJ42&lt;&gt;"",AVERAGE(Prelim!AJ42,Midterm!AL42,SemiFinal!AJ42),"")</f>
        <v/>
      </c>
      <c r="AN42" s="37"/>
      <c r="AO42" s="37"/>
      <c r="AP42" s="37"/>
      <c r="AQ42" s="37"/>
      <c r="AR42" s="37"/>
      <c r="AS42" s="37"/>
    </row>
    <row r="43" spans="1:45" ht="12" customHeight="1" thickBot="1" x14ac:dyDescent="0.35">
      <c r="A43" s="52"/>
      <c r="B43" s="60"/>
      <c r="C43" s="5"/>
      <c r="D43" s="42" t="str">
        <f>IF(AND(B43&lt;&gt;""),IF($C$9&lt;&gt;0,VLOOKUP(C43/$C$9*100,TRANSMUTATION_TABLE!$A$2:$B$102,2),""),"")</f>
        <v/>
      </c>
      <c r="E43" s="5"/>
      <c r="F43" s="42" t="str">
        <f>IF(AND(B43&lt;&gt;""),IF($E$9&lt;&gt;0,VLOOKUP(E43/$E$9*100,TRANSMUTATION_TABLE!$A$2:$B$102,2),""),"")</f>
        <v/>
      </c>
      <c r="G43" s="5"/>
      <c r="H43" s="42" t="str">
        <f>IF(AND(B43&lt;&gt;""),IF($G$9&lt;&gt;0,VLOOKUP(G43/$G$9*100,TRANSMUTATION_TABLE!$A$2:$B$102,2),""),"")</f>
        <v/>
      </c>
      <c r="I43" s="5"/>
      <c r="J43" s="43" t="str">
        <f>IF(AND(B43&lt;&gt;""),IF($I$9&lt;&gt;0,VLOOKUP(I43/$I$9*100,TRANSMUTATION_TABLE!$A$2:$B$102,2),""),"")</f>
        <v/>
      </c>
      <c r="K43" s="81" t="str">
        <f t="shared" si="0"/>
        <v/>
      </c>
      <c r="L43" s="22"/>
      <c r="M43" s="42" t="str">
        <f>IF(AND(B43&lt;&gt;""),IF($L$9&lt;&gt;0,VLOOKUP(L43/$L$9*100,TRANSMUTATION_TABLE!$A$2:$B$102,2),""),"")</f>
        <v/>
      </c>
      <c r="N43" s="5"/>
      <c r="O43" s="42" t="str">
        <f>IF(AND(B43&lt;&gt;""),IF($N$9&lt;&gt;0,VLOOKUP(N43/$N$9*100,TRANSMUTATION_TABLE!$A$2:$B$102,2),""),"")</f>
        <v/>
      </c>
      <c r="P43" s="5"/>
      <c r="Q43" s="42" t="str">
        <f>IF(AND(B43&lt;&gt;""),IF($P$9&lt;&gt;0,VLOOKUP(P43/$P$9*100,TRANSMUTATION_TABLE!$A$2:$B$102,2),""),"")</f>
        <v/>
      </c>
      <c r="R43" s="5"/>
      <c r="S43" s="43" t="str">
        <f>IF(AND(B43&lt;&gt;""),IF($R$9&lt;&gt;0,VLOOKUP(R43/$R$9*100,TRANSMUTATION_TABLE!$A$2:$B$102,2),""),"")</f>
        <v/>
      </c>
      <c r="T43" s="81" t="str">
        <f t="shared" si="1"/>
        <v/>
      </c>
      <c r="U43" s="5"/>
      <c r="V43" s="42" t="str">
        <f>IF(AND(B43&lt;&gt;""),IF($U$9&lt;&gt;0,VLOOKUP(U43/$U$9*100,TRANSMUTATION_TABLE!$A$2:$B$102,2),""),"")</f>
        <v/>
      </c>
      <c r="W43" s="5"/>
      <c r="X43" s="42" t="str">
        <f>IF(AND(B43&lt;&gt;""),IF($W$9&lt;&gt;0,VLOOKUP(W43/$W$9*100,TRANSMUTATION_TABLE!$A$2:$B$102,2),""),"")</f>
        <v/>
      </c>
      <c r="Y43" s="5"/>
      <c r="Z43" s="42" t="str">
        <f>IF(AND(B43&lt;&gt;""),IF($Y$9&lt;&gt;0,VLOOKUP(Y43/$Y$9*100,TRANSMUTATION_TABLE!$A$2:$B$102,2),""),"")</f>
        <v/>
      </c>
      <c r="AA43" s="5"/>
      <c r="AB43" s="43" t="str">
        <f>IF(AND(B43&lt;&gt;""),IF($AA$9&lt;&gt;0,VLOOKUP(AA43/$AA$9*100,TRANSMUTATION_TABLE!$A$2:$B$102,2),""),"")</f>
        <v/>
      </c>
      <c r="AC43" s="81" t="str">
        <f t="shared" si="2"/>
        <v/>
      </c>
      <c r="AD43" s="53"/>
      <c r="AE43" s="42" t="str">
        <f>IF(AND(B43&lt;&gt;""),IF($AD$9&lt;&gt;0,VLOOKUP(AD43/$AD$9*100,TRANSMUTATION_TABLE!$A$2:$B$102,2),""),"")</f>
        <v/>
      </c>
      <c r="AF43" s="50">
        <f>Attendance!BE40</f>
        <v>0</v>
      </c>
      <c r="AG43" s="45" t="str">
        <f>IF(AND(B43&lt;&gt;""),IF($AF$9&lt;&gt;0,VLOOKUP(AF43/$AF$9*100,TRANSMUTATION_TABLE!$A$2:$B$102,2),""),"")</f>
        <v/>
      </c>
      <c r="AH43" s="5"/>
      <c r="AI43" s="45" t="str">
        <f>IF(AND(B43&lt;&gt;""),IF($AH$9&lt;&gt;0,VLOOKUP(AH43/$AH$9*100,TRANSMUTATION_TABLE!$A$2:$B$102,2),""),"")</f>
        <v/>
      </c>
      <c r="AJ43" s="45" t="str">
        <f>IF(OR(K43&lt;&gt;"",T43&lt;&gt;"",AC43&lt;&gt;"",AI43&lt;&gt;"",AG43),SUM(PRODUCT(K43,IF(Settings!$I$9&lt;&gt;0,Settings!$I$9/100,0)),PRODUCT(T43,IF(Settings!$I$10&lt;&gt;0,Settings!$I$10/100,0)),PRODUCT(AC43,IF(Settings!$I$11&lt;&gt;0,Settings!$I$11/100,0)),PRODUCT(AG43,IF(Settings!$I$12&lt;&gt;0,Settings!$I$12/100,0)),PRODUCT(AI43,IF(Settings!$I$13&lt;&gt;0,Settings!$I$13/100,0))),"")</f>
        <v/>
      </c>
      <c r="AK43" s="45" t="str">
        <f>Prelim!AJ43</f>
        <v/>
      </c>
      <c r="AL43" s="45" t="str">
        <f>Midterm!AL43</f>
        <v/>
      </c>
      <c r="AM43" s="46" t="str">
        <f>IF(AJ43&lt;&gt;"",AVERAGE(Prelim!AJ43,Midterm!AL43,SemiFinal!AJ43),"")</f>
        <v/>
      </c>
      <c r="AN43" s="37"/>
      <c r="AO43" s="37"/>
      <c r="AP43" s="37"/>
      <c r="AQ43" s="37"/>
      <c r="AR43" s="37"/>
      <c r="AS43" s="37"/>
    </row>
    <row r="44" spans="1:45" ht="12" customHeight="1" thickBot="1" x14ac:dyDescent="0.35">
      <c r="A44" s="54"/>
      <c r="B44" s="60"/>
      <c r="C44" s="55"/>
      <c r="D44" s="42" t="str">
        <f>IF(AND(B44&lt;&gt;""),IF($C$9&lt;&gt;0,VLOOKUP(C44/$C$9*100,TRANSMUTATION_TABLE!$A$2:$B$102,2),""),"")</f>
        <v/>
      </c>
      <c r="E44" s="55"/>
      <c r="F44" s="42" t="str">
        <f>IF(AND(B44&lt;&gt;""),IF($E$9&lt;&gt;0,VLOOKUP(E44/$E$9*100,TRANSMUTATION_TABLE!$A$2:$B$102,2),""),"")</f>
        <v/>
      </c>
      <c r="G44" s="55"/>
      <c r="H44" s="42" t="str">
        <f>IF(AND(B44&lt;&gt;""),IF($G$9&lt;&gt;0,VLOOKUP(G44/$G$9*100,TRANSMUTATION_TABLE!$A$2:$B$102,2),""),"")</f>
        <v/>
      </c>
      <c r="I44" s="55"/>
      <c r="J44" s="43" t="str">
        <f>IF(AND(B44&lt;&gt;""),IF($I$9&lt;&gt;0,VLOOKUP(I44/$I$9*100,TRANSMUTATION_TABLE!$A$2:$B$102,2),""),"")</f>
        <v/>
      </c>
      <c r="K44" s="81" t="str">
        <f t="shared" si="0"/>
        <v/>
      </c>
      <c r="L44" s="22"/>
      <c r="M44" s="42" t="str">
        <f>IF(AND(B44&lt;&gt;""),IF($L$9&lt;&gt;0,VLOOKUP(L44/$L$9*100,TRANSMUTATION_TABLE!$A$2:$B$102,2),""),"")</f>
        <v/>
      </c>
      <c r="N44" s="55"/>
      <c r="O44" s="42" t="str">
        <f>IF(AND(B44&lt;&gt;""),IF($N$9&lt;&gt;0,VLOOKUP(N44/$N$9*100,TRANSMUTATION_TABLE!$A$2:$B$102,2),""),"")</f>
        <v/>
      </c>
      <c r="P44" s="55"/>
      <c r="Q44" s="42" t="str">
        <f>IF(AND(B44&lt;&gt;""),IF($P$9&lt;&gt;0,VLOOKUP(P44/$P$9*100,TRANSMUTATION_TABLE!$A$2:$B$102,2),""),"")</f>
        <v/>
      </c>
      <c r="R44" s="55"/>
      <c r="S44" s="43" t="str">
        <f>IF(AND(B44&lt;&gt;""),IF($R$9&lt;&gt;0,VLOOKUP(R44/$R$9*100,TRANSMUTATION_TABLE!$A$2:$B$102,2),""),"")</f>
        <v/>
      </c>
      <c r="T44" s="81" t="str">
        <f t="shared" si="1"/>
        <v/>
      </c>
      <c r="U44" s="55"/>
      <c r="V44" s="42" t="str">
        <f>IF(AND(B44&lt;&gt;""),IF($U$9&lt;&gt;0,VLOOKUP(U44/$U$9*100,TRANSMUTATION_TABLE!$A$2:$B$102,2),""),"")</f>
        <v/>
      </c>
      <c r="W44" s="55"/>
      <c r="X44" s="42" t="str">
        <f>IF(AND(B44&lt;&gt;""),IF($W$9&lt;&gt;0,VLOOKUP(W44/$W$9*100,TRANSMUTATION_TABLE!$A$2:$B$102,2),""),"")</f>
        <v/>
      </c>
      <c r="Y44" s="55"/>
      <c r="Z44" s="42" t="str">
        <f>IF(AND(B44&lt;&gt;""),IF($Y$9&lt;&gt;0,VLOOKUP(Y44/$Y$9*100,TRANSMUTATION_TABLE!$A$2:$B$102,2),""),"")</f>
        <v/>
      </c>
      <c r="AA44" s="55"/>
      <c r="AB44" s="43" t="str">
        <f>IF(AND(B44&lt;&gt;""),IF($AA$9&lt;&gt;0,VLOOKUP(AA44/$AA$9*100,TRANSMUTATION_TABLE!$A$2:$B$102,2),""),"")</f>
        <v/>
      </c>
      <c r="AC44" s="81" t="str">
        <f t="shared" si="2"/>
        <v/>
      </c>
      <c r="AD44" s="56"/>
      <c r="AE44" s="42" t="str">
        <f>IF(AND(B44&lt;&gt;""),IF($AD$9&lt;&gt;0,VLOOKUP(AD44/$AD$9*100,TRANSMUTATION_TABLE!$A$2:$B$102,2),""),"")</f>
        <v/>
      </c>
      <c r="AF44" s="50">
        <f>Attendance!BE41</f>
        <v>0</v>
      </c>
      <c r="AG44" s="45" t="str">
        <f>IF(AND(B44&lt;&gt;""),IF($AF$9&lt;&gt;0,VLOOKUP(AF44/$AF$9*100,TRANSMUTATION_TABLE!$A$2:$B$102,2),""),"")</f>
        <v/>
      </c>
      <c r="AH44" s="55"/>
      <c r="AI44" s="45" t="str">
        <f>IF(AND(B44&lt;&gt;""),IF($AH$9&lt;&gt;0,VLOOKUP(AH44/$AH$9*100,TRANSMUTATION_TABLE!$A$2:$B$102,2),""),"")</f>
        <v/>
      </c>
      <c r="AJ44" s="45" t="str">
        <f>IF(OR(K44&lt;&gt;"",T44&lt;&gt;"",AC44&lt;&gt;"",AI44&lt;&gt;"",AG44),SUM(PRODUCT(K44,IF(Settings!$I$9&lt;&gt;0,Settings!$I$9/100,0)),PRODUCT(T44,IF(Settings!$I$10&lt;&gt;0,Settings!$I$10/100,0)),PRODUCT(AC44,IF(Settings!$I$11&lt;&gt;0,Settings!$I$11/100,0)),PRODUCT(AG44,IF(Settings!$I$12&lt;&gt;0,Settings!$I$12/100,0)),PRODUCT(AI44,IF(Settings!$I$13&lt;&gt;0,Settings!$I$13/100,0))),"")</f>
        <v/>
      </c>
      <c r="AK44" s="45" t="str">
        <f>Prelim!AJ44</f>
        <v/>
      </c>
      <c r="AL44" s="45" t="str">
        <f>Midterm!AL44</f>
        <v/>
      </c>
      <c r="AM44" s="46" t="str">
        <f>IF(AJ44&lt;&gt;"",AVERAGE(Prelim!AJ44,Midterm!AL44,SemiFinal!AJ44),"")</f>
        <v/>
      </c>
      <c r="AN44" s="37"/>
      <c r="AO44" s="37"/>
      <c r="AP44" s="37"/>
      <c r="AQ44" s="37"/>
      <c r="AR44" s="37"/>
      <c r="AS44" s="37"/>
    </row>
    <row r="45" spans="1:45" ht="12" customHeight="1" thickBot="1" x14ac:dyDescent="0.35">
      <c r="A45" s="59"/>
      <c r="B45" s="60"/>
      <c r="C45" s="5"/>
      <c r="D45" s="42" t="str">
        <f>IF(AND(B45&lt;&gt;""),IF($C$9&lt;&gt;0,VLOOKUP(C45/$C$9*100,TRANSMUTATION_TABLE!$A$2:$B$102,2),""),"")</f>
        <v/>
      </c>
      <c r="E45" s="5"/>
      <c r="F45" s="42" t="str">
        <f>IF(AND(B45&lt;&gt;""),IF($E$9&lt;&gt;0,VLOOKUP(E45/$E$9*100,TRANSMUTATION_TABLE!$A$2:$B$102,2),""),"")</f>
        <v/>
      </c>
      <c r="G45" s="5"/>
      <c r="H45" s="42" t="str">
        <f>IF(AND(B45&lt;&gt;""),IF($G$9&lt;&gt;0,VLOOKUP(G45/$G$9*100,TRANSMUTATION_TABLE!$A$2:$B$102,2),""),"")</f>
        <v/>
      </c>
      <c r="I45" s="5"/>
      <c r="J45" s="43" t="str">
        <f>IF(AND(B45&lt;&gt;""),IF($I$9&lt;&gt;0,VLOOKUP(I45/$I$9*100,TRANSMUTATION_TABLE!$A$2:$B$102,2),""),"")</f>
        <v/>
      </c>
      <c r="K45" s="81" t="str">
        <f t="shared" si="0"/>
        <v/>
      </c>
      <c r="L45" s="22"/>
      <c r="M45" s="42" t="str">
        <f>IF(AND(B45&lt;&gt;""),IF($L$9&lt;&gt;0,VLOOKUP(L45/$L$9*100,TRANSMUTATION_TABLE!$A$2:$B$102,2),""),"")</f>
        <v/>
      </c>
      <c r="N45" s="5"/>
      <c r="O45" s="42" t="str">
        <f>IF(AND(B45&lt;&gt;""),IF($N$9&lt;&gt;0,VLOOKUP(N45/$N$9*100,TRANSMUTATION_TABLE!$A$2:$B$102,2),""),"")</f>
        <v/>
      </c>
      <c r="P45" s="5"/>
      <c r="Q45" s="42" t="str">
        <f>IF(AND(B45&lt;&gt;""),IF($P$9&lt;&gt;0,VLOOKUP(P45/$P$9*100,TRANSMUTATION_TABLE!$A$2:$B$102,2),""),"")</f>
        <v/>
      </c>
      <c r="R45" s="5"/>
      <c r="S45" s="43" t="str">
        <f>IF(AND(B45&lt;&gt;""),IF($R$9&lt;&gt;0,VLOOKUP(R45/$R$9*100,TRANSMUTATION_TABLE!$A$2:$B$102,2),""),"")</f>
        <v/>
      </c>
      <c r="T45" s="81" t="str">
        <f t="shared" si="1"/>
        <v/>
      </c>
      <c r="U45" s="5"/>
      <c r="V45" s="42" t="str">
        <f>IF(AND(B45&lt;&gt;""),IF($U$9&lt;&gt;0,VLOOKUP(U45/$U$9*100,TRANSMUTATION_TABLE!$A$2:$B$102,2),""),"")</f>
        <v/>
      </c>
      <c r="W45" s="5"/>
      <c r="X45" s="42" t="str">
        <f>IF(AND(B45&lt;&gt;""),IF($W$9&lt;&gt;0,VLOOKUP(W45/$W$9*100,TRANSMUTATION_TABLE!$A$2:$B$102,2),""),"")</f>
        <v/>
      </c>
      <c r="Y45" s="5"/>
      <c r="Z45" s="42" t="str">
        <f>IF(AND(B45&lt;&gt;""),IF($Y$9&lt;&gt;0,VLOOKUP(Y45/$Y$9*100,TRANSMUTATION_TABLE!$A$2:$B$102,2),""),"")</f>
        <v/>
      </c>
      <c r="AA45" s="5"/>
      <c r="AB45" s="43" t="str">
        <f>IF(AND(B45&lt;&gt;""),IF($AA$9&lt;&gt;0,VLOOKUP(AA45/$AA$9*100,TRANSMUTATION_TABLE!$A$2:$B$102,2),""),"")</f>
        <v/>
      </c>
      <c r="AC45" s="81" t="str">
        <f t="shared" si="2"/>
        <v/>
      </c>
      <c r="AD45" s="58"/>
      <c r="AE45" s="42" t="str">
        <f>IF(AND(B45&lt;&gt;""),IF($AD$9&lt;&gt;0,VLOOKUP(AD45/$AD$9*100,TRANSMUTATION_TABLE!$A$2:$B$102,2),""),"")</f>
        <v/>
      </c>
      <c r="AF45" s="50">
        <f>Attendance!BE42</f>
        <v>0</v>
      </c>
      <c r="AG45" s="45" t="str">
        <f>IF(AND(B45&lt;&gt;""),IF($AF$9&lt;&gt;0,VLOOKUP(AF45/$AF$9*100,TRANSMUTATION_TABLE!$A$2:$B$102,2),""),"")</f>
        <v/>
      </c>
      <c r="AH45" s="5"/>
      <c r="AI45" s="45" t="str">
        <f>IF(AND(B45&lt;&gt;""),IF($AH$9&lt;&gt;0,VLOOKUP(AH45/$AH$9*100,TRANSMUTATION_TABLE!$A$2:$B$102,2),""),"")</f>
        <v/>
      </c>
      <c r="AJ45" s="45" t="str">
        <f>IF(OR(K45&lt;&gt;"",T45&lt;&gt;"",AC45&lt;&gt;"",AI45&lt;&gt;"",AG45),SUM(PRODUCT(K45,IF(Settings!$I$9&lt;&gt;0,Settings!$I$9/100,0)),PRODUCT(T45,IF(Settings!$I$10&lt;&gt;0,Settings!$I$10/100,0)),PRODUCT(AC45,IF(Settings!$I$11&lt;&gt;0,Settings!$I$11/100,0)),PRODUCT(AG45,IF(Settings!$I$12&lt;&gt;0,Settings!$I$12/100,0)),PRODUCT(AI45,IF(Settings!$I$13&lt;&gt;0,Settings!$I$13/100,0))),"")</f>
        <v/>
      </c>
      <c r="AK45" s="45" t="str">
        <f>Prelim!AJ45</f>
        <v/>
      </c>
      <c r="AL45" s="45" t="str">
        <f>Midterm!AL45</f>
        <v/>
      </c>
      <c r="AM45" s="46" t="str">
        <f>IF(AJ45&lt;&gt;"",AVERAGE(Prelim!AJ45,Midterm!AL45,SemiFinal!AJ45),"")</f>
        <v/>
      </c>
      <c r="AN45" s="37"/>
      <c r="AO45" s="37"/>
      <c r="AP45" s="37"/>
      <c r="AQ45" s="37"/>
      <c r="AR45" s="37"/>
      <c r="AS45" s="37"/>
    </row>
    <row r="46" spans="1:45" ht="12" customHeight="1" thickBot="1" x14ac:dyDescent="0.35">
      <c r="A46" s="52"/>
      <c r="B46" s="60"/>
      <c r="C46" s="5"/>
      <c r="D46" s="42" t="str">
        <f>IF(AND(B46&lt;&gt;""),IF($C$9&lt;&gt;0,VLOOKUP(C46/$C$9*100,TRANSMUTATION_TABLE!$A$2:$B$102,2),""),"")</f>
        <v/>
      </c>
      <c r="E46" s="5"/>
      <c r="F46" s="42" t="str">
        <f>IF(AND(B46&lt;&gt;""),IF($E$9&lt;&gt;0,VLOOKUP(E46/$E$9*100,TRANSMUTATION_TABLE!$A$2:$B$102,2),""),"")</f>
        <v/>
      </c>
      <c r="G46" s="5"/>
      <c r="H46" s="42" t="str">
        <f>IF(AND(B46&lt;&gt;""),IF($G$9&lt;&gt;0,VLOOKUP(G46/$G$9*100,TRANSMUTATION_TABLE!$A$2:$B$102,2),""),"")</f>
        <v/>
      </c>
      <c r="I46" s="5"/>
      <c r="J46" s="43" t="str">
        <f>IF(AND(B46&lt;&gt;""),IF($I$9&lt;&gt;0,VLOOKUP(I46/$I$9*100,TRANSMUTATION_TABLE!$A$2:$B$102,2),""),"")</f>
        <v/>
      </c>
      <c r="K46" s="81" t="str">
        <f t="shared" si="0"/>
        <v/>
      </c>
      <c r="L46" s="22"/>
      <c r="M46" s="42" t="str">
        <f>IF(AND(B46&lt;&gt;""),IF($L$9&lt;&gt;0,VLOOKUP(L46/$L$9*100,TRANSMUTATION_TABLE!$A$2:$B$102,2),""),"")</f>
        <v/>
      </c>
      <c r="N46" s="5"/>
      <c r="O46" s="42" t="str">
        <f>IF(AND(B46&lt;&gt;""),IF($N$9&lt;&gt;0,VLOOKUP(N46/$N$9*100,TRANSMUTATION_TABLE!$A$2:$B$102,2),""),"")</f>
        <v/>
      </c>
      <c r="P46" s="5"/>
      <c r="Q46" s="42" t="str">
        <f>IF(AND(B46&lt;&gt;""),IF($P$9&lt;&gt;0,VLOOKUP(P46/$P$9*100,TRANSMUTATION_TABLE!$A$2:$B$102,2),""),"")</f>
        <v/>
      </c>
      <c r="R46" s="5"/>
      <c r="S46" s="43" t="str">
        <f>IF(AND(B46&lt;&gt;""),IF($R$9&lt;&gt;0,VLOOKUP(R46/$R$9*100,TRANSMUTATION_TABLE!$A$2:$B$102,2),""),"")</f>
        <v/>
      </c>
      <c r="T46" s="81" t="str">
        <f t="shared" si="1"/>
        <v/>
      </c>
      <c r="U46" s="5"/>
      <c r="V46" s="42" t="str">
        <f>IF(AND(B46&lt;&gt;""),IF($U$9&lt;&gt;0,VLOOKUP(U46/$U$9*100,TRANSMUTATION_TABLE!$A$2:$B$102,2),""),"")</f>
        <v/>
      </c>
      <c r="W46" s="5"/>
      <c r="X46" s="42" t="str">
        <f>IF(AND(B46&lt;&gt;""),IF($W$9&lt;&gt;0,VLOOKUP(W46/$W$9*100,TRANSMUTATION_TABLE!$A$2:$B$102,2),""),"")</f>
        <v/>
      </c>
      <c r="Y46" s="5"/>
      <c r="Z46" s="42" t="str">
        <f>IF(AND(B46&lt;&gt;""),IF($Y$9&lt;&gt;0,VLOOKUP(Y46/$Y$9*100,TRANSMUTATION_TABLE!$A$2:$B$102,2),""),"")</f>
        <v/>
      </c>
      <c r="AA46" s="5"/>
      <c r="AB46" s="43" t="str">
        <f>IF(AND(B46&lt;&gt;""),IF($AA$9&lt;&gt;0,VLOOKUP(AA46/$AA$9*100,TRANSMUTATION_TABLE!$A$2:$B$102,2),""),"")</f>
        <v/>
      </c>
      <c r="AC46" s="81" t="str">
        <f t="shared" si="2"/>
        <v/>
      </c>
      <c r="AD46" s="53"/>
      <c r="AE46" s="42" t="str">
        <f>IF(AND(B46&lt;&gt;""),IF($AD$9&lt;&gt;0,VLOOKUP(AD46/$AD$9*100,TRANSMUTATION_TABLE!$A$2:$B$102,2),""),"")</f>
        <v/>
      </c>
      <c r="AF46" s="50">
        <f>Attendance!BE43</f>
        <v>0</v>
      </c>
      <c r="AG46" s="45" t="str">
        <f>IF(AND(B46&lt;&gt;""),IF($AF$9&lt;&gt;0,VLOOKUP(AF46/$AF$9*100,TRANSMUTATION_TABLE!$A$2:$B$102,2),""),"")</f>
        <v/>
      </c>
      <c r="AH46" s="5"/>
      <c r="AI46" s="45" t="str">
        <f>IF(AND(B46&lt;&gt;""),IF($AH$9&lt;&gt;0,VLOOKUP(AH46/$AH$9*100,TRANSMUTATION_TABLE!$A$2:$B$102,2),""),"")</f>
        <v/>
      </c>
      <c r="AJ46" s="45" t="str">
        <f>IF(OR(K46&lt;&gt;"",T46&lt;&gt;"",AC46&lt;&gt;"",AI46&lt;&gt;"",AG46),SUM(PRODUCT(K46,IF(Settings!$I$9&lt;&gt;0,Settings!$I$9/100,0)),PRODUCT(T46,IF(Settings!$I$10&lt;&gt;0,Settings!$I$10/100,0)),PRODUCT(AC46,IF(Settings!$I$11&lt;&gt;0,Settings!$I$11/100,0)),PRODUCT(AG46,IF(Settings!$I$12&lt;&gt;0,Settings!$I$12/100,0)),PRODUCT(AI46,IF(Settings!$I$13&lt;&gt;0,Settings!$I$13/100,0))),"")</f>
        <v/>
      </c>
      <c r="AK46" s="45" t="str">
        <f>Prelim!AJ46</f>
        <v/>
      </c>
      <c r="AL46" s="45" t="str">
        <f>Midterm!AL46</f>
        <v/>
      </c>
      <c r="AM46" s="46" t="str">
        <f>IF(AJ46&lt;&gt;"",AVERAGE(Prelim!AJ46,Midterm!AL46,SemiFinal!AJ46),"")</f>
        <v/>
      </c>
      <c r="AN46" s="37"/>
      <c r="AO46" s="37"/>
      <c r="AP46" s="37"/>
      <c r="AQ46" s="37"/>
      <c r="AR46" s="37"/>
      <c r="AS46" s="37"/>
    </row>
    <row r="47" spans="1:45" ht="12" customHeight="1" thickBot="1" x14ac:dyDescent="0.35">
      <c r="A47" s="52"/>
      <c r="B47" s="60"/>
      <c r="C47" s="5"/>
      <c r="D47" s="42" t="str">
        <f>IF(AND(B47&lt;&gt;""),IF($C$9&lt;&gt;0,VLOOKUP(C47/$C$9*100,TRANSMUTATION_TABLE!$A$2:$B$102,2),""),"")</f>
        <v/>
      </c>
      <c r="E47" s="5"/>
      <c r="F47" s="42" t="str">
        <f>IF(AND(B47&lt;&gt;""),IF($E$9&lt;&gt;0,VLOOKUP(E47/$E$9*100,TRANSMUTATION_TABLE!$A$2:$B$102,2),""),"")</f>
        <v/>
      </c>
      <c r="G47" s="5"/>
      <c r="H47" s="42" t="str">
        <f>IF(AND(B47&lt;&gt;""),IF($G$9&lt;&gt;0,VLOOKUP(G47/$G$9*100,TRANSMUTATION_TABLE!$A$2:$B$102,2),""),"")</f>
        <v/>
      </c>
      <c r="I47" s="5"/>
      <c r="J47" s="43" t="str">
        <f>IF(AND(B47&lt;&gt;""),IF($I$9&lt;&gt;0,VLOOKUP(I47/$I$9*100,TRANSMUTATION_TABLE!$A$2:$B$102,2),""),"")</f>
        <v/>
      </c>
      <c r="K47" s="81" t="str">
        <f t="shared" si="0"/>
        <v/>
      </c>
      <c r="L47" s="22"/>
      <c r="M47" s="42" t="str">
        <f>IF(AND(B47&lt;&gt;""),IF($L$9&lt;&gt;0,VLOOKUP(L47/$L$9*100,TRANSMUTATION_TABLE!$A$2:$B$102,2),""),"")</f>
        <v/>
      </c>
      <c r="N47" s="5"/>
      <c r="O47" s="42" t="str">
        <f>IF(AND(B47&lt;&gt;""),IF($N$9&lt;&gt;0,VLOOKUP(N47/$N$9*100,TRANSMUTATION_TABLE!$A$2:$B$102,2),""),"")</f>
        <v/>
      </c>
      <c r="P47" s="5"/>
      <c r="Q47" s="42" t="str">
        <f>IF(AND(B47&lt;&gt;""),IF($P$9&lt;&gt;0,VLOOKUP(P47/$P$9*100,TRANSMUTATION_TABLE!$A$2:$B$102,2),""),"")</f>
        <v/>
      </c>
      <c r="R47" s="5"/>
      <c r="S47" s="43" t="str">
        <f>IF(AND(B47&lt;&gt;""),IF($R$9&lt;&gt;0,VLOOKUP(R47/$R$9*100,TRANSMUTATION_TABLE!$A$2:$B$102,2),""),"")</f>
        <v/>
      </c>
      <c r="T47" s="81" t="str">
        <f t="shared" si="1"/>
        <v/>
      </c>
      <c r="U47" s="5"/>
      <c r="V47" s="42" t="str">
        <f>IF(AND(B47&lt;&gt;""),IF($U$9&lt;&gt;0,VLOOKUP(U47/$U$9*100,TRANSMUTATION_TABLE!$A$2:$B$102,2),""),"")</f>
        <v/>
      </c>
      <c r="W47" s="5"/>
      <c r="X47" s="42" t="str">
        <f>IF(AND(B47&lt;&gt;""),IF($W$9&lt;&gt;0,VLOOKUP(W47/$W$9*100,TRANSMUTATION_TABLE!$A$2:$B$102,2),""),"")</f>
        <v/>
      </c>
      <c r="Y47" s="5"/>
      <c r="Z47" s="42" t="str">
        <f>IF(AND(B47&lt;&gt;""),IF($Y$9&lt;&gt;0,VLOOKUP(Y47/$Y$9*100,TRANSMUTATION_TABLE!$A$2:$B$102,2),""),"")</f>
        <v/>
      </c>
      <c r="AA47" s="5"/>
      <c r="AB47" s="43" t="str">
        <f>IF(AND(B47&lt;&gt;""),IF($AA$9&lt;&gt;0,VLOOKUP(AA47/$AA$9*100,TRANSMUTATION_TABLE!$A$2:$B$102,2),""),"")</f>
        <v/>
      </c>
      <c r="AC47" s="81" t="str">
        <f t="shared" si="2"/>
        <v/>
      </c>
      <c r="AD47" s="53"/>
      <c r="AE47" s="42" t="str">
        <f>IF(AND(B47&lt;&gt;""),IF($AD$9&lt;&gt;0,VLOOKUP(AD47/$AD$9*100,TRANSMUTATION_TABLE!$A$2:$B$102,2),""),"")</f>
        <v/>
      </c>
      <c r="AF47" s="50">
        <f>Attendance!BE44</f>
        <v>0</v>
      </c>
      <c r="AG47" s="45" t="str">
        <f>IF(AND(B47&lt;&gt;""),IF($AF$9&lt;&gt;0,VLOOKUP(AF47/$AF$9*100,TRANSMUTATION_TABLE!$A$2:$B$102,2),""),"")</f>
        <v/>
      </c>
      <c r="AH47" s="5"/>
      <c r="AI47" s="45" t="str">
        <f>IF(AND(B47&lt;&gt;""),IF($AH$9&lt;&gt;0,VLOOKUP(AH47/$AH$9*100,TRANSMUTATION_TABLE!$A$2:$B$102,2),""),"")</f>
        <v/>
      </c>
      <c r="AJ47" s="45" t="str">
        <f>IF(OR(K47&lt;&gt;"",T47&lt;&gt;"",AC47&lt;&gt;"",AI47&lt;&gt;"",AG47),SUM(PRODUCT(K47,IF(Settings!$I$9&lt;&gt;0,Settings!$I$9/100,0)),PRODUCT(T47,IF(Settings!$I$10&lt;&gt;0,Settings!$I$10/100,0)),PRODUCT(AC47,IF(Settings!$I$11&lt;&gt;0,Settings!$I$11/100,0)),PRODUCT(AG47,IF(Settings!$I$12&lt;&gt;0,Settings!$I$12/100,0)),PRODUCT(AI47,IF(Settings!$I$13&lt;&gt;0,Settings!$I$13/100,0))),"")</f>
        <v/>
      </c>
      <c r="AK47" s="45" t="str">
        <f>Prelim!AJ47</f>
        <v/>
      </c>
      <c r="AL47" s="45" t="str">
        <f>Midterm!AL47</f>
        <v/>
      </c>
      <c r="AM47" s="46" t="str">
        <f>IF(AJ47&lt;&gt;"",AVERAGE(Prelim!AJ47,Midterm!AL47,SemiFinal!AJ47),"")</f>
        <v/>
      </c>
      <c r="AN47" s="37"/>
      <c r="AO47" s="37"/>
      <c r="AP47" s="37"/>
      <c r="AQ47" s="37"/>
      <c r="AR47" s="37"/>
      <c r="AS47" s="37"/>
    </row>
    <row r="48" spans="1:45" ht="12" customHeight="1" thickBot="1" x14ac:dyDescent="0.35">
      <c r="A48" s="52"/>
      <c r="B48" s="60"/>
      <c r="C48" s="5"/>
      <c r="D48" s="42" t="str">
        <f>IF(AND(B48&lt;&gt;""),IF($C$9&lt;&gt;0,VLOOKUP(C48/$C$9*100,TRANSMUTATION_TABLE!$A$2:$B$102,2),""),"")</f>
        <v/>
      </c>
      <c r="E48" s="5"/>
      <c r="F48" s="42" t="str">
        <f>IF(AND(B48&lt;&gt;""),IF($E$9&lt;&gt;0,VLOOKUP(E48/$E$9*100,TRANSMUTATION_TABLE!$A$2:$B$102,2),""),"")</f>
        <v/>
      </c>
      <c r="G48" s="5"/>
      <c r="H48" s="42" t="str">
        <f>IF(AND(B48&lt;&gt;""),IF($G$9&lt;&gt;0,VLOOKUP(G48/$G$9*100,TRANSMUTATION_TABLE!$A$2:$B$102,2),""),"")</f>
        <v/>
      </c>
      <c r="I48" s="5"/>
      <c r="J48" s="43" t="str">
        <f>IF(AND(B48&lt;&gt;""),IF($I$9&lt;&gt;0,VLOOKUP(I48/$I$9*100,TRANSMUTATION_TABLE!$A$2:$B$102,2),""),"")</f>
        <v/>
      </c>
      <c r="K48" s="81" t="str">
        <f t="shared" si="0"/>
        <v/>
      </c>
      <c r="L48" s="22"/>
      <c r="M48" s="42" t="str">
        <f>IF(AND(B48&lt;&gt;""),IF($L$9&lt;&gt;0,VLOOKUP(L48/$L$9*100,TRANSMUTATION_TABLE!$A$2:$B$102,2),""),"")</f>
        <v/>
      </c>
      <c r="N48" s="5"/>
      <c r="O48" s="42" t="str">
        <f>IF(AND(B48&lt;&gt;""),IF($N$9&lt;&gt;0,VLOOKUP(N48/$N$9*100,TRANSMUTATION_TABLE!$A$2:$B$102,2),""),"")</f>
        <v/>
      </c>
      <c r="P48" s="5"/>
      <c r="Q48" s="42" t="str">
        <f>IF(AND(B48&lt;&gt;""),IF($P$9&lt;&gt;0,VLOOKUP(P48/$P$9*100,TRANSMUTATION_TABLE!$A$2:$B$102,2),""),"")</f>
        <v/>
      </c>
      <c r="R48" s="5"/>
      <c r="S48" s="43" t="str">
        <f>IF(AND(B48&lt;&gt;""),IF($R$9&lt;&gt;0,VLOOKUP(R48/$R$9*100,TRANSMUTATION_TABLE!$A$2:$B$102,2),""),"")</f>
        <v/>
      </c>
      <c r="T48" s="81" t="str">
        <f t="shared" si="1"/>
        <v/>
      </c>
      <c r="U48" s="5"/>
      <c r="V48" s="42" t="str">
        <f>IF(AND(B48&lt;&gt;""),IF($U$9&lt;&gt;0,VLOOKUP(U48/$U$9*100,TRANSMUTATION_TABLE!$A$2:$B$102,2),""),"")</f>
        <v/>
      </c>
      <c r="W48" s="5"/>
      <c r="X48" s="42" t="str">
        <f>IF(AND(B48&lt;&gt;""),IF($W$9&lt;&gt;0,VLOOKUP(W48/$W$9*100,TRANSMUTATION_TABLE!$A$2:$B$102,2),""),"")</f>
        <v/>
      </c>
      <c r="Y48" s="5"/>
      <c r="Z48" s="42" t="str">
        <f>IF(AND(B48&lt;&gt;""),IF($Y$9&lt;&gt;0,VLOOKUP(Y48/$Y$9*100,TRANSMUTATION_TABLE!$A$2:$B$102,2),""),"")</f>
        <v/>
      </c>
      <c r="AA48" s="5"/>
      <c r="AB48" s="43" t="str">
        <f>IF(AND(B48&lt;&gt;""),IF($AA$9&lt;&gt;0,VLOOKUP(AA48/$AA$9*100,TRANSMUTATION_TABLE!$A$2:$B$102,2),""),"")</f>
        <v/>
      </c>
      <c r="AC48" s="81" t="str">
        <f t="shared" si="2"/>
        <v/>
      </c>
      <c r="AD48" s="53"/>
      <c r="AE48" s="42" t="str">
        <f>IF(AND(B48&lt;&gt;""),IF($AD$9&lt;&gt;0,VLOOKUP(AD48/$AD$9*100,TRANSMUTATION_TABLE!$A$2:$B$102,2),""),"")</f>
        <v/>
      </c>
      <c r="AF48" s="50">
        <f>Attendance!BE45</f>
        <v>0</v>
      </c>
      <c r="AG48" s="45" t="str">
        <f>IF(AND(B48&lt;&gt;""),IF($AF$9&lt;&gt;0,VLOOKUP(AF48/$AF$9*100,TRANSMUTATION_TABLE!$A$2:$B$102,2),""),"")</f>
        <v/>
      </c>
      <c r="AH48" s="5"/>
      <c r="AI48" s="45" t="str">
        <f>IF(AND(B48&lt;&gt;""),IF($AH$9&lt;&gt;0,VLOOKUP(AH48/$AH$9*100,TRANSMUTATION_TABLE!$A$2:$B$102,2),""),"")</f>
        <v/>
      </c>
      <c r="AJ48" s="45" t="str">
        <f>IF(OR(K48&lt;&gt;"",T48&lt;&gt;"",AC48&lt;&gt;"",AI48&lt;&gt;"",AG48),SUM(PRODUCT(K48,IF(Settings!$I$9&lt;&gt;0,Settings!$I$9/100,0)),PRODUCT(T48,IF(Settings!$I$10&lt;&gt;0,Settings!$I$10/100,0)),PRODUCT(AC48,IF(Settings!$I$11&lt;&gt;0,Settings!$I$11/100,0)),PRODUCT(AG48,IF(Settings!$I$12&lt;&gt;0,Settings!$I$12/100,0)),PRODUCT(AI48,IF(Settings!$I$13&lt;&gt;0,Settings!$I$13/100,0))),"")</f>
        <v/>
      </c>
      <c r="AK48" s="45" t="str">
        <f>Prelim!AJ48</f>
        <v/>
      </c>
      <c r="AL48" s="45" t="str">
        <f>Midterm!AL48</f>
        <v/>
      </c>
      <c r="AM48" s="46" t="str">
        <f>IF(AJ48&lt;&gt;"",AVERAGE(Prelim!AJ48,Midterm!AL48,SemiFinal!AJ48),"")</f>
        <v/>
      </c>
      <c r="AN48" s="37"/>
      <c r="AO48" s="37"/>
      <c r="AP48" s="37"/>
      <c r="AQ48" s="37"/>
      <c r="AR48" s="37"/>
      <c r="AS48" s="37"/>
    </row>
    <row r="49" spans="1:45" ht="12" customHeight="1" thickBot="1" x14ac:dyDescent="0.35">
      <c r="A49" s="54"/>
      <c r="B49" s="60"/>
      <c r="C49" s="55"/>
      <c r="D49" s="42" t="str">
        <f>IF(AND(B49&lt;&gt;""),IF($C$9&lt;&gt;0,VLOOKUP(C49/$C$9*100,TRANSMUTATION_TABLE!$A$2:$B$102,2),""),"")</f>
        <v/>
      </c>
      <c r="E49" s="55"/>
      <c r="F49" s="42" t="str">
        <f>IF(AND(B49&lt;&gt;""),IF($E$9&lt;&gt;0,VLOOKUP(E49/$E$9*100,TRANSMUTATION_TABLE!$A$2:$B$102,2),""),"")</f>
        <v/>
      </c>
      <c r="G49" s="55"/>
      <c r="H49" s="42" t="str">
        <f>IF(AND(B49&lt;&gt;""),IF($G$9&lt;&gt;0,VLOOKUP(G49/$G$9*100,TRANSMUTATION_TABLE!$A$2:$B$102,2),""),"")</f>
        <v/>
      </c>
      <c r="I49" s="55"/>
      <c r="J49" s="43" t="str">
        <f>IF(AND(B49&lt;&gt;""),IF($I$9&lt;&gt;0,VLOOKUP(I49/$I$9*100,TRANSMUTATION_TABLE!$A$2:$B$102,2),""),"")</f>
        <v/>
      </c>
      <c r="K49" s="81" t="str">
        <f t="shared" si="0"/>
        <v/>
      </c>
      <c r="L49" s="22"/>
      <c r="M49" s="42" t="str">
        <f>IF(AND(B49&lt;&gt;""),IF($L$9&lt;&gt;0,VLOOKUP(L49/$L$9*100,TRANSMUTATION_TABLE!$A$2:$B$102,2),""),"")</f>
        <v/>
      </c>
      <c r="N49" s="55"/>
      <c r="O49" s="42" t="str">
        <f>IF(AND(B49&lt;&gt;""),IF($N$9&lt;&gt;0,VLOOKUP(N49/$N$9*100,TRANSMUTATION_TABLE!$A$2:$B$102,2),""),"")</f>
        <v/>
      </c>
      <c r="P49" s="55"/>
      <c r="Q49" s="42" t="str">
        <f>IF(AND(B49&lt;&gt;""),IF($P$9&lt;&gt;0,VLOOKUP(P49/$P$9*100,TRANSMUTATION_TABLE!$A$2:$B$102,2),""),"")</f>
        <v/>
      </c>
      <c r="R49" s="55"/>
      <c r="S49" s="43" t="str">
        <f>IF(AND(B49&lt;&gt;""),IF($R$9&lt;&gt;0,VLOOKUP(R49/$R$9*100,TRANSMUTATION_TABLE!$A$2:$B$102,2),""),"")</f>
        <v/>
      </c>
      <c r="T49" s="81" t="str">
        <f t="shared" si="1"/>
        <v/>
      </c>
      <c r="U49" s="55"/>
      <c r="V49" s="42" t="str">
        <f>IF(AND(B49&lt;&gt;""),IF($U$9&lt;&gt;0,VLOOKUP(U49/$U$9*100,TRANSMUTATION_TABLE!$A$2:$B$102,2),""),"")</f>
        <v/>
      </c>
      <c r="W49" s="55"/>
      <c r="X49" s="42" t="str">
        <f>IF(AND(B49&lt;&gt;""),IF($W$9&lt;&gt;0,VLOOKUP(W49/$W$9*100,TRANSMUTATION_TABLE!$A$2:$B$102,2),""),"")</f>
        <v/>
      </c>
      <c r="Y49" s="55"/>
      <c r="Z49" s="42" t="str">
        <f>IF(AND(B49&lt;&gt;""),IF($Y$9&lt;&gt;0,VLOOKUP(Y49/$Y$9*100,TRANSMUTATION_TABLE!$A$2:$B$102,2),""),"")</f>
        <v/>
      </c>
      <c r="AA49" s="55"/>
      <c r="AB49" s="43" t="str">
        <f>IF(AND(B49&lt;&gt;""),IF($AA$9&lt;&gt;0,VLOOKUP(AA49/$AA$9*100,TRANSMUTATION_TABLE!$A$2:$B$102,2),""),"")</f>
        <v/>
      </c>
      <c r="AC49" s="81" t="str">
        <f t="shared" si="2"/>
        <v/>
      </c>
      <c r="AD49" s="56"/>
      <c r="AE49" s="42" t="str">
        <f>IF(AND(B49&lt;&gt;""),IF($AD$9&lt;&gt;0,VLOOKUP(AD49/$AD$9*100,TRANSMUTATION_TABLE!$A$2:$B$102,2),""),"")</f>
        <v/>
      </c>
      <c r="AF49" s="50">
        <f>Attendance!BE46</f>
        <v>0</v>
      </c>
      <c r="AG49" s="45" t="str">
        <f>IF(AND(B49&lt;&gt;""),IF($AF$9&lt;&gt;0,VLOOKUP(AF49/$AF$9*100,TRANSMUTATION_TABLE!$A$2:$B$102,2),""),"")</f>
        <v/>
      </c>
      <c r="AH49" s="55"/>
      <c r="AI49" s="45" t="str">
        <f>IF(AND(B49&lt;&gt;""),IF($AH$9&lt;&gt;0,VLOOKUP(AH49/$AH$9*100,TRANSMUTATION_TABLE!$A$2:$B$102,2),""),"")</f>
        <v/>
      </c>
      <c r="AJ49" s="45" t="str">
        <f>IF(OR(K49&lt;&gt;"",T49&lt;&gt;"",AC49&lt;&gt;"",AI49&lt;&gt;"",AG49),SUM(PRODUCT(K49,IF(Settings!$I$9&lt;&gt;0,Settings!$I$9/100,0)),PRODUCT(T49,IF(Settings!$I$10&lt;&gt;0,Settings!$I$10/100,0)),PRODUCT(AC49,IF(Settings!$I$11&lt;&gt;0,Settings!$I$11/100,0)),PRODUCT(AG49,IF(Settings!$I$12&lt;&gt;0,Settings!$I$12/100,0)),PRODUCT(AI49,IF(Settings!$I$13&lt;&gt;0,Settings!$I$13/100,0))),"")</f>
        <v/>
      </c>
      <c r="AK49" s="45" t="str">
        <f>Prelim!AJ49</f>
        <v/>
      </c>
      <c r="AL49" s="45" t="str">
        <f>Midterm!AL49</f>
        <v/>
      </c>
      <c r="AM49" s="46" t="str">
        <f>IF(AJ49&lt;&gt;"",AVERAGE(Prelim!AJ49,Midterm!AL49,SemiFinal!AJ49),"")</f>
        <v/>
      </c>
      <c r="AN49" s="37"/>
      <c r="AO49" s="37"/>
      <c r="AP49" s="37"/>
      <c r="AQ49" s="37"/>
      <c r="AR49" s="37"/>
      <c r="AS49" s="37"/>
    </row>
    <row r="50" spans="1:45" ht="12" customHeight="1" thickBot="1" x14ac:dyDescent="0.35">
      <c r="A50" s="59"/>
      <c r="B50" s="60"/>
      <c r="C50" s="5"/>
      <c r="D50" s="42" t="str">
        <f>IF(AND(B50&lt;&gt;""),IF($C$9&lt;&gt;0,VLOOKUP(C50/$C$9*100,TRANSMUTATION_TABLE!$A$2:$B$102,2),""),"")</f>
        <v/>
      </c>
      <c r="E50" s="5"/>
      <c r="F50" s="42" t="str">
        <f>IF(AND(B50&lt;&gt;""),IF($E$9&lt;&gt;0,VLOOKUP(E50/$E$9*100,TRANSMUTATION_TABLE!$A$2:$B$102,2),""),"")</f>
        <v/>
      </c>
      <c r="G50" s="5"/>
      <c r="H50" s="42" t="str">
        <f>IF(AND(B50&lt;&gt;""),IF($G$9&lt;&gt;0,VLOOKUP(G50/$G$9*100,TRANSMUTATION_TABLE!$A$2:$B$102,2),""),"")</f>
        <v/>
      </c>
      <c r="I50" s="5"/>
      <c r="J50" s="43" t="str">
        <f>IF(AND(B50&lt;&gt;""),IF($I$9&lt;&gt;0,VLOOKUP(I50/$I$9*100,TRANSMUTATION_TABLE!$A$2:$B$102,2),""),"")</f>
        <v/>
      </c>
      <c r="K50" s="81" t="str">
        <f t="shared" si="0"/>
        <v/>
      </c>
      <c r="L50" s="22"/>
      <c r="M50" s="42" t="str">
        <f>IF(AND(B50&lt;&gt;""),IF($L$9&lt;&gt;0,VLOOKUP(L50/$L$9*100,TRANSMUTATION_TABLE!$A$2:$B$102,2),""),"")</f>
        <v/>
      </c>
      <c r="N50" s="5"/>
      <c r="O50" s="42" t="str">
        <f>IF(AND(B50&lt;&gt;""),IF($N$9&lt;&gt;0,VLOOKUP(N50/$N$9*100,TRANSMUTATION_TABLE!$A$2:$B$102,2),""),"")</f>
        <v/>
      </c>
      <c r="P50" s="5"/>
      <c r="Q50" s="42" t="str">
        <f>IF(AND(B50&lt;&gt;""),IF($P$9&lt;&gt;0,VLOOKUP(P50/$P$9*100,TRANSMUTATION_TABLE!$A$2:$B$102,2),""),"")</f>
        <v/>
      </c>
      <c r="R50" s="5"/>
      <c r="S50" s="43" t="str">
        <f>IF(AND(B50&lt;&gt;""),IF($R$9&lt;&gt;0,VLOOKUP(R50/$R$9*100,TRANSMUTATION_TABLE!$A$2:$B$102,2),""),"")</f>
        <v/>
      </c>
      <c r="T50" s="81" t="str">
        <f t="shared" si="1"/>
        <v/>
      </c>
      <c r="U50" s="5"/>
      <c r="V50" s="42" t="str">
        <f>IF(AND(B50&lt;&gt;""),IF($U$9&lt;&gt;0,VLOOKUP(U50/$U$9*100,TRANSMUTATION_TABLE!$A$2:$B$102,2),""),"")</f>
        <v/>
      </c>
      <c r="W50" s="5"/>
      <c r="X50" s="42" t="str">
        <f>IF(AND(B50&lt;&gt;""),IF($W$9&lt;&gt;0,VLOOKUP(W50/$W$9*100,TRANSMUTATION_TABLE!$A$2:$B$102,2),""),"")</f>
        <v/>
      </c>
      <c r="Y50" s="5"/>
      <c r="Z50" s="42" t="str">
        <f>IF(AND(B50&lt;&gt;""),IF($Y$9&lt;&gt;0,VLOOKUP(Y50/$Y$9*100,TRANSMUTATION_TABLE!$A$2:$B$102,2),""),"")</f>
        <v/>
      </c>
      <c r="AA50" s="5"/>
      <c r="AB50" s="43" t="str">
        <f>IF(AND(B50&lt;&gt;""),IF($AA$9&lt;&gt;0,VLOOKUP(AA50/$AA$9*100,TRANSMUTATION_TABLE!$A$2:$B$102,2),""),"")</f>
        <v/>
      </c>
      <c r="AC50" s="81" t="str">
        <f t="shared" si="2"/>
        <v/>
      </c>
      <c r="AD50" s="58"/>
      <c r="AE50" s="42" t="str">
        <f>IF(AND(B50&lt;&gt;""),IF($AD$9&lt;&gt;0,VLOOKUP(AD50/$AD$9*100,TRANSMUTATION_TABLE!$A$2:$B$102,2),""),"")</f>
        <v/>
      </c>
      <c r="AF50" s="50">
        <f>Attendance!BE47</f>
        <v>0</v>
      </c>
      <c r="AG50" s="45" t="str">
        <f>IF(AND(B50&lt;&gt;""),IF($AF$9&lt;&gt;0,VLOOKUP(AF50/$AF$9*100,TRANSMUTATION_TABLE!$A$2:$B$102,2),""),"")</f>
        <v/>
      </c>
      <c r="AH50" s="5"/>
      <c r="AI50" s="45" t="str">
        <f>IF(AND(B50&lt;&gt;""),IF($AH$9&lt;&gt;0,VLOOKUP(AH50/$AH$9*100,TRANSMUTATION_TABLE!$A$2:$B$102,2),""),"")</f>
        <v/>
      </c>
      <c r="AJ50" s="45" t="str">
        <f>IF(OR(K50&lt;&gt;"",T50&lt;&gt;"",AC50&lt;&gt;"",AI50&lt;&gt;"",AG50),SUM(PRODUCT(K50,IF(Settings!$I$9&lt;&gt;0,Settings!$I$9/100,0)),PRODUCT(T50,IF(Settings!$I$10&lt;&gt;0,Settings!$I$10/100,0)),PRODUCT(AC50,IF(Settings!$I$11&lt;&gt;0,Settings!$I$11/100,0)),PRODUCT(AG50,IF(Settings!$I$12&lt;&gt;0,Settings!$I$12/100,0)),PRODUCT(AI50,IF(Settings!$I$13&lt;&gt;0,Settings!$I$13/100,0))),"")</f>
        <v/>
      </c>
      <c r="AK50" s="45" t="str">
        <f>Prelim!AJ50</f>
        <v/>
      </c>
      <c r="AL50" s="45" t="str">
        <f>Midterm!AL50</f>
        <v/>
      </c>
      <c r="AM50" s="46" t="str">
        <f>IF(AJ50&lt;&gt;"",AVERAGE(Prelim!AJ50,Midterm!AL50,SemiFinal!AJ50),"")</f>
        <v/>
      </c>
      <c r="AN50" s="37"/>
      <c r="AO50" s="37"/>
      <c r="AP50" s="37"/>
      <c r="AQ50" s="37"/>
      <c r="AR50" s="37"/>
      <c r="AS50" s="37"/>
    </row>
    <row r="51" spans="1:45" ht="12" customHeight="1" thickBot="1" x14ac:dyDescent="0.35">
      <c r="A51" s="52"/>
      <c r="B51" s="60"/>
      <c r="C51" s="5"/>
      <c r="D51" s="42" t="str">
        <f>IF(AND(B51&lt;&gt;""),IF($C$9&lt;&gt;0,VLOOKUP(C51/$C$9*100,TRANSMUTATION_TABLE!$A$2:$B$102,2),""),"")</f>
        <v/>
      </c>
      <c r="E51" s="5"/>
      <c r="F51" s="42" t="str">
        <f>IF(AND(B51&lt;&gt;""),IF($E$9&lt;&gt;0,VLOOKUP(E51/$E$9*100,TRANSMUTATION_TABLE!$A$2:$B$102,2),""),"")</f>
        <v/>
      </c>
      <c r="G51" s="5"/>
      <c r="H51" s="42" t="str">
        <f>IF(AND(B51&lt;&gt;""),IF($G$9&lt;&gt;0,VLOOKUP(G51/$G$9*100,TRANSMUTATION_TABLE!$A$2:$B$102,2),""),"")</f>
        <v/>
      </c>
      <c r="I51" s="5"/>
      <c r="J51" s="43" t="str">
        <f>IF(AND(B51&lt;&gt;""),IF($I$9&lt;&gt;0,VLOOKUP(I51/$I$9*100,TRANSMUTATION_TABLE!$A$2:$B$102,2),""),"")</f>
        <v/>
      </c>
      <c r="K51" s="81" t="str">
        <f t="shared" si="0"/>
        <v/>
      </c>
      <c r="L51" s="22"/>
      <c r="M51" s="42" t="str">
        <f>IF(AND(B51&lt;&gt;""),IF($L$9&lt;&gt;0,VLOOKUP(L51/$L$9*100,TRANSMUTATION_TABLE!$A$2:$B$102,2),""),"")</f>
        <v/>
      </c>
      <c r="N51" s="5"/>
      <c r="O51" s="42" t="str">
        <f>IF(AND(B51&lt;&gt;""),IF($N$9&lt;&gt;0,VLOOKUP(N51/$N$9*100,TRANSMUTATION_TABLE!$A$2:$B$102,2),""),"")</f>
        <v/>
      </c>
      <c r="P51" s="5"/>
      <c r="Q51" s="42" t="str">
        <f>IF(AND(B51&lt;&gt;""),IF($P$9&lt;&gt;0,VLOOKUP(P51/$P$9*100,TRANSMUTATION_TABLE!$A$2:$B$102,2),""),"")</f>
        <v/>
      </c>
      <c r="R51" s="5"/>
      <c r="S51" s="43" t="str">
        <f>IF(AND(B51&lt;&gt;""),IF($R$9&lt;&gt;0,VLOOKUP(R51/$R$9*100,TRANSMUTATION_TABLE!$A$2:$B$102,2),""),"")</f>
        <v/>
      </c>
      <c r="T51" s="81" t="str">
        <f t="shared" si="1"/>
        <v/>
      </c>
      <c r="U51" s="5"/>
      <c r="V51" s="42" t="str">
        <f>IF(AND(B51&lt;&gt;""),IF($U$9&lt;&gt;0,VLOOKUP(U51/$U$9*100,TRANSMUTATION_TABLE!$A$2:$B$102,2),""),"")</f>
        <v/>
      </c>
      <c r="W51" s="5"/>
      <c r="X51" s="42" t="str">
        <f>IF(AND(B51&lt;&gt;""),IF($W$9&lt;&gt;0,VLOOKUP(W51/$W$9*100,TRANSMUTATION_TABLE!$A$2:$B$102,2),""),"")</f>
        <v/>
      </c>
      <c r="Y51" s="5"/>
      <c r="Z51" s="42" t="str">
        <f>IF(AND(B51&lt;&gt;""),IF($Y$9&lt;&gt;0,VLOOKUP(Y51/$Y$9*100,TRANSMUTATION_TABLE!$A$2:$B$102,2),""),"")</f>
        <v/>
      </c>
      <c r="AA51" s="5"/>
      <c r="AB51" s="43" t="str">
        <f>IF(AND(B51&lt;&gt;""),IF($AA$9&lt;&gt;0,VLOOKUP(AA51/$AA$9*100,TRANSMUTATION_TABLE!$A$2:$B$102,2),""),"")</f>
        <v/>
      </c>
      <c r="AC51" s="81" t="str">
        <f t="shared" si="2"/>
        <v/>
      </c>
      <c r="AD51" s="53"/>
      <c r="AE51" s="42" t="str">
        <f>IF(AND(B51&lt;&gt;""),IF($AD$9&lt;&gt;0,VLOOKUP(AD51/$AD$9*100,TRANSMUTATION_TABLE!$A$2:$B$102,2),""),"")</f>
        <v/>
      </c>
      <c r="AF51" s="50">
        <f>Attendance!BE48</f>
        <v>0</v>
      </c>
      <c r="AG51" s="45" t="str">
        <f>IF(AND(B51&lt;&gt;""),IF($AF$9&lt;&gt;0,VLOOKUP(AF51/$AF$9*100,TRANSMUTATION_TABLE!$A$2:$B$102,2),""),"")</f>
        <v/>
      </c>
      <c r="AH51" s="5"/>
      <c r="AI51" s="45" t="str">
        <f>IF(AND(B51&lt;&gt;""),IF($AH$9&lt;&gt;0,VLOOKUP(AH51/$AH$9*100,TRANSMUTATION_TABLE!$A$2:$B$102,2),""),"")</f>
        <v/>
      </c>
      <c r="AJ51" s="45" t="str">
        <f>IF(OR(K51&lt;&gt;"",T51&lt;&gt;"",AC51&lt;&gt;"",AI51&lt;&gt;"",AG51),SUM(PRODUCT(K51,IF(Settings!$I$9&lt;&gt;0,Settings!$I$9/100,0)),PRODUCT(T51,IF(Settings!$I$10&lt;&gt;0,Settings!$I$10/100,0)),PRODUCT(AC51,IF(Settings!$I$11&lt;&gt;0,Settings!$I$11/100,0)),PRODUCT(AG51,IF(Settings!$I$12&lt;&gt;0,Settings!$I$12/100,0)),PRODUCT(AI51,IF(Settings!$I$13&lt;&gt;0,Settings!$I$13/100,0))),"")</f>
        <v/>
      </c>
      <c r="AK51" s="45" t="str">
        <f>Prelim!AJ51</f>
        <v/>
      </c>
      <c r="AL51" s="45" t="str">
        <f>Midterm!AL51</f>
        <v/>
      </c>
      <c r="AM51" s="46" t="str">
        <f>IF(AJ51&lt;&gt;"",AVERAGE(Prelim!AJ51,Midterm!AL51,SemiFinal!AJ51),"")</f>
        <v/>
      </c>
      <c r="AN51" s="37"/>
      <c r="AO51" s="37"/>
      <c r="AP51" s="37"/>
      <c r="AQ51" s="37"/>
      <c r="AR51" s="37"/>
      <c r="AS51" s="37"/>
    </row>
    <row r="52" spans="1:45" ht="12" customHeight="1" thickBot="1" x14ac:dyDescent="0.35">
      <c r="A52" s="52"/>
      <c r="B52" s="60"/>
      <c r="C52" s="5"/>
      <c r="D52" s="42" t="str">
        <f>IF(AND(B52&lt;&gt;""),IF($C$9&lt;&gt;0,VLOOKUP(C52/$C$9*100,TRANSMUTATION_TABLE!$A$2:$B$102,2),""),"")</f>
        <v/>
      </c>
      <c r="E52" s="5"/>
      <c r="F52" s="42" t="str">
        <f>IF(AND(B52&lt;&gt;""),IF($E$9&lt;&gt;0,VLOOKUP(E52/$E$9*100,TRANSMUTATION_TABLE!$A$2:$B$102,2),""),"")</f>
        <v/>
      </c>
      <c r="G52" s="5"/>
      <c r="H52" s="42" t="str">
        <f>IF(AND(B52&lt;&gt;""),IF($G$9&lt;&gt;0,VLOOKUP(G52/$G$9*100,TRANSMUTATION_TABLE!$A$2:$B$102,2),""),"")</f>
        <v/>
      </c>
      <c r="I52" s="5"/>
      <c r="J52" s="43" t="str">
        <f>IF(AND(B52&lt;&gt;""),IF($I$9&lt;&gt;0,VLOOKUP(I52/$I$9*100,TRANSMUTATION_TABLE!$A$2:$B$102,2),""),"")</f>
        <v/>
      </c>
      <c r="K52" s="81" t="str">
        <f t="shared" si="0"/>
        <v/>
      </c>
      <c r="L52" s="22"/>
      <c r="M52" s="42" t="str">
        <f>IF(AND(B52&lt;&gt;""),IF($L$9&lt;&gt;0,VLOOKUP(L52/$L$9*100,TRANSMUTATION_TABLE!$A$2:$B$102,2),""),"")</f>
        <v/>
      </c>
      <c r="N52" s="5"/>
      <c r="O52" s="42" t="str">
        <f>IF(AND(B52&lt;&gt;""),IF($N$9&lt;&gt;0,VLOOKUP(N52/$N$9*100,TRANSMUTATION_TABLE!$A$2:$B$102,2),""),"")</f>
        <v/>
      </c>
      <c r="P52" s="5"/>
      <c r="Q52" s="42" t="str">
        <f>IF(AND(B52&lt;&gt;""),IF($P$9&lt;&gt;0,VLOOKUP(P52/$P$9*100,TRANSMUTATION_TABLE!$A$2:$B$102,2),""),"")</f>
        <v/>
      </c>
      <c r="R52" s="5"/>
      <c r="S52" s="43" t="str">
        <f>IF(AND(B52&lt;&gt;""),IF($R$9&lt;&gt;0,VLOOKUP(R52/$R$9*100,TRANSMUTATION_TABLE!$A$2:$B$102,2),""),"")</f>
        <v/>
      </c>
      <c r="T52" s="81" t="str">
        <f t="shared" si="1"/>
        <v/>
      </c>
      <c r="U52" s="5"/>
      <c r="V52" s="42" t="str">
        <f>IF(AND(B52&lt;&gt;""),IF($U$9&lt;&gt;0,VLOOKUP(U52/$U$9*100,TRANSMUTATION_TABLE!$A$2:$B$102,2),""),"")</f>
        <v/>
      </c>
      <c r="W52" s="5"/>
      <c r="X52" s="42" t="str">
        <f>IF(AND(B52&lt;&gt;""),IF($W$9&lt;&gt;0,VLOOKUP(W52/$W$9*100,TRANSMUTATION_TABLE!$A$2:$B$102,2),""),"")</f>
        <v/>
      </c>
      <c r="Y52" s="5"/>
      <c r="Z52" s="42" t="str">
        <f>IF(AND(B52&lt;&gt;""),IF($Y$9&lt;&gt;0,VLOOKUP(Y52/$Y$9*100,TRANSMUTATION_TABLE!$A$2:$B$102,2),""),"")</f>
        <v/>
      </c>
      <c r="AA52" s="5"/>
      <c r="AB52" s="43" t="str">
        <f>IF(AND(B52&lt;&gt;""),IF($AA$9&lt;&gt;0,VLOOKUP(AA52/$AA$9*100,TRANSMUTATION_TABLE!$A$2:$B$102,2),""),"")</f>
        <v/>
      </c>
      <c r="AC52" s="81" t="str">
        <f t="shared" si="2"/>
        <v/>
      </c>
      <c r="AD52" s="53"/>
      <c r="AE52" s="42" t="str">
        <f>IF(AND(B52&lt;&gt;""),IF($AD$9&lt;&gt;0,VLOOKUP(AD52/$AD$9*100,TRANSMUTATION_TABLE!$A$2:$B$102,2),""),"")</f>
        <v/>
      </c>
      <c r="AF52" s="50">
        <f>Attendance!BE49</f>
        <v>0</v>
      </c>
      <c r="AG52" s="45" t="str">
        <f>IF(AND(B52&lt;&gt;""),IF($AF$9&lt;&gt;0,VLOOKUP(AF52/$AF$9*100,TRANSMUTATION_TABLE!$A$2:$B$102,2),""),"")</f>
        <v/>
      </c>
      <c r="AH52" s="5"/>
      <c r="AI52" s="45" t="str">
        <f>IF(AND(B52&lt;&gt;""),IF($AH$9&lt;&gt;0,VLOOKUP(AH52/$AH$9*100,TRANSMUTATION_TABLE!$A$2:$B$102,2),""),"")</f>
        <v/>
      </c>
      <c r="AJ52" s="45" t="str">
        <f>IF(OR(K52&lt;&gt;"",T52&lt;&gt;"",AC52&lt;&gt;"",AI52&lt;&gt;"",AG52),SUM(PRODUCT(K52,IF(Settings!$I$9&lt;&gt;0,Settings!$I$9/100,0)),PRODUCT(T52,IF(Settings!$I$10&lt;&gt;0,Settings!$I$10/100,0)),PRODUCT(AC52,IF(Settings!$I$11&lt;&gt;0,Settings!$I$11/100,0)),PRODUCT(AG52,IF(Settings!$I$12&lt;&gt;0,Settings!$I$12/100,0)),PRODUCT(AI52,IF(Settings!$I$13&lt;&gt;0,Settings!$I$13/100,0))),"")</f>
        <v/>
      </c>
      <c r="AK52" s="45" t="str">
        <f>Prelim!AJ52</f>
        <v/>
      </c>
      <c r="AL52" s="45" t="str">
        <f>Midterm!AL52</f>
        <v/>
      </c>
      <c r="AM52" s="46" t="str">
        <f>IF(AJ52&lt;&gt;"",AVERAGE(Prelim!AJ52,Midterm!AL52,SemiFinal!AJ52),"")</f>
        <v/>
      </c>
      <c r="AN52" s="37"/>
      <c r="AO52" s="37"/>
      <c r="AP52" s="37"/>
      <c r="AQ52" s="37"/>
      <c r="AR52" s="37"/>
      <c r="AS52" s="37"/>
    </row>
    <row r="53" spans="1:45" ht="12" customHeight="1" thickBot="1" x14ac:dyDescent="0.35">
      <c r="A53" s="52"/>
      <c r="B53" s="60"/>
      <c r="C53" s="5"/>
      <c r="D53" s="42" t="str">
        <f>IF(AND(B53&lt;&gt;""),IF($C$9&lt;&gt;0,VLOOKUP(C53/$C$9*100,TRANSMUTATION_TABLE!$A$2:$B$102,2),""),"")</f>
        <v/>
      </c>
      <c r="E53" s="5"/>
      <c r="F53" s="42" t="str">
        <f>IF(AND(B53&lt;&gt;""),IF($E$9&lt;&gt;0,VLOOKUP(E53/$E$9*100,TRANSMUTATION_TABLE!$A$2:$B$102,2),""),"")</f>
        <v/>
      </c>
      <c r="G53" s="5"/>
      <c r="H53" s="42" t="str">
        <f>IF(AND(B53&lt;&gt;""),IF($G$9&lt;&gt;0,VLOOKUP(G53/$G$9*100,TRANSMUTATION_TABLE!$A$2:$B$102,2),""),"")</f>
        <v/>
      </c>
      <c r="I53" s="5"/>
      <c r="J53" s="43" t="str">
        <f>IF(AND(B53&lt;&gt;""),IF($I$9&lt;&gt;0,VLOOKUP(I53/$I$9*100,TRANSMUTATION_TABLE!$A$2:$B$102,2),""),"")</f>
        <v/>
      </c>
      <c r="K53" s="81" t="str">
        <f t="shared" si="0"/>
        <v/>
      </c>
      <c r="L53" s="22"/>
      <c r="M53" s="42" t="str">
        <f>IF(AND(B53&lt;&gt;""),IF($L$9&lt;&gt;0,VLOOKUP(L53/$L$9*100,TRANSMUTATION_TABLE!$A$2:$B$102,2),""),"")</f>
        <v/>
      </c>
      <c r="N53" s="5"/>
      <c r="O53" s="42" t="str">
        <f>IF(AND(B53&lt;&gt;""),IF($N$9&lt;&gt;0,VLOOKUP(N53/$N$9*100,TRANSMUTATION_TABLE!$A$2:$B$102,2),""),"")</f>
        <v/>
      </c>
      <c r="P53" s="5"/>
      <c r="Q53" s="42" t="str">
        <f>IF(AND(B53&lt;&gt;""),IF($P$9&lt;&gt;0,VLOOKUP(P53/$P$9*100,TRANSMUTATION_TABLE!$A$2:$B$102,2),""),"")</f>
        <v/>
      </c>
      <c r="R53" s="5"/>
      <c r="S53" s="43" t="str">
        <f>IF(AND(B53&lt;&gt;""),IF($R$9&lt;&gt;0,VLOOKUP(R53/$R$9*100,TRANSMUTATION_TABLE!$A$2:$B$102,2),""),"")</f>
        <v/>
      </c>
      <c r="T53" s="81" t="str">
        <f t="shared" si="1"/>
        <v/>
      </c>
      <c r="U53" s="5"/>
      <c r="V53" s="42" t="str">
        <f>IF(AND(B53&lt;&gt;""),IF($U$9&lt;&gt;0,VLOOKUP(U53/$U$9*100,TRANSMUTATION_TABLE!$A$2:$B$102,2),""),"")</f>
        <v/>
      </c>
      <c r="W53" s="5"/>
      <c r="X53" s="42" t="str">
        <f>IF(AND(B53&lt;&gt;""),IF($W$9&lt;&gt;0,VLOOKUP(W53/$W$9*100,TRANSMUTATION_TABLE!$A$2:$B$102,2),""),"")</f>
        <v/>
      </c>
      <c r="Y53" s="5"/>
      <c r="Z53" s="42" t="str">
        <f>IF(AND(B53&lt;&gt;""),IF($Y$9&lt;&gt;0,VLOOKUP(Y53/$Y$9*100,TRANSMUTATION_TABLE!$A$2:$B$102,2),""),"")</f>
        <v/>
      </c>
      <c r="AA53" s="5"/>
      <c r="AB53" s="43" t="str">
        <f>IF(AND(B53&lt;&gt;""),IF($AA$9&lt;&gt;0,VLOOKUP(AA53/$AA$9*100,TRANSMUTATION_TABLE!$A$2:$B$102,2),""),"")</f>
        <v/>
      </c>
      <c r="AC53" s="81" t="str">
        <f t="shared" si="2"/>
        <v/>
      </c>
      <c r="AD53" s="53"/>
      <c r="AE53" s="42" t="str">
        <f>IF(AND(B53&lt;&gt;""),IF($AD$9&lt;&gt;0,VLOOKUP(AD53/$AD$9*100,TRANSMUTATION_TABLE!$A$2:$B$102,2),""),"")</f>
        <v/>
      </c>
      <c r="AF53" s="50">
        <f>Attendance!BE50</f>
        <v>0</v>
      </c>
      <c r="AG53" s="45" t="str">
        <f>IF(AND(B53&lt;&gt;""),IF($AF$9&lt;&gt;0,VLOOKUP(AF53/$AF$9*100,TRANSMUTATION_TABLE!$A$2:$B$102,2),""),"")</f>
        <v/>
      </c>
      <c r="AH53" s="5"/>
      <c r="AI53" s="45" t="str">
        <f>IF(AND(B53&lt;&gt;""),IF($AH$9&lt;&gt;0,VLOOKUP(AH53/$AH$9*100,TRANSMUTATION_TABLE!$A$2:$B$102,2),""),"")</f>
        <v/>
      </c>
      <c r="AJ53" s="45" t="str">
        <f>IF(OR(K53&lt;&gt;"",T53&lt;&gt;"",AC53&lt;&gt;"",AI53&lt;&gt;"",AG53),SUM(PRODUCT(K53,IF(Settings!$I$9&lt;&gt;0,Settings!$I$9/100,0)),PRODUCT(T53,IF(Settings!$I$10&lt;&gt;0,Settings!$I$10/100,0)),PRODUCT(AC53,IF(Settings!$I$11&lt;&gt;0,Settings!$I$11/100,0)),PRODUCT(AG53,IF(Settings!$I$12&lt;&gt;0,Settings!$I$12/100,0)),PRODUCT(AI53,IF(Settings!$I$13&lt;&gt;0,Settings!$I$13/100,0))),"")</f>
        <v/>
      </c>
      <c r="AK53" s="45" t="str">
        <f>Prelim!AJ53</f>
        <v/>
      </c>
      <c r="AL53" s="45" t="str">
        <f>Midterm!AL53</f>
        <v/>
      </c>
      <c r="AM53" s="46" t="str">
        <f>IF(AJ53&lt;&gt;"",AVERAGE(Prelim!AJ53,Midterm!AL53,SemiFinal!AJ53),"")</f>
        <v/>
      </c>
      <c r="AN53" s="37"/>
      <c r="AO53" s="37"/>
      <c r="AP53" s="37"/>
      <c r="AQ53" s="37"/>
      <c r="AR53" s="37"/>
      <c r="AS53" s="37"/>
    </row>
    <row r="54" spans="1:45" ht="12" customHeight="1" thickBot="1" x14ac:dyDescent="0.35">
      <c r="A54" s="54"/>
      <c r="B54" s="60"/>
      <c r="C54" s="55"/>
      <c r="D54" s="42" t="str">
        <f>IF(AND(B54&lt;&gt;""),IF($C$9&lt;&gt;0,VLOOKUP(C54/$C$9*100,TRANSMUTATION_TABLE!$A$2:$B$102,2),""),"")</f>
        <v/>
      </c>
      <c r="E54" s="55"/>
      <c r="F54" s="42" t="str">
        <f>IF(AND(B54&lt;&gt;""),IF($E$9&lt;&gt;0,VLOOKUP(E54/$E$9*100,TRANSMUTATION_TABLE!$A$2:$B$102,2),""),"")</f>
        <v/>
      </c>
      <c r="G54" s="55"/>
      <c r="H54" s="42" t="str">
        <f>IF(AND(B54&lt;&gt;""),IF($G$9&lt;&gt;0,VLOOKUP(G54/$G$9*100,TRANSMUTATION_TABLE!$A$2:$B$102,2),""),"")</f>
        <v/>
      </c>
      <c r="I54" s="55"/>
      <c r="J54" s="43" t="str">
        <f>IF(AND(B54&lt;&gt;""),IF($I$9&lt;&gt;0,VLOOKUP(I54/$I$9*100,TRANSMUTATION_TABLE!$A$2:$B$102,2),""),"")</f>
        <v/>
      </c>
      <c r="K54" s="81" t="str">
        <f t="shared" si="0"/>
        <v/>
      </c>
      <c r="L54" s="22"/>
      <c r="M54" s="42" t="str">
        <f>IF(AND(B54&lt;&gt;""),IF($L$9&lt;&gt;0,VLOOKUP(L54/$L$9*100,TRANSMUTATION_TABLE!$A$2:$B$102,2),""),"")</f>
        <v/>
      </c>
      <c r="N54" s="55"/>
      <c r="O54" s="42" t="str">
        <f>IF(AND(B54&lt;&gt;""),IF($N$9&lt;&gt;0,VLOOKUP(N54/$N$9*100,TRANSMUTATION_TABLE!$A$2:$B$102,2),""),"")</f>
        <v/>
      </c>
      <c r="P54" s="55"/>
      <c r="Q54" s="42" t="str">
        <f>IF(AND(B54&lt;&gt;""),IF($P$9&lt;&gt;0,VLOOKUP(P54/$P$9*100,TRANSMUTATION_TABLE!$A$2:$B$102,2),""),"")</f>
        <v/>
      </c>
      <c r="R54" s="55"/>
      <c r="S54" s="43" t="str">
        <f>IF(AND(B54&lt;&gt;""),IF($R$9&lt;&gt;0,VLOOKUP(R54/$R$9*100,TRANSMUTATION_TABLE!$A$2:$B$102,2),""),"")</f>
        <v/>
      </c>
      <c r="T54" s="81" t="str">
        <f t="shared" si="1"/>
        <v/>
      </c>
      <c r="U54" s="55"/>
      <c r="V54" s="42" t="str">
        <f>IF(AND(B54&lt;&gt;""),IF($U$9&lt;&gt;0,VLOOKUP(U54/$U$9*100,TRANSMUTATION_TABLE!$A$2:$B$102,2),""),"")</f>
        <v/>
      </c>
      <c r="W54" s="55"/>
      <c r="X54" s="42" t="str">
        <f>IF(AND(B54&lt;&gt;""),IF($W$9&lt;&gt;0,VLOOKUP(W54/$W$9*100,TRANSMUTATION_TABLE!$A$2:$B$102,2),""),"")</f>
        <v/>
      </c>
      <c r="Y54" s="55"/>
      <c r="Z54" s="42" t="str">
        <f>IF(AND(B54&lt;&gt;""),IF($Y$9&lt;&gt;0,VLOOKUP(Y54/$Y$9*100,TRANSMUTATION_TABLE!$A$2:$B$102,2),""),"")</f>
        <v/>
      </c>
      <c r="AA54" s="55"/>
      <c r="AB54" s="43" t="str">
        <f>IF(AND(B54&lt;&gt;""),IF($AA$9&lt;&gt;0,VLOOKUP(AA54/$AA$9*100,TRANSMUTATION_TABLE!$A$2:$B$102,2),""),"")</f>
        <v/>
      </c>
      <c r="AC54" s="81" t="str">
        <f t="shared" si="2"/>
        <v/>
      </c>
      <c r="AD54" s="53"/>
      <c r="AE54" s="42" t="str">
        <f>IF(AND(B54&lt;&gt;""),IF($AD$9&lt;&gt;0,VLOOKUP(AD54/$AD$9*100,TRANSMUTATION_TABLE!$A$2:$B$102,2),""),"")</f>
        <v/>
      </c>
      <c r="AF54" s="50">
        <f>Attendance!BE51</f>
        <v>0</v>
      </c>
      <c r="AG54" s="45" t="str">
        <f>IF(AND(B54&lt;&gt;""),IF($AF$9&lt;&gt;0,VLOOKUP(AF54/$AF$9*100,TRANSMUTATION_TABLE!$A$2:$B$102,2),""),"")</f>
        <v/>
      </c>
      <c r="AH54" s="55"/>
      <c r="AI54" s="45" t="str">
        <f>IF(AND(B54&lt;&gt;""),IF($AH$9&lt;&gt;0,VLOOKUP(AH54/$AH$9*100,TRANSMUTATION_TABLE!$A$2:$B$102,2),""),"")</f>
        <v/>
      </c>
      <c r="AJ54" s="45" t="str">
        <f>IF(OR(K54&lt;&gt;"",T54&lt;&gt;"",AC54&lt;&gt;"",AI54&lt;&gt;"",AG54),SUM(PRODUCT(K54,IF(Settings!$I$9&lt;&gt;0,Settings!$I$9/100,0)),PRODUCT(T54,IF(Settings!$I$10&lt;&gt;0,Settings!$I$10/100,0)),PRODUCT(AC54,IF(Settings!$I$11&lt;&gt;0,Settings!$I$11/100,0)),PRODUCT(AG54,IF(Settings!$I$12&lt;&gt;0,Settings!$I$12/100,0)),PRODUCT(AI54,IF(Settings!$I$13&lt;&gt;0,Settings!$I$13/100,0))),"")</f>
        <v/>
      </c>
      <c r="AK54" s="45" t="str">
        <f>Prelim!AJ54</f>
        <v/>
      </c>
      <c r="AL54" s="45" t="str">
        <f>Midterm!AL54</f>
        <v/>
      </c>
      <c r="AM54" s="46" t="str">
        <f>IF(AJ54&lt;&gt;"",AVERAGE(Prelim!AJ54,Midterm!AL54,SemiFinal!AJ54),"")</f>
        <v/>
      </c>
      <c r="AN54" s="37"/>
      <c r="AO54" s="37"/>
      <c r="AP54" s="37"/>
      <c r="AQ54" s="37"/>
      <c r="AR54" s="37"/>
      <c r="AS54" s="37"/>
    </row>
    <row r="55" spans="1:45" ht="12" customHeight="1" thickBot="1" x14ac:dyDescent="0.35">
      <c r="A55" s="59"/>
      <c r="B55" s="117"/>
      <c r="C55" s="5"/>
      <c r="D55" s="42" t="str">
        <f>IF(AND(B55&lt;&gt;""),IF($C$9&lt;&gt;0,VLOOKUP(C55/$C$9*100,TRANSMUTATION_TABLE!$A$2:$B$102,2),""),"")</f>
        <v/>
      </c>
      <c r="E55" s="5"/>
      <c r="F55" s="42" t="str">
        <f>IF(AND(B55&lt;&gt;""),IF($E$9&lt;&gt;0,VLOOKUP(E55/$E$9*100,TRANSMUTATION_TABLE!$A$2:$B$102,2),""),"")</f>
        <v/>
      </c>
      <c r="G55" s="5"/>
      <c r="H55" s="42" t="str">
        <f>IF(AND(B55&lt;&gt;""),IF($G$9&lt;&gt;0,VLOOKUP(G55/$G$9*100,TRANSMUTATION_TABLE!$A$2:$B$102,2),""),"")</f>
        <v/>
      </c>
      <c r="I55" s="5"/>
      <c r="J55" s="43" t="str">
        <f>IF(AND(B55&lt;&gt;""),IF($I$9&lt;&gt;0,VLOOKUP(I55/$I$9*100,TRANSMUTATION_TABLE!$A$2:$B$102,2),""),"")</f>
        <v/>
      </c>
      <c r="K55" s="81" t="str">
        <f t="shared" si="0"/>
        <v/>
      </c>
      <c r="L55" s="22"/>
      <c r="M55" s="42" t="str">
        <f>IF(AND(B55&lt;&gt;""),IF($L$9&lt;&gt;0,VLOOKUP(L55/$L$9*100,TRANSMUTATION_TABLE!$A$2:$B$102,2),""),"")</f>
        <v/>
      </c>
      <c r="N55" s="5"/>
      <c r="O55" s="42" t="str">
        <f>IF(AND(B55&lt;&gt;""),IF($N$9&lt;&gt;0,VLOOKUP(N55/$N$9*100,TRANSMUTATION_TABLE!$A$2:$B$102,2),""),"")</f>
        <v/>
      </c>
      <c r="P55" s="5"/>
      <c r="Q55" s="42" t="str">
        <f>IF(AND(B55&lt;&gt;""),IF($P$9&lt;&gt;0,VLOOKUP(P55/$P$9*100,TRANSMUTATION_TABLE!$A$2:$B$102,2),""),"")</f>
        <v/>
      </c>
      <c r="R55" s="5"/>
      <c r="S55" s="43" t="str">
        <f>IF(AND(B55&lt;&gt;""),IF($R$9&lt;&gt;0,VLOOKUP(R55/$R$9*100,TRANSMUTATION_TABLE!$A$2:$B$102,2),""),"")</f>
        <v/>
      </c>
      <c r="T55" s="81" t="str">
        <f t="shared" si="1"/>
        <v/>
      </c>
      <c r="U55" s="5"/>
      <c r="V55" s="42" t="str">
        <f>IF(AND(B55&lt;&gt;""),IF($U$9&lt;&gt;0,VLOOKUP(U55/$U$9*100,TRANSMUTATION_TABLE!$A$2:$B$102,2),""),"")</f>
        <v/>
      </c>
      <c r="W55" s="5"/>
      <c r="X55" s="42" t="str">
        <f>IF(AND(B55&lt;&gt;""),IF($W$9&lt;&gt;0,VLOOKUP(W55/$W$9*100,TRANSMUTATION_TABLE!$A$2:$B$102,2),""),"")</f>
        <v/>
      </c>
      <c r="Y55" s="5"/>
      <c r="Z55" s="42" t="str">
        <f>IF(AND(B55&lt;&gt;""),IF($Y$9&lt;&gt;0,VLOOKUP(Y55/$Y$9*100,TRANSMUTATION_TABLE!$A$2:$B$102,2),""),"")</f>
        <v/>
      </c>
      <c r="AA55" s="5"/>
      <c r="AB55" s="43" t="str">
        <f>IF(AND(B55&lt;&gt;""),IF($AA$9&lt;&gt;0,VLOOKUP(AA55/$AA$9*100,TRANSMUTATION_TABLE!$A$2:$B$102,2),""),"")</f>
        <v/>
      </c>
      <c r="AC55" s="81" t="str">
        <f t="shared" si="2"/>
        <v/>
      </c>
      <c r="AD55" s="53"/>
      <c r="AE55" s="42" t="str">
        <f>IF(AND(B55&lt;&gt;""),IF($AD$9&lt;&gt;0,VLOOKUP(AD55/$AD$9*100,TRANSMUTATION_TABLE!$A$2:$B$102,2),""),"")</f>
        <v/>
      </c>
      <c r="AF55" s="50">
        <f>Attendance!BE52</f>
        <v>0</v>
      </c>
      <c r="AG55" s="45" t="str">
        <f>IF(AND(B55&lt;&gt;""),IF($AF$9&lt;&gt;0,VLOOKUP(AF55/$AF$9*100,TRANSMUTATION_TABLE!$A$2:$B$102,2),""),"")</f>
        <v/>
      </c>
      <c r="AH55" s="5"/>
      <c r="AI55" s="45" t="str">
        <f>IF(AND(B55&lt;&gt;""),IF($AH$9&lt;&gt;0,VLOOKUP(AH55/$AH$9*100,TRANSMUTATION_TABLE!$A$2:$B$102,2),""),"")</f>
        <v/>
      </c>
      <c r="AJ55" s="45" t="str">
        <f>IF(OR(K55&lt;&gt;"",T55&lt;&gt;"",AC55&lt;&gt;"",AI55&lt;&gt;"",AG55),SUM(PRODUCT(K55,IF(Settings!$I$9&lt;&gt;0,Settings!$I$9/100,0)),PRODUCT(T55,IF(Settings!$I$10&lt;&gt;0,Settings!$I$10/100,0)),PRODUCT(AC55,IF(Settings!$I$11&lt;&gt;0,Settings!$I$11/100,0)),PRODUCT(AG55,IF(Settings!$I$12&lt;&gt;0,Settings!$I$12/100,0)),PRODUCT(AI55,IF(Settings!$I$13&lt;&gt;0,Settings!$I$13/100,0))),"")</f>
        <v/>
      </c>
      <c r="AK55" s="45" t="str">
        <f>Prelim!AJ55</f>
        <v/>
      </c>
      <c r="AL55" s="45" t="str">
        <f>Midterm!AL55</f>
        <v/>
      </c>
      <c r="AM55" s="46" t="str">
        <f>IF(AJ55&lt;&gt;"",AVERAGE(Prelim!AJ55,Midterm!AL55,SemiFinal!AJ55),"")</f>
        <v/>
      </c>
      <c r="AN55" s="37"/>
      <c r="AO55" s="37"/>
      <c r="AP55" s="37"/>
      <c r="AQ55" s="37"/>
      <c r="AR55" s="37"/>
      <c r="AS55" s="37"/>
    </row>
    <row r="56" spans="1:45" ht="12" customHeight="1" thickBot="1" x14ac:dyDescent="0.35">
      <c r="A56" s="52"/>
      <c r="B56" s="60"/>
      <c r="C56" s="5"/>
      <c r="D56" s="42" t="str">
        <f>IF(AND(B56&lt;&gt;""),IF($C$9&lt;&gt;0,VLOOKUP(C56/$C$9*100,TRANSMUTATION_TABLE!$A$2:$B$102,2),""),"")</f>
        <v/>
      </c>
      <c r="E56" s="5"/>
      <c r="F56" s="42" t="str">
        <f>IF(AND(B56&lt;&gt;""),IF($E$9&lt;&gt;0,VLOOKUP(E56/$E$9*100,TRANSMUTATION_TABLE!$A$2:$B$102,2),""),"")</f>
        <v/>
      </c>
      <c r="G56" s="5"/>
      <c r="H56" s="42" t="str">
        <f>IF(AND(B56&lt;&gt;""),IF($G$9&lt;&gt;0,VLOOKUP(G56/$G$9*100,TRANSMUTATION_TABLE!$A$2:$B$102,2),""),"")</f>
        <v/>
      </c>
      <c r="I56" s="5"/>
      <c r="J56" s="43" t="str">
        <f>IF(AND(B56&lt;&gt;""),IF($I$9&lt;&gt;0,VLOOKUP(I56/$I$9*100,TRANSMUTATION_TABLE!$A$2:$B$102,2),""),"")</f>
        <v/>
      </c>
      <c r="K56" s="81" t="str">
        <f t="shared" si="0"/>
        <v/>
      </c>
      <c r="L56" s="22"/>
      <c r="M56" s="42" t="str">
        <f>IF(AND(B56&lt;&gt;""),IF($L$9&lt;&gt;0,VLOOKUP(L56/$L$9*100,TRANSMUTATION_TABLE!$A$2:$B$102,2),""),"")</f>
        <v/>
      </c>
      <c r="N56" s="5"/>
      <c r="O56" s="42" t="str">
        <f>IF(AND(B56&lt;&gt;""),IF($N$9&lt;&gt;0,VLOOKUP(N56/$N$9*100,TRANSMUTATION_TABLE!$A$2:$B$102,2),""),"")</f>
        <v/>
      </c>
      <c r="P56" s="5"/>
      <c r="Q56" s="42" t="str">
        <f>IF(AND(B56&lt;&gt;""),IF($P$9&lt;&gt;0,VLOOKUP(P56/$P$9*100,TRANSMUTATION_TABLE!$A$2:$B$102,2),""),"")</f>
        <v/>
      </c>
      <c r="R56" s="5"/>
      <c r="S56" s="43" t="str">
        <f>IF(AND(B56&lt;&gt;""),IF($R$9&lt;&gt;0,VLOOKUP(R56/$R$9*100,TRANSMUTATION_TABLE!$A$2:$B$102,2),""),"")</f>
        <v/>
      </c>
      <c r="T56" s="81" t="str">
        <f t="shared" si="1"/>
        <v/>
      </c>
      <c r="U56" s="5"/>
      <c r="V56" s="42" t="str">
        <f>IF(AND(B56&lt;&gt;""),IF($U$9&lt;&gt;0,VLOOKUP(U56/$U$9*100,TRANSMUTATION_TABLE!$A$2:$B$102,2),""),"")</f>
        <v/>
      </c>
      <c r="W56" s="5"/>
      <c r="X56" s="42" t="str">
        <f>IF(AND(B56&lt;&gt;""),IF($W$9&lt;&gt;0,VLOOKUP(W56/$W$9*100,TRANSMUTATION_TABLE!$A$2:$B$102,2),""),"")</f>
        <v/>
      </c>
      <c r="Y56" s="5"/>
      <c r="Z56" s="42" t="str">
        <f>IF(AND(B56&lt;&gt;""),IF($Y$9&lt;&gt;0,VLOOKUP(Y56/$Y$9*100,TRANSMUTATION_TABLE!$A$2:$B$102,2),""),"")</f>
        <v/>
      </c>
      <c r="AA56" s="5"/>
      <c r="AB56" s="43" t="str">
        <f>IF(AND(B56&lt;&gt;""),IF($AA$9&lt;&gt;0,VLOOKUP(AA56/$AA$9*100,TRANSMUTATION_TABLE!$A$2:$B$102,2),""),"")</f>
        <v/>
      </c>
      <c r="AC56" s="81" t="str">
        <f t="shared" si="2"/>
        <v/>
      </c>
      <c r="AD56" s="53"/>
      <c r="AE56" s="42" t="str">
        <f>IF(AND(B56&lt;&gt;""),IF($AD$9&lt;&gt;0,VLOOKUP(AD56/$AD$9*100,TRANSMUTATION_TABLE!$A$2:$B$102,2),""),"")</f>
        <v/>
      </c>
      <c r="AF56" s="50">
        <f>Attendance!BE53</f>
        <v>0</v>
      </c>
      <c r="AG56" s="45" t="str">
        <f>IF(AND(B56&lt;&gt;""),IF($AF$9&lt;&gt;0,VLOOKUP(AF56/$AF$9*100,TRANSMUTATION_TABLE!$A$2:$B$102,2),""),"")</f>
        <v/>
      </c>
      <c r="AH56" s="5"/>
      <c r="AI56" s="45" t="str">
        <f>IF(AND(B56&lt;&gt;""),IF($AH$9&lt;&gt;0,VLOOKUP(AH56/$AH$9*100,TRANSMUTATION_TABLE!$A$2:$B$102,2),""),"")</f>
        <v/>
      </c>
      <c r="AJ56" s="45" t="str">
        <f>IF(OR(K56&lt;&gt;"",T56&lt;&gt;"",AC56&lt;&gt;"",AI56&lt;&gt;"",AG56),SUM(PRODUCT(K56,IF(Settings!$I$9&lt;&gt;0,Settings!$I$9/100,0)),PRODUCT(T56,IF(Settings!$I$10&lt;&gt;0,Settings!$I$10/100,0)),PRODUCT(AC56,IF(Settings!$I$11&lt;&gt;0,Settings!$I$11/100,0)),PRODUCT(AG56,IF(Settings!$I$12&lt;&gt;0,Settings!$I$12/100,0)),PRODUCT(AI56,IF(Settings!$I$13&lt;&gt;0,Settings!$I$13/100,0))),"")</f>
        <v/>
      </c>
      <c r="AK56" s="45" t="str">
        <f>Prelim!AJ56</f>
        <v/>
      </c>
      <c r="AL56" s="45" t="str">
        <f>Midterm!AL56</f>
        <v/>
      </c>
      <c r="AM56" s="46" t="str">
        <f>IF(AJ56&lt;&gt;"",AVERAGE(Prelim!AJ56,Midterm!AL56,SemiFinal!AJ56),"")</f>
        <v/>
      </c>
      <c r="AN56" s="37"/>
      <c r="AO56" s="37"/>
      <c r="AP56" s="37"/>
      <c r="AQ56" s="37"/>
      <c r="AR56" s="37"/>
      <c r="AS56" s="37"/>
    </row>
    <row r="57" spans="1:45" ht="12" customHeight="1" thickBot="1" x14ac:dyDescent="0.35">
      <c r="A57" s="52"/>
      <c r="B57" s="60"/>
      <c r="C57" s="5"/>
      <c r="D57" s="42" t="str">
        <f>IF(AND(B57&lt;&gt;""),IF($C$9&lt;&gt;0,VLOOKUP(C57/$C$9*100,TRANSMUTATION_TABLE!$A$2:$B$102,2),""),"")</f>
        <v/>
      </c>
      <c r="E57" s="5"/>
      <c r="F57" s="42" t="str">
        <f>IF(AND(B57&lt;&gt;""),IF($E$9&lt;&gt;0,VLOOKUP(E57/$E$9*100,TRANSMUTATION_TABLE!$A$2:$B$102,2),""),"")</f>
        <v/>
      </c>
      <c r="G57" s="5"/>
      <c r="H57" s="42" t="str">
        <f>IF(AND(B57&lt;&gt;""),IF($G$9&lt;&gt;0,VLOOKUP(G57/$G$9*100,TRANSMUTATION_TABLE!$A$2:$B$102,2),""),"")</f>
        <v/>
      </c>
      <c r="I57" s="5"/>
      <c r="J57" s="43" t="str">
        <f>IF(AND(B57&lt;&gt;""),IF($I$9&lt;&gt;0,VLOOKUP(I57/$I$9*100,TRANSMUTATION_TABLE!$A$2:$B$102,2),""),"")</f>
        <v/>
      </c>
      <c r="K57" s="81" t="str">
        <f t="shared" si="0"/>
        <v/>
      </c>
      <c r="L57" s="22"/>
      <c r="M57" s="42" t="str">
        <f>IF(AND(B57&lt;&gt;""),IF($L$9&lt;&gt;0,VLOOKUP(L57/$L$9*100,TRANSMUTATION_TABLE!$A$2:$B$102,2),""),"")</f>
        <v/>
      </c>
      <c r="N57" s="5"/>
      <c r="O57" s="42" t="str">
        <f>IF(AND(B57&lt;&gt;""),IF($N$9&lt;&gt;0,VLOOKUP(N57/$N$9*100,TRANSMUTATION_TABLE!$A$2:$B$102,2),""),"")</f>
        <v/>
      </c>
      <c r="P57" s="5"/>
      <c r="Q57" s="42" t="str">
        <f>IF(AND(B57&lt;&gt;""),IF($P$9&lt;&gt;0,VLOOKUP(P57/$P$9*100,TRANSMUTATION_TABLE!$A$2:$B$102,2),""),"")</f>
        <v/>
      </c>
      <c r="R57" s="5"/>
      <c r="S57" s="43" t="str">
        <f>IF(AND(B57&lt;&gt;""),IF($R$9&lt;&gt;0,VLOOKUP(R57/$R$9*100,TRANSMUTATION_TABLE!$A$2:$B$102,2),""),"")</f>
        <v/>
      </c>
      <c r="T57" s="81" t="str">
        <f t="shared" si="1"/>
        <v/>
      </c>
      <c r="U57" s="5"/>
      <c r="V57" s="42" t="str">
        <f>IF(AND(B57&lt;&gt;""),IF($U$9&lt;&gt;0,VLOOKUP(U57/$U$9*100,TRANSMUTATION_TABLE!$A$2:$B$102,2),""),"")</f>
        <v/>
      </c>
      <c r="W57" s="5"/>
      <c r="X57" s="42" t="str">
        <f>IF(AND(B57&lt;&gt;""),IF($W$9&lt;&gt;0,VLOOKUP(W57/$W$9*100,TRANSMUTATION_TABLE!$A$2:$B$102,2),""),"")</f>
        <v/>
      </c>
      <c r="Y57" s="5"/>
      <c r="Z57" s="42" t="str">
        <f>IF(AND(B57&lt;&gt;""),IF($Y$9&lt;&gt;0,VLOOKUP(Y57/$Y$9*100,TRANSMUTATION_TABLE!$A$2:$B$102,2),""),"")</f>
        <v/>
      </c>
      <c r="AA57" s="5"/>
      <c r="AB57" s="43" t="str">
        <f>IF(AND(B57&lt;&gt;""),IF($AA$9&lt;&gt;0,VLOOKUP(AA57/$AA$9*100,TRANSMUTATION_TABLE!$A$2:$B$102,2),""),"")</f>
        <v/>
      </c>
      <c r="AC57" s="81" t="str">
        <f t="shared" si="2"/>
        <v/>
      </c>
      <c r="AD57" s="53"/>
      <c r="AE57" s="42" t="str">
        <f>IF(AND(B57&lt;&gt;""),IF($AD$9&lt;&gt;0,VLOOKUP(AD57/$AD$9*100,TRANSMUTATION_TABLE!$A$2:$B$102,2),""),"")</f>
        <v/>
      </c>
      <c r="AF57" s="50">
        <f>Attendance!BE54</f>
        <v>0</v>
      </c>
      <c r="AG57" s="45" t="str">
        <f>IF(AND(B57&lt;&gt;""),IF($AF$9&lt;&gt;0,VLOOKUP(AF57/$AF$9*100,TRANSMUTATION_TABLE!$A$2:$B$102,2),""),"")</f>
        <v/>
      </c>
      <c r="AH57" s="5"/>
      <c r="AI57" s="45" t="str">
        <f>IF(AND(B57&lt;&gt;""),IF($AH$9&lt;&gt;0,VLOOKUP(AH57/$AH$9*100,TRANSMUTATION_TABLE!$A$2:$B$102,2),""),"")</f>
        <v/>
      </c>
      <c r="AJ57" s="45" t="str">
        <f>IF(OR(K57&lt;&gt;"",T57&lt;&gt;"",AC57&lt;&gt;"",AI57&lt;&gt;"",AG57),SUM(PRODUCT(K57,IF(Settings!$I$9&lt;&gt;0,Settings!$I$9/100,0)),PRODUCT(T57,IF(Settings!$I$10&lt;&gt;0,Settings!$I$10/100,0)),PRODUCT(AC57,IF(Settings!$I$11&lt;&gt;0,Settings!$I$11/100,0)),PRODUCT(AG57,IF(Settings!$I$12&lt;&gt;0,Settings!$I$12/100,0)),PRODUCT(AI57,IF(Settings!$I$13&lt;&gt;0,Settings!$I$13/100,0))),"")</f>
        <v/>
      </c>
      <c r="AK57" s="45" t="str">
        <f>Prelim!AJ57</f>
        <v/>
      </c>
      <c r="AL57" s="45" t="str">
        <f>Midterm!AL57</f>
        <v/>
      </c>
      <c r="AM57" s="46" t="str">
        <f>IF(AJ57&lt;&gt;"",AVERAGE(Prelim!AJ57,Midterm!AL57,SemiFinal!AJ57),"")</f>
        <v/>
      </c>
      <c r="AN57" s="37"/>
      <c r="AO57" s="37"/>
      <c r="AP57" s="37"/>
      <c r="AQ57" s="37"/>
      <c r="AR57" s="37"/>
      <c r="AS57" s="37"/>
    </row>
    <row r="58" spans="1:45" ht="12" customHeight="1" thickBot="1" x14ac:dyDescent="0.35">
      <c r="A58" s="52"/>
      <c r="B58" s="60"/>
      <c r="C58" s="5"/>
      <c r="D58" s="42" t="str">
        <f>IF(AND(B58&lt;&gt;""),IF($C$9&lt;&gt;0,VLOOKUP(C58/$C$9*100,TRANSMUTATION_TABLE!$A$2:$B$102,2),""),"")</f>
        <v/>
      </c>
      <c r="E58" s="5"/>
      <c r="F58" s="42" t="str">
        <f>IF(AND(B58&lt;&gt;""),IF($E$9&lt;&gt;0,VLOOKUP(E58/$E$9*100,TRANSMUTATION_TABLE!$A$2:$B$102,2),""),"")</f>
        <v/>
      </c>
      <c r="G58" s="5"/>
      <c r="H58" s="42" t="str">
        <f>IF(AND(B58&lt;&gt;""),IF($G$9&lt;&gt;0,VLOOKUP(G58/$G$9*100,TRANSMUTATION_TABLE!$A$2:$B$102,2),""),"")</f>
        <v/>
      </c>
      <c r="I58" s="5"/>
      <c r="J58" s="43" t="str">
        <f>IF(AND(B58&lt;&gt;""),IF($I$9&lt;&gt;0,VLOOKUP(I58/$I$9*100,TRANSMUTATION_TABLE!$A$2:$B$102,2),""),"")</f>
        <v/>
      </c>
      <c r="K58" s="81" t="str">
        <f t="shared" si="0"/>
        <v/>
      </c>
      <c r="L58" s="22"/>
      <c r="M58" s="42" t="str">
        <f>IF(AND(B58&lt;&gt;""),IF($L$9&lt;&gt;0,VLOOKUP(L58/$L$9*100,TRANSMUTATION_TABLE!$A$2:$B$102,2),""),"")</f>
        <v/>
      </c>
      <c r="N58" s="5"/>
      <c r="O58" s="42" t="str">
        <f>IF(AND(B58&lt;&gt;""),IF($N$9&lt;&gt;0,VLOOKUP(N58/$N$9*100,TRANSMUTATION_TABLE!$A$2:$B$102,2),""),"")</f>
        <v/>
      </c>
      <c r="P58" s="5"/>
      <c r="Q58" s="42" t="str">
        <f>IF(AND(B58&lt;&gt;""),IF($P$9&lt;&gt;0,VLOOKUP(P58/$P$9*100,TRANSMUTATION_TABLE!$A$2:$B$102,2),""),"")</f>
        <v/>
      </c>
      <c r="R58" s="5"/>
      <c r="S58" s="43" t="str">
        <f>IF(AND(B58&lt;&gt;""),IF($R$9&lt;&gt;0,VLOOKUP(R58/$R$9*100,TRANSMUTATION_TABLE!$A$2:$B$102,2),""),"")</f>
        <v/>
      </c>
      <c r="T58" s="81" t="str">
        <f t="shared" si="1"/>
        <v/>
      </c>
      <c r="U58" s="5"/>
      <c r="V58" s="42" t="str">
        <f>IF(AND(B58&lt;&gt;""),IF($U$9&lt;&gt;0,VLOOKUP(U58/$U$9*100,TRANSMUTATION_TABLE!$A$2:$B$102,2),""),"")</f>
        <v/>
      </c>
      <c r="W58" s="5"/>
      <c r="X58" s="42" t="str">
        <f>IF(AND(B58&lt;&gt;""),IF($W$9&lt;&gt;0,VLOOKUP(W58/$W$9*100,TRANSMUTATION_TABLE!$A$2:$B$102,2),""),"")</f>
        <v/>
      </c>
      <c r="Y58" s="5"/>
      <c r="Z58" s="42" t="str">
        <f>IF(AND(B58&lt;&gt;""),IF($Y$9&lt;&gt;0,VLOOKUP(Y58/$Y$9*100,TRANSMUTATION_TABLE!$A$2:$B$102,2),""),"")</f>
        <v/>
      </c>
      <c r="AA58" s="5"/>
      <c r="AB58" s="43" t="str">
        <f>IF(AND(B58&lt;&gt;""),IF($AA$9&lt;&gt;0,VLOOKUP(AA58/$AA$9*100,TRANSMUTATION_TABLE!$A$2:$B$102,2),""),"")</f>
        <v/>
      </c>
      <c r="AC58" s="81" t="str">
        <f t="shared" si="2"/>
        <v/>
      </c>
      <c r="AD58" s="53"/>
      <c r="AE58" s="42" t="str">
        <f>IF(AND(B58&lt;&gt;""),IF($AD$9&lt;&gt;0,VLOOKUP(AD58/$AD$9*100,TRANSMUTATION_TABLE!$A$2:$B$102,2),""),"")</f>
        <v/>
      </c>
      <c r="AF58" s="50">
        <f>Attendance!BE55</f>
        <v>0</v>
      </c>
      <c r="AG58" s="45" t="str">
        <f>IF(AND(B58&lt;&gt;""),IF($AF$9&lt;&gt;0,VLOOKUP(AF58/$AF$9*100,TRANSMUTATION_TABLE!$A$2:$B$102,2),""),"")</f>
        <v/>
      </c>
      <c r="AH58" s="5"/>
      <c r="AI58" s="45" t="str">
        <f>IF(AND(B58&lt;&gt;""),IF($AH$9&lt;&gt;0,VLOOKUP(AH58/$AH$9*100,TRANSMUTATION_TABLE!$A$2:$B$102,2),""),"")</f>
        <v/>
      </c>
      <c r="AJ58" s="45" t="str">
        <f>IF(OR(K58&lt;&gt;"",T58&lt;&gt;"",AC58&lt;&gt;"",AI58&lt;&gt;"",AG58),SUM(PRODUCT(K58,IF(Settings!$I$9&lt;&gt;0,Settings!$I$9/100,0)),PRODUCT(T58,IF(Settings!$I$10&lt;&gt;0,Settings!$I$10/100,0)),PRODUCT(AC58,IF(Settings!$I$11&lt;&gt;0,Settings!$I$11/100,0)),PRODUCT(AG58,IF(Settings!$I$12&lt;&gt;0,Settings!$I$12/100,0)),PRODUCT(AI58,IF(Settings!$I$13&lt;&gt;0,Settings!$I$13/100,0))),"")</f>
        <v/>
      </c>
      <c r="AK58" s="45" t="str">
        <f>Prelim!AJ58</f>
        <v/>
      </c>
      <c r="AL58" s="45" t="str">
        <f>Midterm!AL58</f>
        <v/>
      </c>
      <c r="AM58" s="46" t="str">
        <f>IF(AJ58&lt;&gt;"",AVERAGE(Prelim!AJ58,Midterm!AL58,SemiFinal!AJ58),"")</f>
        <v/>
      </c>
      <c r="AN58" s="37"/>
      <c r="AO58" s="37"/>
      <c r="AP58" s="37"/>
      <c r="AQ58" s="37"/>
      <c r="AR58" s="37"/>
      <c r="AS58" s="37"/>
    </row>
    <row r="59" spans="1:45" ht="12" customHeight="1" thickBot="1" x14ac:dyDescent="0.35">
      <c r="A59" s="54"/>
      <c r="B59" s="60"/>
      <c r="C59" s="55"/>
      <c r="D59" s="42" t="str">
        <f>IF(AND(B59&lt;&gt;""),IF($C$9&lt;&gt;0,VLOOKUP(C59/$C$9*100,TRANSMUTATION_TABLE!$A$2:$B$102,2),""),"")</f>
        <v/>
      </c>
      <c r="E59" s="55"/>
      <c r="F59" s="42" t="str">
        <f>IF(AND(B59&lt;&gt;""),IF($E$9&lt;&gt;0,VLOOKUP(E59/$E$9*100,TRANSMUTATION_TABLE!$A$2:$B$102,2),""),"")</f>
        <v/>
      </c>
      <c r="G59" s="55"/>
      <c r="H59" s="42" t="str">
        <f>IF(AND(B59&lt;&gt;""),IF($G$9&lt;&gt;0,VLOOKUP(G59/$G$9*100,TRANSMUTATION_TABLE!$A$2:$B$102,2),""),"")</f>
        <v/>
      </c>
      <c r="I59" s="55"/>
      <c r="J59" s="43" t="str">
        <f>IF(AND(B59&lt;&gt;""),IF($I$9&lt;&gt;0,VLOOKUP(I59/$I$9*100,TRANSMUTATION_TABLE!$A$2:$B$102,2),""),"")</f>
        <v/>
      </c>
      <c r="K59" s="81" t="str">
        <f t="shared" si="0"/>
        <v/>
      </c>
      <c r="L59" s="22"/>
      <c r="M59" s="42" t="str">
        <f>IF(AND(B59&lt;&gt;""),IF($L$9&lt;&gt;0,VLOOKUP(L59/$L$9*100,TRANSMUTATION_TABLE!$A$2:$B$102,2),""),"")</f>
        <v/>
      </c>
      <c r="N59" s="55"/>
      <c r="O59" s="42" t="str">
        <f>IF(AND(B59&lt;&gt;""),IF($N$9&lt;&gt;0,VLOOKUP(N59/$N$9*100,TRANSMUTATION_TABLE!$A$2:$B$102,2),""),"")</f>
        <v/>
      </c>
      <c r="P59" s="55"/>
      <c r="Q59" s="42" t="str">
        <f>IF(AND(B59&lt;&gt;""),IF($P$9&lt;&gt;0,VLOOKUP(P59/$P$9*100,TRANSMUTATION_TABLE!$A$2:$B$102,2),""),"")</f>
        <v/>
      </c>
      <c r="R59" s="55"/>
      <c r="S59" s="43" t="str">
        <f>IF(AND(B59&lt;&gt;""),IF($R$9&lt;&gt;0,VLOOKUP(R59/$R$9*100,TRANSMUTATION_TABLE!$A$2:$B$102,2),""),"")</f>
        <v/>
      </c>
      <c r="T59" s="81" t="str">
        <f t="shared" si="1"/>
        <v/>
      </c>
      <c r="U59" s="55"/>
      <c r="V59" s="42" t="str">
        <f>IF(AND(B59&lt;&gt;""),IF($U$9&lt;&gt;0,VLOOKUP(U59/$U$9*100,TRANSMUTATION_TABLE!$A$2:$B$102,2),""),"")</f>
        <v/>
      </c>
      <c r="W59" s="55"/>
      <c r="X59" s="42" t="str">
        <f>IF(AND(B59&lt;&gt;""),IF($W$9&lt;&gt;0,VLOOKUP(W59/$W$9*100,TRANSMUTATION_TABLE!$A$2:$B$102,2),""),"")</f>
        <v/>
      </c>
      <c r="Y59" s="55"/>
      <c r="Z59" s="42" t="str">
        <f>IF(AND(B59&lt;&gt;""),IF($Y$9&lt;&gt;0,VLOOKUP(Y59/$Y$9*100,TRANSMUTATION_TABLE!$A$2:$B$102,2),""),"")</f>
        <v/>
      </c>
      <c r="AA59" s="55"/>
      <c r="AB59" s="43" t="str">
        <f>IF(AND(B59&lt;&gt;""),IF($AA$9&lt;&gt;0,VLOOKUP(AA59/$AA$9*100,TRANSMUTATION_TABLE!$A$2:$B$102,2),""),"")</f>
        <v/>
      </c>
      <c r="AC59" s="81" t="str">
        <f t="shared" si="2"/>
        <v/>
      </c>
      <c r="AD59" s="53"/>
      <c r="AE59" s="42" t="str">
        <f>IF(AND(B59&lt;&gt;""),IF($AD$9&lt;&gt;0,VLOOKUP(AD59/$AD$9*100,TRANSMUTATION_TABLE!$A$2:$B$102,2),""),"")</f>
        <v/>
      </c>
      <c r="AF59" s="50">
        <f>Attendance!BE56</f>
        <v>0</v>
      </c>
      <c r="AG59" s="45" t="str">
        <f>IF(AND(B59&lt;&gt;""),IF($AF$9&lt;&gt;0,VLOOKUP(AF59/$AF$9*100,TRANSMUTATION_TABLE!$A$2:$B$102,2),""),"")</f>
        <v/>
      </c>
      <c r="AH59" s="55"/>
      <c r="AI59" s="45" t="str">
        <f>IF(AND(B59&lt;&gt;""),IF($AH$9&lt;&gt;0,VLOOKUP(AH59/$AH$9*100,TRANSMUTATION_TABLE!$A$2:$B$102,2),""),"")</f>
        <v/>
      </c>
      <c r="AJ59" s="45" t="str">
        <f>IF(OR(K59&lt;&gt;"",T59&lt;&gt;"",AC59&lt;&gt;"",AI59&lt;&gt;"",AG59),SUM(PRODUCT(K59,IF(Settings!$I$9&lt;&gt;0,Settings!$I$9/100,0)),PRODUCT(T59,IF(Settings!$I$10&lt;&gt;0,Settings!$I$10/100,0)),PRODUCT(AC59,IF(Settings!$I$11&lt;&gt;0,Settings!$I$11/100,0)),PRODUCT(AG59,IF(Settings!$I$12&lt;&gt;0,Settings!$I$12/100,0)),PRODUCT(AI59,IF(Settings!$I$13&lt;&gt;0,Settings!$I$13/100,0))),"")</f>
        <v/>
      </c>
      <c r="AK59" s="45" t="str">
        <f>Prelim!AJ59</f>
        <v/>
      </c>
      <c r="AL59" s="45" t="str">
        <f>Midterm!AL59</f>
        <v/>
      </c>
      <c r="AM59" s="46" t="str">
        <f>IF(AJ59&lt;&gt;"",AVERAGE(Prelim!AJ59,Midterm!AL59,SemiFinal!AJ59),"")</f>
        <v/>
      </c>
      <c r="AN59" s="37"/>
      <c r="AO59" s="37"/>
      <c r="AP59" s="37"/>
      <c r="AQ59" s="37"/>
      <c r="AR59" s="37"/>
      <c r="AS59" s="37"/>
    </row>
    <row r="60" spans="1:45" ht="12" customHeight="1" thickBot="1" x14ac:dyDescent="0.35">
      <c r="A60" s="54"/>
      <c r="B60" s="60"/>
      <c r="C60" s="5"/>
      <c r="D60" s="42" t="str">
        <f>IF(AND(B60&lt;&gt;""),IF($C$9&lt;&gt;0,VLOOKUP(C60/$C$9*100,TRANSMUTATION_TABLE!$A$2:$B$102,2),""),"")</f>
        <v/>
      </c>
      <c r="E60" s="5"/>
      <c r="F60" s="42" t="str">
        <f>IF(AND(B60&lt;&gt;""),IF($E$9&lt;&gt;0,VLOOKUP(E60/$E$9*100,TRANSMUTATION_TABLE!$A$2:$B$102,2),""),"")</f>
        <v/>
      </c>
      <c r="G60" s="5"/>
      <c r="H60" s="42" t="str">
        <f>IF(AND(B60&lt;&gt;""),IF($G$9&lt;&gt;0,VLOOKUP(G60/$G$9*100,TRANSMUTATION_TABLE!$A$2:$B$102,2),""),"")</f>
        <v/>
      </c>
      <c r="I60" s="5"/>
      <c r="J60" s="43" t="str">
        <f>IF(AND(B60&lt;&gt;""),IF($I$9&lt;&gt;0,VLOOKUP(I60/$I$9*100,TRANSMUTATION_TABLE!$A$2:$B$102,2),""),"")</f>
        <v/>
      </c>
      <c r="K60" s="81" t="str">
        <f t="shared" si="0"/>
        <v/>
      </c>
      <c r="L60" s="22"/>
      <c r="M60" s="42" t="str">
        <f>IF(AND(B60&lt;&gt;""),IF($L$9&lt;&gt;0,VLOOKUP(L60/$L$9*100,TRANSMUTATION_TABLE!$A$2:$B$102,2),""),"")</f>
        <v/>
      </c>
      <c r="N60" s="5"/>
      <c r="O60" s="42" t="str">
        <f>IF(AND(B60&lt;&gt;""),IF($N$9&lt;&gt;0,VLOOKUP(N60/$N$9*100,TRANSMUTATION_TABLE!$A$2:$B$102,2),""),"")</f>
        <v/>
      </c>
      <c r="P60" s="5"/>
      <c r="Q60" s="42" t="str">
        <f>IF(AND(B60&lt;&gt;""),IF($P$9&lt;&gt;0,VLOOKUP(P60/$P$9*100,TRANSMUTATION_TABLE!$A$2:$B$102,2),""),"")</f>
        <v/>
      </c>
      <c r="R60" s="5"/>
      <c r="S60" s="43" t="str">
        <f>IF(AND(B60&lt;&gt;""),IF($R$9&lt;&gt;0,VLOOKUP(R60/$R$9*100,TRANSMUTATION_TABLE!$A$2:$B$102,2),""),"")</f>
        <v/>
      </c>
      <c r="T60" s="81" t="str">
        <f t="shared" si="1"/>
        <v/>
      </c>
      <c r="U60" s="5"/>
      <c r="V60" s="42" t="str">
        <f>IF(AND(B60&lt;&gt;""),IF($U$9&lt;&gt;0,VLOOKUP(U60/$U$9*100,TRANSMUTATION_TABLE!$A$2:$B$102,2),""),"")</f>
        <v/>
      </c>
      <c r="W60" s="5"/>
      <c r="X60" s="42" t="str">
        <f>IF(AND(B60&lt;&gt;""),IF($W$9&lt;&gt;0,VLOOKUP(W60/$W$9*100,TRANSMUTATION_TABLE!$A$2:$B$102,2),""),"")</f>
        <v/>
      </c>
      <c r="Y60" s="5"/>
      <c r="Z60" s="42" t="str">
        <f>IF(AND(B60&lt;&gt;""),IF($Y$9&lt;&gt;0,VLOOKUP(Y60/$Y$9*100,TRANSMUTATION_TABLE!$A$2:$B$102,2),""),"")</f>
        <v/>
      </c>
      <c r="AA60" s="5"/>
      <c r="AB60" s="43" t="str">
        <f>IF(AND(B60&lt;&gt;""),IF($AA$9&lt;&gt;0,VLOOKUP(AA60/$AA$9*100,TRANSMUTATION_TABLE!$A$2:$B$102,2),""),"")</f>
        <v/>
      </c>
      <c r="AC60" s="81" t="str">
        <f t="shared" si="2"/>
        <v/>
      </c>
      <c r="AD60" s="58"/>
      <c r="AE60" s="42" t="str">
        <f>IF(AND(B60&lt;&gt;""),IF($AD$9&lt;&gt;0,VLOOKUP(AD60/$AD$9*100,TRANSMUTATION_TABLE!$A$2:$B$102,2),""),"")</f>
        <v/>
      </c>
      <c r="AF60" s="50">
        <f>Attendance!BE57</f>
        <v>0</v>
      </c>
      <c r="AG60" s="45" t="str">
        <f>IF(AND(B60&lt;&gt;""),IF($AF$9&lt;&gt;0,VLOOKUP(AF60/$AF$9*100,TRANSMUTATION_TABLE!$A$2:$B$102,2),""),"")</f>
        <v/>
      </c>
      <c r="AH60" s="5"/>
      <c r="AI60" s="45" t="str">
        <f>IF(AND(B60&lt;&gt;""),IF($AH$9&lt;&gt;0,VLOOKUP(AH60/$AH$9*100,TRANSMUTATION_TABLE!$A$2:$B$102,2),""),"")</f>
        <v/>
      </c>
      <c r="AJ60" s="45" t="str">
        <f>IF(OR(K60&lt;&gt;"",T60&lt;&gt;"",AC60&lt;&gt;"",AI60&lt;&gt;"",AG60),SUM(PRODUCT(K60,IF(Settings!$I$9&lt;&gt;0,Settings!$I$9/100,0)),PRODUCT(T60,IF(Settings!$I$10&lt;&gt;0,Settings!$I$10/100,0)),PRODUCT(AC60,IF(Settings!$I$11&lt;&gt;0,Settings!$I$11/100,0)),PRODUCT(AG60,IF(Settings!$I$12&lt;&gt;0,Settings!$I$12/100,0)),PRODUCT(AI60,IF(Settings!$I$13&lt;&gt;0,Settings!$I$13/100,0))),"")</f>
        <v/>
      </c>
      <c r="AK60" s="45" t="str">
        <f>Prelim!AJ60</f>
        <v/>
      </c>
      <c r="AL60" s="45" t="str">
        <f>Midterm!AL60</f>
        <v/>
      </c>
      <c r="AM60" s="46" t="str">
        <f>IF(AJ60&lt;&gt;"",AVERAGE(Prelim!AJ60,Midterm!AL60,SemiFinal!AJ60),"")</f>
        <v/>
      </c>
      <c r="AN60" s="37"/>
      <c r="AO60" s="37"/>
      <c r="AP60" s="37"/>
      <c r="AQ60" s="37"/>
      <c r="AR60" s="37"/>
      <c r="AS60" s="37"/>
    </row>
    <row r="61" spans="1:45" ht="12" customHeight="1" thickBot="1" x14ac:dyDescent="0.35">
      <c r="A61" s="54"/>
      <c r="B61" s="60"/>
      <c r="C61" s="5"/>
      <c r="D61" s="42" t="str">
        <f>IF(AND(B61&lt;&gt;""),IF($C$9&lt;&gt;0,VLOOKUP(C61/$C$9*100,TRANSMUTATION_TABLE!$A$2:$B$102,2),""),"")</f>
        <v/>
      </c>
      <c r="E61" s="5"/>
      <c r="F61" s="42" t="str">
        <f>IF(AND(B61&lt;&gt;""),IF($E$9&lt;&gt;0,VLOOKUP(E61/$E$9*100,TRANSMUTATION_TABLE!$A$2:$B$102,2),""),"")</f>
        <v/>
      </c>
      <c r="G61" s="5"/>
      <c r="H61" s="42" t="str">
        <f>IF(AND(B61&lt;&gt;""),IF($G$9&lt;&gt;0,VLOOKUP(G61/$G$9*100,TRANSMUTATION_TABLE!$A$2:$B$102,2),""),"")</f>
        <v/>
      </c>
      <c r="I61" s="5"/>
      <c r="J61" s="43" t="str">
        <f>IF(AND(B61&lt;&gt;""),IF($I$9&lt;&gt;0,VLOOKUP(I61/$I$9*100,TRANSMUTATION_TABLE!$A$2:$B$102,2),""),"")</f>
        <v/>
      </c>
      <c r="K61" s="81" t="str">
        <f t="shared" si="0"/>
        <v/>
      </c>
      <c r="L61" s="22"/>
      <c r="M61" s="42" t="str">
        <f>IF(AND(B61&lt;&gt;""),IF($L$9&lt;&gt;0,VLOOKUP(L61/$L$9*100,TRANSMUTATION_TABLE!$A$2:$B$102,2),""),"")</f>
        <v/>
      </c>
      <c r="N61" s="5"/>
      <c r="O61" s="42" t="str">
        <f>IF(AND(B61&lt;&gt;""),IF($N$9&lt;&gt;0,VLOOKUP(N61/$N$9*100,TRANSMUTATION_TABLE!$A$2:$B$102,2),""),"")</f>
        <v/>
      </c>
      <c r="P61" s="5"/>
      <c r="Q61" s="42" t="str">
        <f>IF(AND(B61&lt;&gt;""),IF($P$9&lt;&gt;0,VLOOKUP(P61/$P$9*100,TRANSMUTATION_TABLE!$A$2:$B$102,2),""),"")</f>
        <v/>
      </c>
      <c r="R61" s="5"/>
      <c r="S61" s="43" t="str">
        <f>IF(AND(B61&lt;&gt;""),IF($R$9&lt;&gt;0,VLOOKUP(R61/$R$9*100,TRANSMUTATION_TABLE!$A$2:$B$102,2),""),"")</f>
        <v/>
      </c>
      <c r="T61" s="81" t="str">
        <f t="shared" si="1"/>
        <v/>
      </c>
      <c r="U61" s="5"/>
      <c r="V61" s="42" t="str">
        <f>IF(AND(B61&lt;&gt;""),IF($U$9&lt;&gt;0,VLOOKUP(U61/$U$9*100,TRANSMUTATION_TABLE!$A$2:$B$102,2),""),"")</f>
        <v/>
      </c>
      <c r="W61" s="5"/>
      <c r="X61" s="42" t="str">
        <f>IF(AND(B61&lt;&gt;""),IF($W$9&lt;&gt;0,VLOOKUP(W61/$W$9*100,TRANSMUTATION_TABLE!$A$2:$B$102,2),""),"")</f>
        <v/>
      </c>
      <c r="Y61" s="5"/>
      <c r="Z61" s="42" t="str">
        <f>IF(AND(B61&lt;&gt;""),IF($Y$9&lt;&gt;0,VLOOKUP(Y61/$Y$9*100,TRANSMUTATION_TABLE!$A$2:$B$102,2),""),"")</f>
        <v/>
      </c>
      <c r="AA61" s="5"/>
      <c r="AB61" s="43" t="str">
        <f>IF(AND(B61&lt;&gt;""),IF($AA$9&lt;&gt;0,VLOOKUP(AA61/$AA$9*100,TRANSMUTATION_TABLE!$A$2:$B$102,2),""),"")</f>
        <v/>
      </c>
      <c r="AC61" s="81" t="str">
        <f t="shared" si="2"/>
        <v/>
      </c>
      <c r="AD61" s="53"/>
      <c r="AE61" s="42" t="str">
        <f>IF(AND(B61&lt;&gt;""),IF($AD$9&lt;&gt;0,VLOOKUP(AD61/$AD$9*100,TRANSMUTATION_TABLE!$A$2:$B$102,2),""),"")</f>
        <v/>
      </c>
      <c r="AF61" s="50">
        <f>Attendance!BE58</f>
        <v>0</v>
      </c>
      <c r="AG61" s="45" t="str">
        <f>IF(AND(B61&lt;&gt;""),IF($AF$9&lt;&gt;0,VLOOKUP(AF61/$AF$9*100,TRANSMUTATION_TABLE!$A$2:$B$102,2),""),"")</f>
        <v/>
      </c>
      <c r="AH61" s="5"/>
      <c r="AI61" s="45" t="str">
        <f>IF(AND(B61&lt;&gt;""),IF($AH$9&lt;&gt;0,VLOOKUP(AH61/$AH$9*100,TRANSMUTATION_TABLE!$A$2:$B$102,2),""),"")</f>
        <v/>
      </c>
      <c r="AJ61" s="45" t="str">
        <f>IF(OR(K61&lt;&gt;"",T61&lt;&gt;"",AC61&lt;&gt;"",AI61&lt;&gt;"",AG61),SUM(PRODUCT(K61,IF(Settings!$I$9&lt;&gt;0,Settings!$I$9/100,0)),PRODUCT(T61,IF(Settings!$I$10&lt;&gt;0,Settings!$I$10/100,0)),PRODUCT(AC61,IF(Settings!$I$11&lt;&gt;0,Settings!$I$11/100,0)),PRODUCT(AG61,IF(Settings!$I$12&lt;&gt;0,Settings!$I$12/100,0)),PRODUCT(AI61,IF(Settings!$I$13&lt;&gt;0,Settings!$I$13/100,0))),"")</f>
        <v/>
      </c>
      <c r="AK61" s="45" t="str">
        <f>Prelim!AJ61</f>
        <v/>
      </c>
      <c r="AL61" s="45" t="str">
        <f>Midterm!AL61</f>
        <v/>
      </c>
      <c r="AM61" s="46" t="str">
        <f>IF(AJ61&lt;&gt;"",AVERAGE(Prelim!AJ61,Midterm!AL61,SemiFinal!AJ61),"")</f>
        <v/>
      </c>
      <c r="AN61" s="37"/>
      <c r="AO61" s="37"/>
      <c r="AP61" s="37"/>
      <c r="AQ61" s="37"/>
      <c r="AR61" s="37"/>
      <c r="AS61" s="37"/>
    </row>
    <row r="62" spans="1:45" ht="12" customHeight="1" thickBot="1" x14ac:dyDescent="0.35">
      <c r="A62" s="54"/>
      <c r="B62" s="60"/>
      <c r="C62" s="5"/>
      <c r="D62" s="42" t="str">
        <f>IF(AND(B62&lt;&gt;""),IF($C$9&lt;&gt;0,VLOOKUP(C62/$C$9*100,TRANSMUTATION_TABLE!$A$2:$B$102,2),""),"")</f>
        <v/>
      </c>
      <c r="E62" s="5"/>
      <c r="F62" s="42" t="str">
        <f>IF(AND(B62&lt;&gt;""),IF($E$9&lt;&gt;0,VLOOKUP(E62/$E$9*100,TRANSMUTATION_TABLE!$A$2:$B$102,2),""),"")</f>
        <v/>
      </c>
      <c r="G62" s="5"/>
      <c r="H62" s="42" t="str">
        <f>IF(AND(B62&lt;&gt;""),IF($G$9&lt;&gt;0,VLOOKUP(G62/$G$9*100,TRANSMUTATION_TABLE!$A$2:$B$102,2),""),"")</f>
        <v/>
      </c>
      <c r="I62" s="5"/>
      <c r="J62" s="43" t="str">
        <f>IF(AND(B62&lt;&gt;""),IF($I$9&lt;&gt;0,VLOOKUP(I62/$I$9*100,TRANSMUTATION_TABLE!$A$2:$B$102,2),""),"")</f>
        <v/>
      </c>
      <c r="K62" s="81" t="str">
        <f t="shared" si="0"/>
        <v/>
      </c>
      <c r="L62" s="22"/>
      <c r="M62" s="42" t="str">
        <f>IF(AND(B62&lt;&gt;""),IF($L$9&lt;&gt;0,VLOOKUP(L62/$L$9*100,TRANSMUTATION_TABLE!$A$2:$B$102,2),""),"")</f>
        <v/>
      </c>
      <c r="N62" s="5"/>
      <c r="O62" s="42" t="str">
        <f>IF(AND(B62&lt;&gt;""),IF($N$9&lt;&gt;0,VLOOKUP(N62/$N$9*100,TRANSMUTATION_TABLE!$A$2:$B$102,2),""),"")</f>
        <v/>
      </c>
      <c r="P62" s="5"/>
      <c r="Q62" s="42" t="str">
        <f>IF(AND(B62&lt;&gt;""),IF($P$9&lt;&gt;0,VLOOKUP(P62/$P$9*100,TRANSMUTATION_TABLE!$A$2:$B$102,2),""),"")</f>
        <v/>
      </c>
      <c r="R62" s="5"/>
      <c r="S62" s="43" t="str">
        <f>IF(AND(B62&lt;&gt;""),IF($R$9&lt;&gt;0,VLOOKUP(R62/$R$9*100,TRANSMUTATION_TABLE!$A$2:$B$102,2),""),"")</f>
        <v/>
      </c>
      <c r="T62" s="81" t="str">
        <f t="shared" si="1"/>
        <v/>
      </c>
      <c r="U62" s="5"/>
      <c r="V62" s="42" t="str">
        <f>IF(AND(B62&lt;&gt;""),IF($U$9&lt;&gt;0,VLOOKUP(U62/$U$9*100,TRANSMUTATION_TABLE!$A$2:$B$102,2),""),"")</f>
        <v/>
      </c>
      <c r="W62" s="5"/>
      <c r="X62" s="42" t="str">
        <f>IF(AND(B62&lt;&gt;""),IF($W$9&lt;&gt;0,VLOOKUP(W62/$W$9*100,TRANSMUTATION_TABLE!$A$2:$B$102,2),""),"")</f>
        <v/>
      </c>
      <c r="Y62" s="5"/>
      <c r="Z62" s="42" t="str">
        <f>IF(AND(B62&lt;&gt;""),IF($Y$9&lt;&gt;0,VLOOKUP(Y62/$Y$9*100,TRANSMUTATION_TABLE!$A$2:$B$102,2),""),"")</f>
        <v/>
      </c>
      <c r="AA62" s="5"/>
      <c r="AB62" s="43" t="str">
        <f>IF(AND(B62&lt;&gt;""),IF($AA$9&lt;&gt;0,VLOOKUP(AA62/$AA$9*100,TRANSMUTATION_TABLE!$A$2:$B$102,2),""),"")</f>
        <v/>
      </c>
      <c r="AC62" s="81" t="str">
        <f t="shared" si="2"/>
        <v/>
      </c>
      <c r="AD62" s="53"/>
      <c r="AE62" s="42" t="str">
        <f>IF(AND(B62&lt;&gt;""),IF($AD$9&lt;&gt;0,VLOOKUP(AD62/$AD$9*100,TRANSMUTATION_TABLE!$A$2:$B$102,2),""),"")</f>
        <v/>
      </c>
      <c r="AF62" s="50">
        <f>Attendance!BE59</f>
        <v>0</v>
      </c>
      <c r="AG62" s="45" t="str">
        <f>IF(AND(B62&lt;&gt;""),IF($AF$9&lt;&gt;0,VLOOKUP(AF62/$AF$9*100,TRANSMUTATION_TABLE!$A$2:$B$102,2),""),"")</f>
        <v/>
      </c>
      <c r="AH62" s="5"/>
      <c r="AI62" s="45" t="str">
        <f>IF(AND(B62&lt;&gt;""),IF($AH$9&lt;&gt;0,VLOOKUP(AH62/$AH$9*100,TRANSMUTATION_TABLE!$A$2:$B$102,2),""),"")</f>
        <v/>
      </c>
      <c r="AJ62" s="45" t="str">
        <f>IF(OR(K62&lt;&gt;"",T62&lt;&gt;"",AC62&lt;&gt;"",AI62&lt;&gt;"",AG62),SUM(PRODUCT(K62,IF(Settings!$I$9&lt;&gt;0,Settings!$I$9/100,0)),PRODUCT(T62,IF(Settings!$I$10&lt;&gt;0,Settings!$I$10/100,0)),PRODUCT(AC62,IF(Settings!$I$11&lt;&gt;0,Settings!$I$11/100,0)),PRODUCT(AG62,IF(Settings!$I$12&lt;&gt;0,Settings!$I$12/100,0)),PRODUCT(AI62,IF(Settings!$I$13&lt;&gt;0,Settings!$I$13/100,0))),"")</f>
        <v/>
      </c>
      <c r="AK62" s="45" t="str">
        <f>Prelim!AJ62</f>
        <v/>
      </c>
      <c r="AL62" s="45" t="str">
        <f>Midterm!AL62</f>
        <v/>
      </c>
      <c r="AM62" s="46" t="str">
        <f>IF(AJ62&lt;&gt;"",AVERAGE(Prelim!AJ62,Midterm!AL62,SemiFinal!AJ62),"")</f>
        <v/>
      </c>
      <c r="AN62" s="37"/>
      <c r="AO62" s="37"/>
      <c r="AP62" s="37"/>
      <c r="AQ62" s="37"/>
      <c r="AR62" s="37"/>
      <c r="AS62" s="37"/>
    </row>
    <row r="63" spans="1:45" ht="12" customHeight="1" thickBot="1" x14ac:dyDescent="0.35">
      <c r="A63" s="54"/>
      <c r="B63" s="90"/>
      <c r="C63" s="5"/>
      <c r="D63" s="42" t="str">
        <f>IF(AND(B63&lt;&gt;""),IF($C$9&lt;&gt;0,VLOOKUP(C63/$C$9*100,TRANSMUTATION_TABLE!$A$2:$B$102,2),""),"")</f>
        <v/>
      </c>
      <c r="E63" s="5"/>
      <c r="F63" s="42" t="str">
        <f>IF(AND(B63&lt;&gt;""),IF($E$9&lt;&gt;0,VLOOKUP(E63/$E$9*100,TRANSMUTATION_TABLE!$A$2:$B$102,2),""),"")</f>
        <v/>
      </c>
      <c r="G63" s="5"/>
      <c r="H63" s="42" t="str">
        <f>IF(AND(B63&lt;&gt;""),IF($G$9&lt;&gt;0,VLOOKUP(G63/$G$9*100,TRANSMUTATION_TABLE!$A$2:$B$102,2),""),"")</f>
        <v/>
      </c>
      <c r="I63" s="5"/>
      <c r="J63" s="43" t="str">
        <f>IF(AND(B63&lt;&gt;""),IF($I$9&lt;&gt;0,VLOOKUP(I63/$I$9*100,TRANSMUTATION_TABLE!$A$2:$B$102,2),""),"")</f>
        <v/>
      </c>
      <c r="K63" s="81" t="str">
        <f t="shared" si="0"/>
        <v/>
      </c>
      <c r="L63" s="5"/>
      <c r="M63" s="42" t="str">
        <f>IF(AND(B63&lt;&gt;""),IF($L$9&lt;&gt;0,VLOOKUP(L63/$L$9*100,TRANSMUTATION_TABLE!$A$2:$B$102,2),""),"")</f>
        <v/>
      </c>
      <c r="N63" s="5"/>
      <c r="O63" s="42" t="str">
        <f>IF(AND(B63&lt;&gt;""),IF($N$9&lt;&gt;0,VLOOKUP(N63/$N$9*100,TRANSMUTATION_TABLE!$A$2:$B$102,2),""),"")</f>
        <v/>
      </c>
      <c r="P63" s="5"/>
      <c r="Q63" s="42" t="str">
        <f>IF(AND(B63&lt;&gt;""),IF($P$9&lt;&gt;0,VLOOKUP(P63/$P$9*100,TRANSMUTATION_TABLE!$A$2:$B$102,2),""),"")</f>
        <v/>
      </c>
      <c r="R63" s="5"/>
      <c r="S63" s="43" t="str">
        <f>IF(AND(B63&lt;&gt;""),IF($R$9&lt;&gt;0,VLOOKUP(R63/$R$9*100,TRANSMUTATION_TABLE!$A$2:$B$102,2),""),"")</f>
        <v/>
      </c>
      <c r="T63" s="81" t="str">
        <f t="shared" si="1"/>
        <v/>
      </c>
      <c r="U63" s="5"/>
      <c r="V63" s="42" t="str">
        <f>IF(AND(B63&lt;&gt;""),IF($U$9&lt;&gt;0,VLOOKUP(U63/$U$9*100,TRANSMUTATION_TABLE!$A$2:$B$102,2),""),"")</f>
        <v/>
      </c>
      <c r="W63" s="5"/>
      <c r="X63" s="42" t="str">
        <f>IF(AND(B63&lt;&gt;""),IF($W$9&lt;&gt;0,VLOOKUP(W63/$W$9*100,TRANSMUTATION_TABLE!$A$2:$B$102,2),""),"")</f>
        <v/>
      </c>
      <c r="Y63" s="5"/>
      <c r="Z63" s="42" t="str">
        <f>IF(AND(B63&lt;&gt;""),IF($Y$9&lt;&gt;0,VLOOKUP(Y63/$Y$9*100,TRANSMUTATION_TABLE!$A$2:$B$102,2),""),"")</f>
        <v/>
      </c>
      <c r="AA63" s="5"/>
      <c r="AB63" s="43" t="str">
        <f>IF(AND(B63&lt;&gt;""),IF($AA$9&lt;&gt;0,VLOOKUP(AA63/$AA$9*100,TRANSMUTATION_TABLE!$A$2:$B$102,2),""),"")</f>
        <v/>
      </c>
      <c r="AC63" s="81" t="str">
        <f t="shared" si="2"/>
        <v/>
      </c>
      <c r="AD63" s="53"/>
      <c r="AE63" s="42" t="str">
        <f>IF(AND(B63&lt;&gt;""),IF($AD$9&lt;&gt;0,VLOOKUP(AD63/$AD$9*100,TRANSMUTATION_TABLE!$A$2:$B$102,2),""),"")</f>
        <v/>
      </c>
      <c r="AF63" s="50">
        <f>Attendance!BE60</f>
        <v>0</v>
      </c>
      <c r="AG63" s="45" t="str">
        <f>IF(AND(B63&lt;&gt;""),IF($AF$9&lt;&gt;0,VLOOKUP(AF63/$AF$9*100,TRANSMUTATION_TABLE!$A$2:$B$102,2),""),"")</f>
        <v/>
      </c>
      <c r="AH63" s="5"/>
      <c r="AI63" s="45" t="str">
        <f>IF(AND(B63&lt;&gt;""),IF($AH$9&lt;&gt;0,VLOOKUP(AH63/$AH$9*100,TRANSMUTATION_TABLE!$A$2:$B$102,2),""),"")</f>
        <v/>
      </c>
      <c r="AJ63" s="45" t="str">
        <f>IF(OR(K63&lt;&gt;"",T63&lt;&gt;"",AC63&lt;&gt;"",AI63&lt;&gt;"",AG63),SUM(PRODUCT(K63,IF(Settings!$I$9&lt;&gt;0,Settings!$I$9/100,0)),PRODUCT(T63,IF(Settings!$I$10&lt;&gt;0,Settings!$I$10/100,0)),PRODUCT(AC63,IF(Settings!$I$11&lt;&gt;0,Settings!$I$11/100,0)),PRODUCT(AG63,IF(Settings!$I$12&lt;&gt;0,Settings!$I$12/100,0)),PRODUCT(AI63,IF(Settings!$I$13&lt;&gt;0,Settings!$I$13/100,0))),"")</f>
        <v/>
      </c>
      <c r="AK63" s="45" t="str">
        <f>Prelim!AJ63</f>
        <v/>
      </c>
      <c r="AL63" s="45" t="str">
        <f>Midterm!AL63</f>
        <v/>
      </c>
      <c r="AM63" s="46" t="str">
        <f>IF(AJ63&lt;&gt;"",AVERAGE(Prelim!AJ63,Midterm!AL63,SemiFinal!AJ63),"")</f>
        <v/>
      </c>
      <c r="AN63" s="37"/>
      <c r="AO63" s="37"/>
      <c r="AP63" s="37"/>
      <c r="AQ63" s="37"/>
      <c r="AR63" s="37"/>
      <c r="AS63" s="37"/>
    </row>
    <row r="64" spans="1:45" ht="12" customHeight="1" thickBot="1" x14ac:dyDescent="0.35">
      <c r="A64" s="54"/>
      <c r="B64" s="61"/>
      <c r="C64" s="55"/>
      <c r="D64" s="42" t="str">
        <f>IF(AND(B64&lt;&gt;""),IF($C$9&lt;&gt;0,VLOOKUP(C64/$C$9*100,TRANSMUTATION_TABLE!$A$2:$B$102,2),""),"")</f>
        <v/>
      </c>
      <c r="E64" s="55"/>
      <c r="F64" s="42" t="str">
        <f>IF(AND(B64&lt;&gt;""),IF($E$9&lt;&gt;0,VLOOKUP(E64/$E$9*100,TRANSMUTATION_TABLE!$A$2:$B$102,2),""),"")</f>
        <v/>
      </c>
      <c r="G64" s="55"/>
      <c r="H64" s="42" t="str">
        <f>IF(AND(B64&lt;&gt;""),IF($G$9&lt;&gt;0,VLOOKUP(G64/$G$9*100,TRANSMUTATION_TABLE!$A$2:$B$102,2),""),"")</f>
        <v/>
      </c>
      <c r="I64" s="55"/>
      <c r="J64" s="43" t="str">
        <f>IF(AND(B64&lt;&gt;""),IF($I$9&lt;&gt;0,VLOOKUP(I64/$I$9*100,TRANSMUTATION_TABLE!$A$2:$B$102,2),""),"")</f>
        <v/>
      </c>
      <c r="K64" s="81" t="str">
        <f t="shared" si="0"/>
        <v/>
      </c>
      <c r="L64" s="55"/>
      <c r="M64" s="42" t="str">
        <f>IF(AND(B64&lt;&gt;""),IF($L$9&lt;&gt;0,VLOOKUP(L64/$L$9*100,TRANSMUTATION_TABLE!$A$2:$B$102,2),""),"")</f>
        <v/>
      </c>
      <c r="N64" s="55"/>
      <c r="O64" s="42" t="str">
        <f>IF(AND(B64&lt;&gt;""),IF($N$9&lt;&gt;0,VLOOKUP(N64/$N$9*100,TRANSMUTATION_TABLE!$A$2:$B$102,2),""),"")</f>
        <v/>
      </c>
      <c r="P64" s="55"/>
      <c r="Q64" s="42" t="str">
        <f>IF(AND(B64&lt;&gt;""),IF($P$9&lt;&gt;0,VLOOKUP(P64/$P$9*100,TRANSMUTATION_TABLE!$A$2:$B$102,2),""),"")</f>
        <v/>
      </c>
      <c r="R64" s="55"/>
      <c r="S64" s="43" t="str">
        <f>IF(AND(B64&lt;&gt;""),IF($R$9&lt;&gt;0,VLOOKUP(R64/$R$9*100,TRANSMUTATION_TABLE!$A$2:$B$102,2),""),"")</f>
        <v/>
      </c>
      <c r="T64" s="81" t="str">
        <f t="shared" si="1"/>
        <v/>
      </c>
      <c r="U64" s="55"/>
      <c r="V64" s="42" t="str">
        <f>IF(AND(B64&lt;&gt;""),IF($U$9&lt;&gt;0,VLOOKUP(U64/$U$9*100,TRANSMUTATION_TABLE!$A$2:$B$102,2),""),"")</f>
        <v/>
      </c>
      <c r="W64" s="55"/>
      <c r="X64" s="42" t="str">
        <f>IF(AND(B64&lt;&gt;""),IF($W$9&lt;&gt;0,VLOOKUP(W64/$W$9*100,TRANSMUTATION_TABLE!$A$2:$B$102,2),""),"")</f>
        <v/>
      </c>
      <c r="Y64" s="55"/>
      <c r="Z64" s="42" t="str">
        <f>IF(AND(B64&lt;&gt;""),IF($Y$9&lt;&gt;0,VLOOKUP(Y64/$Y$9*100,TRANSMUTATION_TABLE!$A$2:$B$102,2),""),"")</f>
        <v/>
      </c>
      <c r="AA64" s="55"/>
      <c r="AB64" s="43" t="str">
        <f>IF(AND(B64&lt;&gt;""),IF($AA$9&lt;&gt;0,VLOOKUP(AA64/$AA$9*100,TRANSMUTATION_TABLE!$A$2:$B$102,2),""),"")</f>
        <v/>
      </c>
      <c r="AC64" s="81" t="str">
        <f t="shared" si="2"/>
        <v/>
      </c>
      <c r="AD64" s="53"/>
      <c r="AE64" s="42" t="str">
        <f>IF(AND(B64&lt;&gt;""),IF($AD$9&lt;&gt;0,VLOOKUP(AD64/$AD$9*100,TRANSMUTATION_TABLE!$A$2:$B$102,2),""),"")</f>
        <v/>
      </c>
      <c r="AF64" s="50">
        <f>Attendance!BE61</f>
        <v>0</v>
      </c>
      <c r="AG64" s="45" t="str">
        <f>IF(AND(B64&lt;&gt;""),IF($AF$9&lt;&gt;0,VLOOKUP(AF64/$AF$9*100,TRANSMUTATION_TABLE!$A$2:$B$102,2),""),"")</f>
        <v/>
      </c>
      <c r="AH64" s="55"/>
      <c r="AI64" s="45" t="str">
        <f>IF(AND(B64&lt;&gt;""),IF($AH$9&lt;&gt;0,VLOOKUP(AH64/$AH$9*100,TRANSMUTATION_TABLE!$A$2:$B$102,2),""),"")</f>
        <v/>
      </c>
      <c r="AJ64" s="45" t="str">
        <f>IF(OR(K64&lt;&gt;"",T64&lt;&gt;"",AC64&lt;&gt;"",AI64&lt;&gt;"",AG64),SUM(PRODUCT(K64,IF(Settings!$I$9&lt;&gt;0,Settings!$I$9/100,0)),PRODUCT(T64,IF(Settings!$I$10&lt;&gt;0,Settings!$I$10/100,0)),PRODUCT(AC64,IF(Settings!$I$11&lt;&gt;0,Settings!$I$11/100,0)),PRODUCT(AG64,IF(Settings!$I$12&lt;&gt;0,Settings!$I$12/100,0)),PRODUCT(AI64,IF(Settings!$I$13&lt;&gt;0,Settings!$I$13/100,0))),"")</f>
        <v/>
      </c>
      <c r="AK64" s="45" t="str">
        <f>Prelim!AJ64</f>
        <v/>
      </c>
      <c r="AL64" s="45" t="str">
        <f>Midterm!AL64</f>
        <v/>
      </c>
      <c r="AM64" s="46" t="str">
        <f>IF(AJ64&lt;&gt;"",AVERAGE(Prelim!AJ64,Midterm!AL64,SemiFinal!AJ64),"")</f>
        <v/>
      </c>
      <c r="AN64" s="37"/>
      <c r="AO64" s="37"/>
      <c r="AP64" s="37"/>
      <c r="AQ64" s="37"/>
      <c r="AR64" s="37"/>
      <c r="AS64" s="37"/>
    </row>
    <row r="65" spans="1:45" ht="12" customHeight="1" thickBot="1" x14ac:dyDescent="0.35">
      <c r="A65" s="54"/>
      <c r="B65" s="90"/>
      <c r="C65" s="5"/>
      <c r="D65" s="42" t="str">
        <f>IF(AND(B65&lt;&gt;""),IF($C$9&lt;&gt;0,VLOOKUP(C65/$C$9*100,TRANSMUTATION_TABLE!$A$2:$B$102,2),""),"")</f>
        <v/>
      </c>
      <c r="E65" s="5"/>
      <c r="F65" s="42" t="str">
        <f>IF(AND(B65&lt;&gt;""),IF($E$9&lt;&gt;0,VLOOKUP(E65/$E$9*100,TRANSMUTATION_TABLE!$A$2:$B$102,2),""),"")</f>
        <v/>
      </c>
      <c r="G65" s="5"/>
      <c r="H65" s="42" t="str">
        <f>IF(AND(B65&lt;&gt;""),IF($G$9&lt;&gt;0,VLOOKUP(G65/$G$9*100,TRANSMUTATION_TABLE!$A$2:$B$102,2),""),"")</f>
        <v/>
      </c>
      <c r="I65" s="5"/>
      <c r="J65" s="43" t="str">
        <f>IF(AND(B65&lt;&gt;""),IF($I$9&lt;&gt;0,VLOOKUP(I65/$I$9*100,TRANSMUTATION_TABLE!$A$2:$B$102,2),""),"")</f>
        <v/>
      </c>
      <c r="K65" s="81" t="str">
        <f t="shared" si="0"/>
        <v/>
      </c>
      <c r="L65" s="5"/>
      <c r="M65" s="42" t="str">
        <f>IF(AND(B65&lt;&gt;""),IF($L$9&lt;&gt;0,VLOOKUP(L65/$L$9*100,TRANSMUTATION_TABLE!$A$2:$B$102,2),""),"")</f>
        <v/>
      </c>
      <c r="N65" s="5"/>
      <c r="O65" s="42" t="str">
        <f>IF(AND(B65&lt;&gt;""),IF($N$9&lt;&gt;0,VLOOKUP(N65/$N$9*100,TRANSMUTATION_TABLE!$A$2:$B$102,2),""),"")</f>
        <v/>
      </c>
      <c r="P65" s="5"/>
      <c r="Q65" s="42" t="str">
        <f>IF(AND(B65&lt;&gt;""),IF($P$9&lt;&gt;0,VLOOKUP(P65/$P$9*100,TRANSMUTATION_TABLE!$A$2:$B$102,2),""),"")</f>
        <v/>
      </c>
      <c r="R65" s="5"/>
      <c r="S65" s="43" t="str">
        <f>IF(AND(B65&lt;&gt;""),IF($R$9&lt;&gt;0,VLOOKUP(R65/$R$9*100,TRANSMUTATION_TABLE!$A$2:$B$102,2),""),"")</f>
        <v/>
      </c>
      <c r="T65" s="81" t="str">
        <f t="shared" si="1"/>
        <v/>
      </c>
      <c r="U65" s="5"/>
      <c r="V65" s="42" t="str">
        <f>IF(AND(B65&lt;&gt;""),IF($U$9&lt;&gt;0,VLOOKUP(U65/$U$9*100,TRANSMUTATION_TABLE!$A$2:$B$102,2),""),"")</f>
        <v/>
      </c>
      <c r="W65" s="5"/>
      <c r="X65" s="42" t="str">
        <f>IF(AND(B65&lt;&gt;""),IF($W$9&lt;&gt;0,VLOOKUP(W65/$W$9*100,TRANSMUTATION_TABLE!$A$2:$B$102,2),""),"")</f>
        <v/>
      </c>
      <c r="Y65" s="5"/>
      <c r="Z65" s="42" t="str">
        <f>IF(AND(B65&lt;&gt;""),IF($Y$9&lt;&gt;0,VLOOKUP(Y65/$Y$9*100,TRANSMUTATION_TABLE!$A$2:$B$102,2),""),"")</f>
        <v/>
      </c>
      <c r="AA65" s="5"/>
      <c r="AB65" s="43" t="str">
        <f>IF(AND(B65&lt;&gt;""),IF($AA$9&lt;&gt;0,VLOOKUP(AA65/$AA$9*100,TRANSMUTATION_TABLE!$A$2:$B$102,2),""),"")</f>
        <v/>
      </c>
      <c r="AC65" s="81" t="str">
        <f t="shared" si="2"/>
        <v/>
      </c>
      <c r="AD65" s="53"/>
      <c r="AE65" s="42" t="str">
        <f>IF(AND(B65&lt;&gt;""),IF($AD$9&lt;&gt;0,VLOOKUP(AD65/$AD$9*100,TRANSMUTATION_TABLE!$A$2:$B$102,2),""),"")</f>
        <v/>
      </c>
      <c r="AF65" s="50">
        <f>Attendance!BE62</f>
        <v>0</v>
      </c>
      <c r="AG65" s="45" t="str">
        <f>IF(AND(B65&lt;&gt;""),IF($AF$9&lt;&gt;0,VLOOKUP(AF65/$AF$9*100,TRANSMUTATION_TABLE!$A$2:$B$102,2),""),"")</f>
        <v/>
      </c>
      <c r="AH65" s="5"/>
      <c r="AI65" s="45" t="str">
        <f>IF(AND(B65&lt;&gt;""),IF($AH$9&lt;&gt;0,VLOOKUP(AH65/$AH$9*100,TRANSMUTATION_TABLE!$A$2:$B$102,2),""),"")</f>
        <v/>
      </c>
      <c r="AJ65" s="45" t="str">
        <f>IF(OR(K65&lt;&gt;"",T65&lt;&gt;"",AC65&lt;&gt;"",AI65&lt;&gt;"",AG65),SUM(PRODUCT(K65,IF(Settings!$I$9&lt;&gt;0,Settings!$I$9/100,0)),PRODUCT(T65,IF(Settings!$I$10&lt;&gt;0,Settings!$I$10/100,0)),PRODUCT(AC65,IF(Settings!$I$11&lt;&gt;0,Settings!$I$11/100,0)),PRODUCT(AG65,IF(Settings!$I$12&lt;&gt;0,Settings!$I$12/100,0)),PRODUCT(AI65,IF(Settings!$I$13&lt;&gt;0,Settings!$I$13/100,0))),"")</f>
        <v/>
      </c>
      <c r="AK65" s="45" t="str">
        <f>Prelim!AJ65</f>
        <v/>
      </c>
      <c r="AL65" s="45" t="str">
        <f>Midterm!AL65</f>
        <v/>
      </c>
      <c r="AM65" s="46" t="str">
        <f>IF(AJ65&lt;&gt;"",AVERAGE(Prelim!AJ65,Midterm!AL65,SemiFinal!AJ65),"")</f>
        <v/>
      </c>
      <c r="AN65" s="37"/>
      <c r="AO65" s="37"/>
      <c r="AP65" s="37"/>
      <c r="AQ65" s="37"/>
      <c r="AR65" s="37"/>
      <c r="AS65" s="37"/>
    </row>
    <row r="66" spans="1:45" ht="12" customHeight="1" thickBot="1" x14ac:dyDescent="0.35">
      <c r="A66" s="54"/>
      <c r="B66" s="90"/>
      <c r="C66" s="5"/>
      <c r="D66" s="42" t="str">
        <f>IF(AND(B66&lt;&gt;""),IF($C$9&lt;&gt;0,VLOOKUP(C66/$C$9*100,TRANSMUTATION_TABLE!$A$2:$B$102,2),""),"")</f>
        <v/>
      </c>
      <c r="E66" s="5"/>
      <c r="F66" s="42" t="str">
        <f>IF(AND(B66&lt;&gt;""),IF($E$9&lt;&gt;0,VLOOKUP(E66/$E$9*100,TRANSMUTATION_TABLE!$A$2:$B$102,2),""),"")</f>
        <v/>
      </c>
      <c r="G66" s="5"/>
      <c r="H66" s="42" t="str">
        <f>IF(AND(B66&lt;&gt;""),IF($G$9&lt;&gt;0,VLOOKUP(G66/$G$9*100,TRANSMUTATION_TABLE!$A$2:$B$102,2),""),"")</f>
        <v/>
      </c>
      <c r="I66" s="5"/>
      <c r="J66" s="43" t="str">
        <f>IF(AND(B66&lt;&gt;""),IF($I$9&lt;&gt;0,VLOOKUP(I66/$I$9*100,TRANSMUTATION_TABLE!$A$2:$B$102,2),""),"")</f>
        <v/>
      </c>
      <c r="K66" s="81" t="str">
        <f t="shared" si="0"/>
        <v/>
      </c>
      <c r="L66" s="5"/>
      <c r="M66" s="42" t="str">
        <f>IF(AND(B66&lt;&gt;""),IF($L$9&lt;&gt;0,VLOOKUP(L66/$L$9*100,TRANSMUTATION_TABLE!$A$2:$B$102,2),""),"")</f>
        <v/>
      </c>
      <c r="N66" s="5"/>
      <c r="O66" s="42" t="str">
        <f>IF(AND(B66&lt;&gt;""),IF($N$9&lt;&gt;0,VLOOKUP(N66/$N$9*100,TRANSMUTATION_TABLE!$A$2:$B$102,2),""),"")</f>
        <v/>
      </c>
      <c r="P66" s="5"/>
      <c r="Q66" s="42" t="str">
        <f>IF(AND(B66&lt;&gt;""),IF($P$9&lt;&gt;0,VLOOKUP(P66/$P$9*100,TRANSMUTATION_TABLE!$A$2:$B$102,2),""),"")</f>
        <v/>
      </c>
      <c r="R66" s="5"/>
      <c r="S66" s="43" t="str">
        <f>IF(AND(B66&lt;&gt;""),IF($R$9&lt;&gt;0,VLOOKUP(R66/$R$9*100,TRANSMUTATION_TABLE!$A$2:$B$102,2),""),"")</f>
        <v/>
      </c>
      <c r="T66" s="81" t="str">
        <f t="shared" si="1"/>
        <v/>
      </c>
      <c r="U66" s="5"/>
      <c r="V66" s="42" t="str">
        <f>IF(AND(B66&lt;&gt;""),IF($U$9&lt;&gt;0,VLOOKUP(U66/$U$9*100,TRANSMUTATION_TABLE!$A$2:$B$102,2),""),"")</f>
        <v/>
      </c>
      <c r="W66" s="5"/>
      <c r="X66" s="42" t="str">
        <f>IF(AND(B66&lt;&gt;""),IF($W$9&lt;&gt;0,VLOOKUP(W66/$W$9*100,TRANSMUTATION_TABLE!$A$2:$B$102,2),""),"")</f>
        <v/>
      </c>
      <c r="Y66" s="5"/>
      <c r="Z66" s="42" t="str">
        <f>IF(AND(B66&lt;&gt;""),IF($Y$9&lt;&gt;0,VLOOKUP(Y66/$Y$9*100,TRANSMUTATION_TABLE!$A$2:$B$102,2),""),"")</f>
        <v/>
      </c>
      <c r="AA66" s="5"/>
      <c r="AB66" s="43" t="str">
        <f>IF(AND(B66&lt;&gt;""),IF($AA$9&lt;&gt;0,VLOOKUP(AA66/$AA$9*100,TRANSMUTATION_TABLE!$A$2:$B$102,2),""),"")</f>
        <v/>
      </c>
      <c r="AC66" s="81" t="str">
        <f t="shared" si="2"/>
        <v/>
      </c>
      <c r="AD66" s="53"/>
      <c r="AE66" s="42" t="str">
        <f>IF(AND(B66&lt;&gt;""),IF($AD$9&lt;&gt;0,VLOOKUP(AD66/$AD$9*100,TRANSMUTATION_TABLE!$A$2:$B$102,2),""),"")</f>
        <v/>
      </c>
      <c r="AF66" s="50">
        <f>Attendance!BE63</f>
        <v>0</v>
      </c>
      <c r="AG66" s="45" t="str">
        <f>IF(AND(B66&lt;&gt;""),IF($AF$9&lt;&gt;0,VLOOKUP(AF66/$AF$9*100,TRANSMUTATION_TABLE!$A$2:$B$102,2),""),"")</f>
        <v/>
      </c>
      <c r="AH66" s="5"/>
      <c r="AI66" s="45" t="str">
        <f>IF(AND(B66&lt;&gt;""),IF($AH$9&lt;&gt;0,VLOOKUP(AH66/$AH$9*100,TRANSMUTATION_TABLE!$A$2:$B$102,2),""),"")</f>
        <v/>
      </c>
      <c r="AJ66" s="45" t="str">
        <f>IF(OR(K66&lt;&gt;"",T66&lt;&gt;"",AC66&lt;&gt;"",AI66&lt;&gt;"",AG66),SUM(PRODUCT(K66,IF(Settings!$I$9&lt;&gt;0,Settings!$I$9/100,0)),PRODUCT(T66,IF(Settings!$I$10&lt;&gt;0,Settings!$I$10/100,0)),PRODUCT(AC66,IF(Settings!$I$11&lt;&gt;0,Settings!$I$11/100,0)),PRODUCT(AG66,IF(Settings!$I$12&lt;&gt;0,Settings!$I$12/100,0)),PRODUCT(AI66,IF(Settings!$I$13&lt;&gt;0,Settings!$I$13/100,0))),"")</f>
        <v/>
      </c>
      <c r="AK66" s="45" t="str">
        <f>Prelim!AJ66</f>
        <v/>
      </c>
      <c r="AL66" s="45" t="str">
        <f>Midterm!AL66</f>
        <v/>
      </c>
      <c r="AM66" s="46" t="str">
        <f>IF(AJ66&lt;&gt;"",AVERAGE(Prelim!AJ66,Midterm!AL66,SemiFinal!AJ66),"")</f>
        <v/>
      </c>
      <c r="AN66" s="37"/>
      <c r="AO66" s="37"/>
      <c r="AP66" s="37"/>
      <c r="AQ66" s="37"/>
      <c r="AR66" s="37"/>
      <c r="AS66" s="37"/>
    </row>
    <row r="67" spans="1:45" ht="12" customHeight="1" thickBot="1" x14ac:dyDescent="0.35">
      <c r="A67" s="54"/>
      <c r="B67" s="90"/>
      <c r="C67" s="5"/>
      <c r="D67" s="42" t="str">
        <f>IF(AND(B67&lt;&gt;""),IF($C$9&lt;&gt;0,VLOOKUP(C67/$C$9*100,TRANSMUTATION_TABLE!$A$2:$B$102,2),""),"")</f>
        <v/>
      </c>
      <c r="E67" s="5"/>
      <c r="F67" s="42" t="str">
        <f>IF(AND(B67&lt;&gt;""),IF($E$9&lt;&gt;0,VLOOKUP(E67/$E$9*100,TRANSMUTATION_TABLE!$A$2:$B$102,2),""),"")</f>
        <v/>
      </c>
      <c r="G67" s="5"/>
      <c r="H67" s="42" t="str">
        <f>IF(AND(B67&lt;&gt;""),IF($G$9&lt;&gt;0,VLOOKUP(G67/$G$9*100,TRANSMUTATION_TABLE!$A$2:$B$102,2),""),"")</f>
        <v/>
      </c>
      <c r="I67" s="5"/>
      <c r="J67" s="43" t="str">
        <f>IF(AND(B67&lt;&gt;""),IF($I$9&lt;&gt;0,VLOOKUP(I67/$I$9*100,TRANSMUTATION_TABLE!$A$2:$B$102,2),""),"")</f>
        <v/>
      </c>
      <c r="K67" s="81" t="str">
        <f t="shared" si="0"/>
        <v/>
      </c>
      <c r="L67" s="5"/>
      <c r="M67" s="42" t="str">
        <f>IF(AND(B67&lt;&gt;""),IF($L$9&lt;&gt;0,VLOOKUP(L67/$L$9*100,TRANSMUTATION_TABLE!$A$2:$B$102,2),""),"")</f>
        <v/>
      </c>
      <c r="N67" s="5"/>
      <c r="O67" s="42" t="str">
        <f>IF(AND(B67&lt;&gt;""),IF($N$9&lt;&gt;0,VLOOKUP(N67/$N$9*100,TRANSMUTATION_TABLE!$A$2:$B$102,2),""),"")</f>
        <v/>
      </c>
      <c r="P67" s="5"/>
      <c r="Q67" s="42" t="str">
        <f>IF(AND(B67&lt;&gt;""),IF($P$9&lt;&gt;0,VLOOKUP(P67/$P$9*100,TRANSMUTATION_TABLE!$A$2:$B$102,2),""),"")</f>
        <v/>
      </c>
      <c r="R67" s="5"/>
      <c r="S67" s="43" t="str">
        <f>IF(AND(B67&lt;&gt;""),IF($R$9&lt;&gt;0,VLOOKUP(R67/$R$9*100,TRANSMUTATION_TABLE!$A$2:$B$102,2),""),"")</f>
        <v/>
      </c>
      <c r="T67" s="81" t="str">
        <f t="shared" si="1"/>
        <v/>
      </c>
      <c r="U67" s="5"/>
      <c r="V67" s="42" t="str">
        <f>IF(AND(B67&lt;&gt;""),IF($U$9&lt;&gt;0,VLOOKUP(U67/$U$9*100,TRANSMUTATION_TABLE!$A$2:$B$102,2),""),"")</f>
        <v/>
      </c>
      <c r="W67" s="5"/>
      <c r="X67" s="42" t="str">
        <f>IF(AND(B67&lt;&gt;""),IF($W$9&lt;&gt;0,VLOOKUP(W67/$W$9*100,TRANSMUTATION_TABLE!$A$2:$B$102,2),""),"")</f>
        <v/>
      </c>
      <c r="Y67" s="5"/>
      <c r="Z67" s="42" t="str">
        <f>IF(AND(B67&lt;&gt;""),IF($Y$9&lt;&gt;0,VLOOKUP(Y67/$Y$9*100,TRANSMUTATION_TABLE!$A$2:$B$102,2),""),"")</f>
        <v/>
      </c>
      <c r="AA67" s="5"/>
      <c r="AB67" s="43" t="str">
        <f>IF(AND(B67&lt;&gt;""),IF($AA$9&lt;&gt;0,VLOOKUP(AA67/$AA$9*100,TRANSMUTATION_TABLE!$A$2:$B$102,2),""),"")</f>
        <v/>
      </c>
      <c r="AC67" s="81" t="str">
        <f t="shared" si="2"/>
        <v/>
      </c>
      <c r="AD67" s="53"/>
      <c r="AE67" s="42" t="str">
        <f>IF(AND(B67&lt;&gt;""),IF($AD$9&lt;&gt;0,VLOOKUP(AD67/$AD$9*100,TRANSMUTATION_TABLE!$A$2:$B$102,2),""),"")</f>
        <v/>
      </c>
      <c r="AF67" s="50">
        <f>Attendance!BE64</f>
        <v>0</v>
      </c>
      <c r="AG67" s="45" t="str">
        <f>IF(AND(B67&lt;&gt;""),IF($AF$9&lt;&gt;0,VLOOKUP(AF67/$AF$9*100,TRANSMUTATION_TABLE!$A$2:$B$102,2),""),"")</f>
        <v/>
      </c>
      <c r="AH67" s="5"/>
      <c r="AI67" s="45" t="str">
        <f>IF(AND(B67&lt;&gt;""),IF($AH$9&lt;&gt;0,VLOOKUP(AH67/$AH$9*100,TRANSMUTATION_TABLE!$A$2:$B$102,2),""),"")</f>
        <v/>
      </c>
      <c r="AJ67" s="45" t="str">
        <f>IF(OR(K67&lt;&gt;"",T67&lt;&gt;"",AC67&lt;&gt;"",AI67&lt;&gt;"",AG67),SUM(PRODUCT(K67,IF(Settings!$I$9&lt;&gt;0,Settings!$I$9/100,0)),PRODUCT(T67,IF(Settings!$I$10&lt;&gt;0,Settings!$I$10/100,0)),PRODUCT(AC67,IF(Settings!$I$11&lt;&gt;0,Settings!$I$11/100,0)),PRODUCT(AG67,IF(Settings!$I$12&lt;&gt;0,Settings!$I$12/100,0)),PRODUCT(AI67,IF(Settings!$I$13&lt;&gt;0,Settings!$I$13/100,0))),"")</f>
        <v/>
      </c>
      <c r="AK67" s="45" t="str">
        <f>Prelim!AJ67</f>
        <v/>
      </c>
      <c r="AL67" s="45" t="str">
        <f>Midterm!AL67</f>
        <v/>
      </c>
      <c r="AM67" s="46" t="str">
        <f>IF(AJ67&lt;&gt;"",AVERAGE(Prelim!AJ67,Midterm!AL67,SemiFinal!AJ67),"")</f>
        <v/>
      </c>
      <c r="AN67" s="37"/>
      <c r="AO67" s="37"/>
      <c r="AP67" s="37"/>
      <c r="AQ67" s="37"/>
      <c r="AR67" s="37"/>
      <c r="AS67" s="37"/>
    </row>
    <row r="68" spans="1:45" ht="12" customHeight="1" thickBot="1" x14ac:dyDescent="0.35">
      <c r="A68" s="54"/>
      <c r="B68" s="90"/>
      <c r="C68" s="5"/>
      <c r="D68" s="42" t="str">
        <f>IF(AND(B68&lt;&gt;""),IF($C$9&lt;&gt;0,VLOOKUP(C68/$C$9*100,TRANSMUTATION_TABLE!$A$2:$B$102,2),""),"")</f>
        <v/>
      </c>
      <c r="E68" s="5"/>
      <c r="F68" s="42" t="str">
        <f>IF(AND(B68&lt;&gt;""),IF($E$9&lt;&gt;0,VLOOKUP(E68/$E$9*100,TRANSMUTATION_TABLE!$A$2:$B$102,2),""),"")</f>
        <v/>
      </c>
      <c r="G68" s="5"/>
      <c r="H68" s="42" t="str">
        <f>IF(AND(B68&lt;&gt;""),IF($G$9&lt;&gt;0,VLOOKUP(G68/$G$9*100,TRANSMUTATION_TABLE!$A$2:$B$102,2),""),"")</f>
        <v/>
      </c>
      <c r="I68" s="5"/>
      <c r="J68" s="43" t="str">
        <f>IF(AND(B68&lt;&gt;""),IF($I$9&lt;&gt;0,VLOOKUP(I68/$I$9*100,TRANSMUTATION_TABLE!$A$2:$B$102,2),""),"")</f>
        <v/>
      </c>
      <c r="K68" s="81" t="str">
        <f t="shared" si="0"/>
        <v/>
      </c>
      <c r="L68" s="5"/>
      <c r="M68" s="42" t="str">
        <f>IF(AND(B68&lt;&gt;""),IF($L$9&lt;&gt;0,VLOOKUP(L68/$L$9*100,TRANSMUTATION_TABLE!$A$2:$B$102,2),""),"")</f>
        <v/>
      </c>
      <c r="N68" s="5"/>
      <c r="O68" s="42" t="str">
        <f>IF(AND(B68&lt;&gt;""),IF($N$9&lt;&gt;0,VLOOKUP(N68/$N$9*100,TRANSMUTATION_TABLE!$A$2:$B$102,2),""),"")</f>
        <v/>
      </c>
      <c r="P68" s="5"/>
      <c r="Q68" s="42" t="str">
        <f>IF(AND(B68&lt;&gt;""),IF($P$9&lt;&gt;0,VLOOKUP(P68/$P$9*100,TRANSMUTATION_TABLE!$A$2:$B$102,2),""),"")</f>
        <v/>
      </c>
      <c r="R68" s="5"/>
      <c r="S68" s="43" t="str">
        <f>IF(AND(B68&lt;&gt;""),IF($R$9&lt;&gt;0,VLOOKUP(R68/$R$9*100,TRANSMUTATION_TABLE!$A$2:$B$102,2),""),"")</f>
        <v/>
      </c>
      <c r="T68" s="81" t="str">
        <f t="shared" si="1"/>
        <v/>
      </c>
      <c r="U68" s="5"/>
      <c r="V68" s="42" t="str">
        <f>IF(AND(B68&lt;&gt;""),IF($U$9&lt;&gt;0,VLOOKUP(U68/$U$9*100,TRANSMUTATION_TABLE!$A$2:$B$102,2),""),"")</f>
        <v/>
      </c>
      <c r="W68" s="5"/>
      <c r="X68" s="42" t="str">
        <f>IF(AND(B68&lt;&gt;""),IF($W$9&lt;&gt;0,VLOOKUP(W68/$W$9*100,TRANSMUTATION_TABLE!$A$2:$B$102,2),""),"")</f>
        <v/>
      </c>
      <c r="Y68" s="5"/>
      <c r="Z68" s="42" t="str">
        <f>IF(AND(B68&lt;&gt;""),IF($Y$9&lt;&gt;0,VLOOKUP(Y68/$Y$9*100,TRANSMUTATION_TABLE!$A$2:$B$102,2),""),"")</f>
        <v/>
      </c>
      <c r="AA68" s="5"/>
      <c r="AB68" s="43" t="str">
        <f>IF(AND(B68&lt;&gt;""),IF($AA$9&lt;&gt;0,VLOOKUP(AA68/$AA$9*100,TRANSMUTATION_TABLE!$A$2:$B$102,2),""),"")</f>
        <v/>
      </c>
      <c r="AC68" s="81" t="str">
        <f t="shared" si="2"/>
        <v/>
      </c>
      <c r="AD68" s="53"/>
      <c r="AE68" s="42" t="str">
        <f>IF(AND(B68&lt;&gt;""),IF($AD$9&lt;&gt;0,VLOOKUP(AD68/$AD$9*100,TRANSMUTATION_TABLE!$A$2:$B$102,2),""),"")</f>
        <v/>
      </c>
      <c r="AF68" s="50">
        <f>Attendance!BE65</f>
        <v>0</v>
      </c>
      <c r="AG68" s="45" t="str">
        <f>IF(AND(B68&lt;&gt;""),IF($AF$9&lt;&gt;0,VLOOKUP(AF68/$AF$9*100,TRANSMUTATION_TABLE!$A$2:$B$102,2),""),"")</f>
        <v/>
      </c>
      <c r="AH68" s="5"/>
      <c r="AI68" s="45" t="str">
        <f>IF(AND(B68&lt;&gt;""),IF($AH$9&lt;&gt;0,VLOOKUP(AH68/$AH$9*100,TRANSMUTATION_TABLE!$A$2:$B$102,2),""),"")</f>
        <v/>
      </c>
      <c r="AJ68" s="45" t="str">
        <f>IF(OR(K68&lt;&gt;"",T68&lt;&gt;"",AC68&lt;&gt;"",AI68&lt;&gt;"",AG68),SUM(PRODUCT(K68,IF(Settings!$I$9&lt;&gt;0,Settings!$I$9/100,0)),PRODUCT(T68,IF(Settings!$I$10&lt;&gt;0,Settings!$I$10/100,0)),PRODUCT(AC68,IF(Settings!$I$11&lt;&gt;0,Settings!$I$11/100,0)),PRODUCT(AG68,IF(Settings!$I$12&lt;&gt;0,Settings!$I$12/100,0)),PRODUCT(AI68,IF(Settings!$I$13&lt;&gt;0,Settings!$I$13/100,0))),"")</f>
        <v/>
      </c>
      <c r="AK68" s="45" t="str">
        <f>Prelim!AJ68</f>
        <v/>
      </c>
      <c r="AL68" s="45" t="str">
        <f>Midterm!AL68</f>
        <v/>
      </c>
      <c r="AM68" s="46" t="str">
        <f>IF(AJ68&lt;&gt;"",AVERAGE(Prelim!AJ68,Midterm!AL68,SemiFinal!AJ68),"")</f>
        <v/>
      </c>
      <c r="AN68" s="37"/>
      <c r="AO68" s="37"/>
      <c r="AP68" s="37"/>
      <c r="AQ68" s="37"/>
      <c r="AR68" s="37"/>
      <c r="AS68" s="37"/>
    </row>
    <row r="69" spans="1:45" ht="12" customHeight="1" thickBot="1" x14ac:dyDescent="0.35">
      <c r="A69" s="54"/>
      <c r="B69" s="61"/>
      <c r="C69" s="55"/>
      <c r="D69" s="42" t="str">
        <f>IF(AND(B69&lt;&gt;""),IF($C$9&lt;&gt;0,VLOOKUP(C69/$C$9*100,TRANSMUTATION_TABLE!$A$2:$B$102,2),""),"")</f>
        <v/>
      </c>
      <c r="E69" s="55"/>
      <c r="F69" s="42" t="str">
        <f>IF(AND(B69&lt;&gt;""),IF($E$9&lt;&gt;0,VLOOKUP(E69/$E$9*100,TRANSMUTATION_TABLE!$A$2:$B$102,2),""),"")</f>
        <v/>
      </c>
      <c r="G69" s="55"/>
      <c r="H69" s="42" t="str">
        <f>IF(AND(B69&lt;&gt;""),IF($G$9&lt;&gt;0,VLOOKUP(G69/$G$9*100,TRANSMUTATION_TABLE!$A$2:$B$102,2),""),"")</f>
        <v/>
      </c>
      <c r="I69" s="55"/>
      <c r="J69" s="43" t="str">
        <f>IF(AND(B69&lt;&gt;""),IF($I$9&lt;&gt;0,VLOOKUP(I69/$I$9*100,TRANSMUTATION_TABLE!$A$2:$B$102,2),""),"")</f>
        <v/>
      </c>
      <c r="K69" s="81" t="str">
        <f t="shared" si="0"/>
        <v/>
      </c>
      <c r="L69" s="55"/>
      <c r="M69" s="42" t="str">
        <f>IF(AND(B69&lt;&gt;""),IF($L$9&lt;&gt;0,VLOOKUP(L69/$L$9*100,TRANSMUTATION_TABLE!$A$2:$B$102,2),""),"")</f>
        <v/>
      </c>
      <c r="N69" s="55"/>
      <c r="O69" s="42" t="str">
        <f>IF(AND(B69&lt;&gt;""),IF($N$9&lt;&gt;0,VLOOKUP(N69/$N$9*100,TRANSMUTATION_TABLE!$A$2:$B$102,2),""),"")</f>
        <v/>
      </c>
      <c r="P69" s="55"/>
      <c r="Q69" s="42" t="str">
        <f>IF(AND(B69&lt;&gt;""),IF($P$9&lt;&gt;0,VLOOKUP(P69/$P$9*100,TRANSMUTATION_TABLE!$A$2:$B$102,2),""),"")</f>
        <v/>
      </c>
      <c r="R69" s="55"/>
      <c r="S69" s="43" t="str">
        <f>IF(AND(B69&lt;&gt;""),IF($R$9&lt;&gt;0,VLOOKUP(R69/$R$9*100,TRANSMUTATION_TABLE!$A$2:$B$102,2),""),"")</f>
        <v/>
      </c>
      <c r="T69" s="81" t="str">
        <f t="shared" si="1"/>
        <v/>
      </c>
      <c r="U69" s="55"/>
      <c r="V69" s="42" t="str">
        <f>IF(AND(B69&lt;&gt;""),IF($U$9&lt;&gt;0,VLOOKUP(U69/$U$9*100,TRANSMUTATION_TABLE!$A$2:$B$102,2),""),"")</f>
        <v/>
      </c>
      <c r="W69" s="55"/>
      <c r="X69" s="42" t="str">
        <f>IF(AND(B69&lt;&gt;""),IF($W$9&lt;&gt;0,VLOOKUP(W69/$W$9*100,TRANSMUTATION_TABLE!$A$2:$B$102,2),""),"")</f>
        <v/>
      </c>
      <c r="Y69" s="55"/>
      <c r="Z69" s="42" t="str">
        <f>IF(AND(B69&lt;&gt;""),IF($Y$9&lt;&gt;0,VLOOKUP(Y69/$Y$9*100,TRANSMUTATION_TABLE!$A$2:$B$102,2),""),"")</f>
        <v/>
      </c>
      <c r="AA69" s="55"/>
      <c r="AB69" s="43" t="str">
        <f>IF(AND(B69&lt;&gt;""),IF($AA$9&lt;&gt;0,VLOOKUP(AA69/$AA$9*100,TRANSMUTATION_TABLE!$A$2:$B$102,2),""),"")</f>
        <v/>
      </c>
      <c r="AC69" s="81" t="str">
        <f t="shared" si="2"/>
        <v/>
      </c>
      <c r="AD69" s="53"/>
      <c r="AE69" s="42" t="str">
        <f>IF(AND(B69&lt;&gt;""),IF($AD$9&lt;&gt;0,VLOOKUP(AD69/$AD$9*100,TRANSMUTATION_TABLE!$A$2:$B$102,2),""),"")</f>
        <v/>
      </c>
      <c r="AF69" s="50">
        <f>Attendance!BE66</f>
        <v>0</v>
      </c>
      <c r="AG69" s="45" t="str">
        <f>IF(AND(B69&lt;&gt;""),IF($AF$9&lt;&gt;0,VLOOKUP(AF69/$AF$9*100,TRANSMUTATION_TABLE!$A$2:$B$102,2),""),"")</f>
        <v/>
      </c>
      <c r="AH69" s="55"/>
      <c r="AI69" s="45" t="str">
        <f>IF(AND(B69&lt;&gt;""),IF($AH$9&lt;&gt;0,VLOOKUP(AH69/$AH$9*100,TRANSMUTATION_TABLE!$A$2:$B$102,2),""),"")</f>
        <v/>
      </c>
      <c r="AJ69" s="45" t="str">
        <f>IF(OR(K69&lt;&gt;"",T69&lt;&gt;"",AC69&lt;&gt;"",AI69&lt;&gt;"",AG69),SUM(PRODUCT(K69,IF(Settings!$I$9&lt;&gt;0,Settings!$I$9/100,0)),PRODUCT(T69,IF(Settings!$I$10&lt;&gt;0,Settings!$I$10/100,0)),PRODUCT(AC69,IF(Settings!$I$11&lt;&gt;0,Settings!$I$11/100,0)),PRODUCT(AG69,IF(Settings!$I$12&lt;&gt;0,Settings!$I$12/100,0)),PRODUCT(AI69,IF(Settings!$I$13&lt;&gt;0,Settings!$I$13/100,0))),"")</f>
        <v/>
      </c>
      <c r="AK69" s="45" t="str">
        <f>Prelim!AJ69</f>
        <v/>
      </c>
      <c r="AL69" s="45" t="str">
        <f>Midterm!AL69</f>
        <v/>
      </c>
      <c r="AM69" s="46" t="str">
        <f>IF(AJ69&lt;&gt;"",AVERAGE(Prelim!AJ69,Midterm!AL69,SemiFinal!AJ69),"")</f>
        <v/>
      </c>
      <c r="AN69" s="37"/>
      <c r="AO69" s="37"/>
      <c r="AP69" s="37"/>
      <c r="AQ69" s="37"/>
      <c r="AR69" s="37"/>
      <c r="AS69" s="37"/>
    </row>
    <row r="70" spans="1:45" ht="14.25" customHeight="1" thickBot="1" x14ac:dyDescent="0.35">
      <c r="A70" s="54"/>
      <c r="B70" s="90"/>
      <c r="C70" s="5"/>
      <c r="D70" s="42" t="str">
        <f>IF(AND(B70&lt;&gt;""),IF($C$9&lt;&gt;0,VLOOKUP(C70/$C$9*100,TRANSMUTATION_TABLE!$A$2:$B$102,2),""),"")</f>
        <v/>
      </c>
      <c r="E70" s="5"/>
      <c r="F70" s="42" t="str">
        <f>IF(AND(B70&lt;&gt;""),IF($E$9&lt;&gt;0,VLOOKUP(E70/$E$9*100,TRANSMUTATION_TABLE!$A$2:$B$102,2),""),"")</f>
        <v/>
      </c>
      <c r="G70" s="5"/>
      <c r="H70" s="42" t="str">
        <f>IF(AND(B70&lt;&gt;""),IF($G$9&lt;&gt;0,VLOOKUP(G70/$G$9*100,TRANSMUTATION_TABLE!$A$2:$B$102,2),""),"")</f>
        <v/>
      </c>
      <c r="I70" s="5"/>
      <c r="J70" s="43" t="str">
        <f>IF(AND(B70&lt;&gt;""),IF($I$9&lt;&gt;0,VLOOKUP(I70/$I$9*100,TRANSMUTATION_TABLE!$A$2:$B$102,2),""),"")</f>
        <v/>
      </c>
      <c r="K70" s="81" t="str">
        <f t="shared" ref="K70:K79" si="3">IF(COUNT(D70,F70,H70,J70)&gt;0,AVERAGE(D70,F70,H70,J70),"")</f>
        <v/>
      </c>
      <c r="L70" s="5"/>
      <c r="M70" s="42" t="str">
        <f>IF(AND(B70&lt;&gt;""),IF($L$9&lt;&gt;0,VLOOKUP(L70/$L$9*100,TRANSMUTATION_TABLE!$A$2:$B$102,2),""),"")</f>
        <v/>
      </c>
      <c r="N70" s="5"/>
      <c r="O70" s="42" t="str">
        <f>IF(AND(B70&lt;&gt;""),IF($N$9&lt;&gt;0,VLOOKUP(N70/$N$9*100,TRANSMUTATION_TABLE!$A$2:$B$102,2),""),"")</f>
        <v/>
      </c>
      <c r="P70" s="5"/>
      <c r="Q70" s="42" t="str">
        <f>IF(AND(B70&lt;&gt;""),IF($P$9&lt;&gt;0,VLOOKUP(P70/$P$9*100,TRANSMUTATION_TABLE!$A$2:$B$102,2),""),"")</f>
        <v/>
      </c>
      <c r="R70" s="5"/>
      <c r="S70" s="43" t="str">
        <f>IF(AND(B70&lt;&gt;""),IF($R$9&lt;&gt;0,VLOOKUP(R70/$R$9*100,TRANSMUTATION_TABLE!$A$2:$B$102,2),""),"")</f>
        <v/>
      </c>
      <c r="T70" s="81" t="str">
        <f t="shared" ref="T70:T79" si="4">IF(COUNT(M70,O70,Q70,S70)&gt;0,AVERAGE(M70,O70,Q70,S70),"")</f>
        <v/>
      </c>
      <c r="U70" s="5"/>
      <c r="V70" s="42" t="str">
        <f>IF(AND(B70&lt;&gt;""),IF($U$9&lt;&gt;0,VLOOKUP(U70/$U$9*100,TRANSMUTATION_TABLE!$A$2:$B$102,2),""),"")</f>
        <v/>
      </c>
      <c r="W70" s="5"/>
      <c r="X70" s="42" t="str">
        <f>IF(AND(B70&lt;&gt;""),IF($W$9&lt;&gt;0,VLOOKUP(W70/$W$9*100,TRANSMUTATION_TABLE!$A$2:$B$102,2),""),"")</f>
        <v/>
      </c>
      <c r="Y70" s="5"/>
      <c r="Z70" s="42" t="str">
        <f>IF(AND(B70&lt;&gt;""),IF($Y$9&lt;&gt;0,VLOOKUP(Y70/$Y$9*100,TRANSMUTATION_TABLE!$A$2:$B$102,2),""),"")</f>
        <v/>
      </c>
      <c r="AA70" s="5"/>
      <c r="AB70" s="43" t="str">
        <f>IF(AND(B70&lt;&gt;""),IF($AA$9&lt;&gt;0,VLOOKUP(AA70/$AA$9*100,TRANSMUTATION_TABLE!$A$2:$B$102,2),""),"")</f>
        <v/>
      </c>
      <c r="AC70" s="81" t="str">
        <f t="shared" ref="AC70:AC79" si="5">IF(COUNT(V70,X70,Z70,AB70)&gt;0,AVERAGE(V70,X70,Z70,AB70),"")</f>
        <v/>
      </c>
      <c r="AD70" s="53"/>
      <c r="AE70" s="42" t="str">
        <f>IF(AND(B70&lt;&gt;""),IF($AD$9&lt;&gt;0,VLOOKUP(AD70/$AD$9*100,TRANSMUTATION_TABLE!$A$2:$B$102,2),""),"")</f>
        <v/>
      </c>
      <c r="AF70" s="50">
        <f>Attendance!BE67</f>
        <v>0</v>
      </c>
      <c r="AG70" s="45" t="str">
        <f>IF(AND(B70&lt;&gt;""),IF($AF$9&lt;&gt;0,VLOOKUP(AF70/$AF$9*100,TRANSMUTATION_TABLE!$A$2:$B$102,2),""),"")</f>
        <v/>
      </c>
      <c r="AH70" s="5"/>
      <c r="AI70" s="45" t="str">
        <f>IF(AND(B70&lt;&gt;""),IF($AH$9&lt;&gt;0,VLOOKUP(AH70/$AH$9*100,TRANSMUTATION_TABLE!$A$2:$B$102,2),""),"")</f>
        <v/>
      </c>
      <c r="AJ70" s="45" t="str">
        <f>IF(OR(K70&lt;&gt;"",T70&lt;&gt;"",AC70&lt;&gt;"",AI70&lt;&gt;"",AG70),SUM(PRODUCT(K70,IF(Settings!$I$9&lt;&gt;0,Settings!$I$9/100,0)),PRODUCT(T70,IF(Settings!$I$10&lt;&gt;0,Settings!$I$10/100,0)),PRODUCT(AC70,IF(Settings!$I$11&lt;&gt;0,Settings!$I$11/100,0)),PRODUCT(AG70,IF(Settings!$I$12&lt;&gt;0,Settings!$I$12/100,0)),PRODUCT(AI70,IF(Settings!$I$13&lt;&gt;0,Settings!$I$13/100,0))),"")</f>
        <v/>
      </c>
      <c r="AK70" s="45" t="str">
        <f>Prelim!AJ70</f>
        <v/>
      </c>
      <c r="AL70" s="45" t="str">
        <f>Midterm!AL70</f>
        <v/>
      </c>
      <c r="AM70" s="46" t="str">
        <f>IF(AJ70&lt;&gt;"",AVERAGE(Prelim!AJ70,Midterm!AL70,SemiFinal!AJ70),"")</f>
        <v/>
      </c>
      <c r="AN70" s="37"/>
      <c r="AO70" s="37"/>
      <c r="AP70" s="37"/>
      <c r="AQ70" s="37"/>
      <c r="AR70" s="37"/>
      <c r="AS70" s="37"/>
    </row>
    <row r="71" spans="1:45" ht="14.25" customHeight="1" thickBot="1" x14ac:dyDescent="0.35">
      <c r="A71" s="54"/>
      <c r="B71" s="90"/>
      <c r="C71" s="5"/>
      <c r="D71" s="42" t="str">
        <f>IF(AND(B71&lt;&gt;""),IF($C$9&lt;&gt;0,VLOOKUP(C71/$C$9*100,TRANSMUTATION_TABLE!$A$2:$B$102,2),""),"")</f>
        <v/>
      </c>
      <c r="E71" s="5"/>
      <c r="F71" s="42" t="str">
        <f>IF(AND(B71&lt;&gt;""),IF($E$9&lt;&gt;0,VLOOKUP(E71/$E$9*100,TRANSMUTATION_TABLE!$A$2:$B$102,2),""),"")</f>
        <v/>
      </c>
      <c r="G71" s="5"/>
      <c r="H71" s="42" t="str">
        <f>IF(AND(B71&lt;&gt;""),IF($G$9&lt;&gt;0,VLOOKUP(G71/$G$9*100,TRANSMUTATION_TABLE!$A$2:$B$102,2),""),"")</f>
        <v/>
      </c>
      <c r="I71" s="5"/>
      <c r="J71" s="43" t="str">
        <f>IF(AND(B71&lt;&gt;""),IF($I$9&lt;&gt;0,VLOOKUP(I71/$I$9*100,TRANSMUTATION_TABLE!$A$2:$B$102,2),""),"")</f>
        <v/>
      </c>
      <c r="K71" s="81" t="str">
        <f t="shared" si="3"/>
        <v/>
      </c>
      <c r="L71" s="5"/>
      <c r="M71" s="42" t="str">
        <f>IF(AND(B71&lt;&gt;""),IF($L$9&lt;&gt;0,VLOOKUP(L71/$L$9*100,TRANSMUTATION_TABLE!$A$2:$B$102,2),""),"")</f>
        <v/>
      </c>
      <c r="N71" s="5"/>
      <c r="O71" s="42" t="str">
        <f>IF(AND(B71&lt;&gt;""),IF($N$9&lt;&gt;0,VLOOKUP(N71/$N$9*100,TRANSMUTATION_TABLE!$A$2:$B$102,2),""),"")</f>
        <v/>
      </c>
      <c r="P71" s="5"/>
      <c r="Q71" s="42" t="str">
        <f>IF(AND(B71&lt;&gt;""),IF($P$9&lt;&gt;0,VLOOKUP(P71/$P$9*100,TRANSMUTATION_TABLE!$A$2:$B$102,2),""),"")</f>
        <v/>
      </c>
      <c r="R71" s="5"/>
      <c r="S71" s="43" t="str">
        <f>IF(AND(B71&lt;&gt;""),IF($R$9&lt;&gt;0,VLOOKUP(R71/$R$9*100,TRANSMUTATION_TABLE!$A$2:$B$102,2),""),"")</f>
        <v/>
      </c>
      <c r="T71" s="81" t="str">
        <f t="shared" si="4"/>
        <v/>
      </c>
      <c r="U71" s="5"/>
      <c r="V71" s="42" t="str">
        <f>IF(AND(B71&lt;&gt;""),IF($U$9&lt;&gt;0,VLOOKUP(U71/$U$9*100,TRANSMUTATION_TABLE!$A$2:$B$102,2),""),"")</f>
        <v/>
      </c>
      <c r="W71" s="5"/>
      <c r="X71" s="42" t="str">
        <f>IF(AND(B71&lt;&gt;""),IF($W$9&lt;&gt;0,VLOOKUP(W71/$W$9*100,TRANSMUTATION_TABLE!$A$2:$B$102,2),""),"")</f>
        <v/>
      </c>
      <c r="Y71" s="5"/>
      <c r="Z71" s="42" t="str">
        <f>IF(AND(B71&lt;&gt;""),IF($Y$9&lt;&gt;0,VLOOKUP(Y71/$Y$9*100,TRANSMUTATION_TABLE!$A$2:$B$102,2),""),"")</f>
        <v/>
      </c>
      <c r="AA71" s="5"/>
      <c r="AB71" s="43" t="str">
        <f>IF(AND(B71&lt;&gt;""),IF($AA$9&lt;&gt;0,VLOOKUP(AA71/$AA$9*100,TRANSMUTATION_TABLE!$A$2:$B$102,2),""),"")</f>
        <v/>
      </c>
      <c r="AC71" s="81" t="str">
        <f t="shared" si="5"/>
        <v/>
      </c>
      <c r="AD71" s="53"/>
      <c r="AE71" s="42" t="str">
        <f>IF(AND(B71&lt;&gt;""),IF($AD$9&lt;&gt;0,VLOOKUP(AD71/$AD$9*100,TRANSMUTATION_TABLE!$A$2:$B$102,2),""),"")</f>
        <v/>
      </c>
      <c r="AF71" s="50">
        <f>Attendance!BE68</f>
        <v>0</v>
      </c>
      <c r="AG71" s="45" t="str">
        <f>IF(AND(B71&lt;&gt;""),IF($AF$9&lt;&gt;0,VLOOKUP(AF71/$AF$9*100,TRANSMUTATION_TABLE!$A$2:$B$102,2),""),"")</f>
        <v/>
      </c>
      <c r="AH71" s="5"/>
      <c r="AI71" s="45" t="str">
        <f>IF(AND(B71&lt;&gt;""),IF($AH$9&lt;&gt;0,VLOOKUP(AH71/$AH$9*100,TRANSMUTATION_TABLE!$A$2:$B$102,2),""),"")</f>
        <v/>
      </c>
      <c r="AJ71" s="45" t="str">
        <f>IF(OR(K71&lt;&gt;"",T71&lt;&gt;"",AC71&lt;&gt;"",AI71&lt;&gt;"",AG71),SUM(PRODUCT(K71,IF(Settings!$I$9&lt;&gt;0,Settings!$I$9/100,0)),PRODUCT(T71,IF(Settings!$I$10&lt;&gt;0,Settings!$I$10/100,0)),PRODUCT(AC71,IF(Settings!$I$11&lt;&gt;0,Settings!$I$11/100,0)),PRODUCT(AG71,IF(Settings!$I$12&lt;&gt;0,Settings!$I$12/100,0)),PRODUCT(AI71,IF(Settings!$I$13&lt;&gt;0,Settings!$I$13/100,0))),"")</f>
        <v/>
      </c>
      <c r="AK71" s="45" t="str">
        <f>Prelim!AJ71</f>
        <v/>
      </c>
      <c r="AL71" s="45" t="str">
        <f>Midterm!AL71</f>
        <v/>
      </c>
      <c r="AM71" s="46" t="str">
        <f>IF(AJ71&lt;&gt;"",AVERAGE(Prelim!AJ71,Midterm!AL71,SemiFinal!AJ71),"")</f>
        <v/>
      </c>
      <c r="AN71" s="37"/>
      <c r="AO71" s="37"/>
      <c r="AP71" s="37"/>
      <c r="AQ71" s="37"/>
      <c r="AR71" s="37"/>
      <c r="AS71" s="37"/>
    </row>
    <row r="72" spans="1:45" ht="14.25" customHeight="1" thickBot="1" x14ac:dyDescent="0.35">
      <c r="A72" s="54" t="str">
        <f>IF(Attendance!A69=0,"",Attendance!A69)</f>
        <v/>
      </c>
      <c r="B72" s="90" t="str">
        <f>IF(Attendance!C69=0,"",Attendance!C69)</f>
        <v/>
      </c>
      <c r="C72" s="5"/>
      <c r="D72" s="42" t="str">
        <f>IF(AND(B72&lt;&gt;""),IF($C$9&lt;&gt;0,VLOOKUP(C72/$C$9*100,TRANSMUTATION_TABLE!$A$2:$B$102,2),""),"")</f>
        <v/>
      </c>
      <c r="E72" s="5"/>
      <c r="F72" s="42" t="str">
        <f>IF(AND(B72&lt;&gt;""),IF($E$9&lt;&gt;0,VLOOKUP(E72/$E$9*100,TRANSMUTATION_TABLE!$A$2:$B$102,2),""),"")</f>
        <v/>
      </c>
      <c r="G72" s="5"/>
      <c r="H72" s="42" t="str">
        <f>IF(AND(B72&lt;&gt;""),IF($G$9&lt;&gt;0,VLOOKUP(G72/$G$9*100,TRANSMUTATION_TABLE!$A$2:$B$102,2),""),"")</f>
        <v/>
      </c>
      <c r="I72" s="5"/>
      <c r="J72" s="43" t="str">
        <f>IF(AND(B72&lt;&gt;""),IF($I$9&lt;&gt;0,VLOOKUP(I72/$I$9*100,TRANSMUTATION_TABLE!$A$2:$B$102,2),""),"")</f>
        <v/>
      </c>
      <c r="K72" s="81" t="str">
        <f t="shared" si="3"/>
        <v/>
      </c>
      <c r="L72" s="5"/>
      <c r="M72" s="42" t="str">
        <f>IF(AND(B72&lt;&gt;""),IF($L$9&lt;&gt;0,VLOOKUP(L72/$L$9*100,TRANSMUTATION_TABLE!$A$2:$B$102,2),""),"")</f>
        <v/>
      </c>
      <c r="N72" s="5"/>
      <c r="O72" s="42" t="str">
        <f>IF(AND(B72&lt;&gt;""),IF($N$9&lt;&gt;0,VLOOKUP(N72/$N$9*100,TRANSMUTATION_TABLE!$A$2:$B$102,2),""),"")</f>
        <v/>
      </c>
      <c r="P72" s="5"/>
      <c r="Q72" s="42" t="str">
        <f>IF(AND(B72&lt;&gt;""),IF($P$9&lt;&gt;0,VLOOKUP(P72/$P$9*100,TRANSMUTATION_TABLE!$A$2:$B$102,2),""),"")</f>
        <v/>
      </c>
      <c r="R72" s="5"/>
      <c r="S72" s="43" t="str">
        <f>IF(AND(B72&lt;&gt;""),IF($R$9&lt;&gt;0,VLOOKUP(R72/$R$9*100,TRANSMUTATION_TABLE!$A$2:$B$102,2),""),"")</f>
        <v/>
      </c>
      <c r="T72" s="81" t="str">
        <f t="shared" si="4"/>
        <v/>
      </c>
      <c r="U72" s="5"/>
      <c r="V72" s="42" t="str">
        <f>IF(AND(B72&lt;&gt;""),IF($U$9&lt;&gt;0,VLOOKUP(U72/$U$9*100,TRANSMUTATION_TABLE!$A$2:$B$102,2),""),"")</f>
        <v/>
      </c>
      <c r="W72" s="5"/>
      <c r="X72" s="42" t="str">
        <f>IF(AND(B72&lt;&gt;""),IF($W$9&lt;&gt;0,VLOOKUP(W72/$W$9*100,TRANSMUTATION_TABLE!$A$2:$B$102,2),""),"")</f>
        <v/>
      </c>
      <c r="Y72" s="5"/>
      <c r="Z72" s="42" t="str">
        <f>IF(AND(B72&lt;&gt;""),IF($Y$9&lt;&gt;0,VLOOKUP(Y72/$Y$9*100,TRANSMUTATION_TABLE!$A$2:$B$102,2),""),"")</f>
        <v/>
      </c>
      <c r="AA72" s="5"/>
      <c r="AB72" s="43" t="str">
        <f>IF(AND(B72&lt;&gt;""),IF($AA$9&lt;&gt;0,VLOOKUP(AA72/$AA$9*100,TRANSMUTATION_TABLE!$A$2:$B$102,2),""),"")</f>
        <v/>
      </c>
      <c r="AC72" s="81" t="str">
        <f t="shared" si="5"/>
        <v/>
      </c>
      <c r="AD72" s="53"/>
      <c r="AE72" s="42" t="str">
        <f>IF(AND(B72&lt;&gt;""),IF($AD$9&lt;&gt;0,VLOOKUP(AD72/$AD$9*100,TRANSMUTATION_TABLE!$A$2:$B$102,2),""),"")</f>
        <v/>
      </c>
      <c r="AF72" s="50">
        <f>Attendance!BE69</f>
        <v>0</v>
      </c>
      <c r="AG72" s="45" t="str">
        <f>IF(AND(B72&lt;&gt;""),IF($AF$9&lt;&gt;0,VLOOKUP(AF72/$AF$9*100,TRANSMUTATION_TABLE!$A$2:$B$102,2),""),"")</f>
        <v/>
      </c>
      <c r="AH72" s="5"/>
      <c r="AI72" s="45" t="str">
        <f>IF(AND(B72&lt;&gt;""),IF($AH$9&lt;&gt;0,VLOOKUP(AH72/$AH$9*100,TRANSMUTATION_TABLE!$A$2:$B$102,2),""),"")</f>
        <v/>
      </c>
      <c r="AJ72" s="45" t="str">
        <f>IF(OR(K72&lt;&gt;"",T72&lt;&gt;"",AC72&lt;&gt;"",AI72&lt;&gt;"",AG72),SUM(PRODUCT(K72,IF(Settings!$I$9&lt;&gt;0,Settings!$I$9/100,0)),PRODUCT(T72,IF(Settings!$I$10&lt;&gt;0,Settings!$I$10/100,0)),PRODUCT(AC72,IF(Settings!$I$11&lt;&gt;0,Settings!$I$11/100,0)),PRODUCT(AG72,IF(Settings!$I$12&lt;&gt;0,Settings!$I$12/100,0)),PRODUCT(AI72,IF(Settings!$I$13&lt;&gt;0,Settings!$I$13/100,0))),"")</f>
        <v/>
      </c>
      <c r="AK72" s="45" t="str">
        <f>Prelim!AJ72</f>
        <v/>
      </c>
      <c r="AL72" s="45" t="str">
        <f>Midterm!AL72</f>
        <v/>
      </c>
      <c r="AM72" s="46" t="str">
        <f>IF(AJ72&lt;&gt;"",AVERAGE(Prelim!AJ72,Midterm!AL72,SemiFinal!AJ72),"")</f>
        <v/>
      </c>
      <c r="AN72" s="37"/>
      <c r="AO72" s="37"/>
      <c r="AP72" s="37"/>
      <c r="AQ72" s="37"/>
      <c r="AR72" s="37"/>
      <c r="AS72" s="37"/>
    </row>
    <row r="73" spans="1:45" ht="14.25" customHeight="1" thickBot="1" x14ac:dyDescent="0.35">
      <c r="A73" s="54" t="str">
        <f>IF(Attendance!A70=0,"",Attendance!A70)</f>
        <v/>
      </c>
      <c r="B73" s="90" t="str">
        <f>IF(Attendance!C70=0,"",Attendance!C70)</f>
        <v/>
      </c>
      <c r="C73" s="5"/>
      <c r="D73" s="42" t="str">
        <f>IF(AND(B73&lt;&gt;""),IF($C$9&lt;&gt;0,VLOOKUP(C73/$C$9*100,TRANSMUTATION_TABLE!$A$2:$B$102,2),""),"")</f>
        <v/>
      </c>
      <c r="E73" s="5"/>
      <c r="F73" s="42" t="str">
        <f>IF(AND(B73&lt;&gt;""),IF($E$9&lt;&gt;0,VLOOKUP(E73/$E$9*100,TRANSMUTATION_TABLE!$A$2:$B$102,2),""),"")</f>
        <v/>
      </c>
      <c r="G73" s="5"/>
      <c r="H73" s="42" t="str">
        <f>IF(AND(B73&lt;&gt;""),IF($G$9&lt;&gt;0,VLOOKUP(G73/$G$9*100,TRANSMUTATION_TABLE!$A$2:$B$102,2),""),"")</f>
        <v/>
      </c>
      <c r="I73" s="5"/>
      <c r="J73" s="43" t="str">
        <f>IF(AND(B73&lt;&gt;""),IF($I$9&lt;&gt;0,VLOOKUP(I73/$I$9*100,TRANSMUTATION_TABLE!$A$2:$B$102,2),""),"")</f>
        <v/>
      </c>
      <c r="K73" s="81" t="str">
        <f t="shared" si="3"/>
        <v/>
      </c>
      <c r="L73" s="5"/>
      <c r="M73" s="42" t="str">
        <f>IF(AND(B73&lt;&gt;""),IF($L$9&lt;&gt;0,VLOOKUP(L73/$L$9*100,TRANSMUTATION_TABLE!$A$2:$B$102,2),""),"")</f>
        <v/>
      </c>
      <c r="N73" s="5"/>
      <c r="O73" s="42" t="str">
        <f>IF(AND(B73&lt;&gt;""),IF($N$9&lt;&gt;0,VLOOKUP(N73/$N$9*100,TRANSMUTATION_TABLE!$A$2:$B$102,2),""),"")</f>
        <v/>
      </c>
      <c r="P73" s="5"/>
      <c r="Q73" s="42" t="str">
        <f>IF(AND(B73&lt;&gt;""),IF($P$9&lt;&gt;0,VLOOKUP(P73/$P$9*100,TRANSMUTATION_TABLE!$A$2:$B$102,2),""),"")</f>
        <v/>
      </c>
      <c r="R73" s="5"/>
      <c r="S73" s="43" t="str">
        <f>IF(AND(B73&lt;&gt;""),IF($R$9&lt;&gt;0,VLOOKUP(R73/$R$9*100,TRANSMUTATION_TABLE!$A$2:$B$102,2),""),"")</f>
        <v/>
      </c>
      <c r="T73" s="81" t="str">
        <f t="shared" si="4"/>
        <v/>
      </c>
      <c r="U73" s="5"/>
      <c r="V73" s="42" t="str">
        <f>IF(AND(B73&lt;&gt;""),IF($U$9&lt;&gt;0,VLOOKUP(U73/$U$9*100,TRANSMUTATION_TABLE!$A$2:$B$102,2),""),"")</f>
        <v/>
      </c>
      <c r="W73" s="5"/>
      <c r="X73" s="42" t="str">
        <f>IF(AND(B73&lt;&gt;""),IF($W$9&lt;&gt;0,VLOOKUP(W73/$W$9*100,TRANSMUTATION_TABLE!$A$2:$B$102,2),""),"")</f>
        <v/>
      </c>
      <c r="Y73" s="5"/>
      <c r="Z73" s="42" t="str">
        <f>IF(AND(B73&lt;&gt;""),IF($Y$9&lt;&gt;0,VLOOKUP(Y73/$Y$9*100,TRANSMUTATION_TABLE!$A$2:$B$102,2),""),"")</f>
        <v/>
      </c>
      <c r="AA73" s="5"/>
      <c r="AB73" s="43" t="str">
        <f>IF(AND(B73&lt;&gt;""),IF($AA$9&lt;&gt;0,VLOOKUP(AA73/$AA$9*100,TRANSMUTATION_TABLE!$A$2:$B$102,2),""),"")</f>
        <v/>
      </c>
      <c r="AC73" s="81" t="str">
        <f t="shared" si="5"/>
        <v/>
      </c>
      <c r="AD73" s="53"/>
      <c r="AE73" s="42" t="str">
        <f>IF(AND(B73&lt;&gt;""),IF($AD$9&lt;&gt;0,VLOOKUP(AD73/$AD$9*100,TRANSMUTATION_TABLE!$A$2:$B$102,2),""),"")</f>
        <v/>
      </c>
      <c r="AF73" s="50">
        <f>Attendance!BE70</f>
        <v>0</v>
      </c>
      <c r="AG73" s="45" t="str">
        <f>IF(AND(B73&lt;&gt;""),IF($AF$9&lt;&gt;0,VLOOKUP(AF73/$AF$9*100,TRANSMUTATION_TABLE!$A$2:$B$102,2),""),"")</f>
        <v/>
      </c>
      <c r="AH73" s="5"/>
      <c r="AI73" s="45" t="str">
        <f>IF(AND(B73&lt;&gt;""),IF($AH$9&lt;&gt;0,VLOOKUP(AH73/$AH$9*100,TRANSMUTATION_TABLE!$A$2:$B$102,2),""),"")</f>
        <v/>
      </c>
      <c r="AJ73" s="45" t="str">
        <f>IF(OR(K73&lt;&gt;"",T73&lt;&gt;"",AC73&lt;&gt;"",AI73&lt;&gt;"",AG73),SUM(PRODUCT(K73,IF(Settings!$I$9&lt;&gt;0,Settings!$I$9/100,0)),PRODUCT(T73,IF(Settings!$I$10&lt;&gt;0,Settings!$I$10/100,0)),PRODUCT(AC73,IF(Settings!$I$11&lt;&gt;0,Settings!$I$11/100,0)),PRODUCT(AG73,IF(Settings!$I$12&lt;&gt;0,Settings!$I$12/100,0)),PRODUCT(AI73,IF(Settings!$I$13&lt;&gt;0,Settings!$I$13/100,0))),"")</f>
        <v/>
      </c>
      <c r="AK73" s="45" t="str">
        <f>Prelim!AJ73</f>
        <v/>
      </c>
      <c r="AL73" s="45" t="str">
        <f>Midterm!AL73</f>
        <v/>
      </c>
      <c r="AM73" s="46" t="str">
        <f>IF(AJ73&lt;&gt;"",AVERAGE(Prelim!AJ73,Midterm!AL73,SemiFinal!AJ73),"")</f>
        <v/>
      </c>
      <c r="AN73" s="37"/>
      <c r="AO73" s="37"/>
      <c r="AP73" s="37"/>
      <c r="AQ73" s="37"/>
      <c r="AR73" s="37"/>
      <c r="AS73" s="37"/>
    </row>
    <row r="74" spans="1:45" ht="14.25" customHeight="1" thickBot="1" x14ac:dyDescent="0.35">
      <c r="A74" s="54" t="str">
        <f>IF(Attendance!A71=0,"",Attendance!A71)</f>
        <v/>
      </c>
      <c r="B74" s="61" t="str">
        <f>IF(Attendance!C71=0,"",Attendance!C71)</f>
        <v/>
      </c>
      <c r="C74" s="55"/>
      <c r="D74" s="42" t="str">
        <f>IF(AND(B74&lt;&gt;""),IF($C$9&lt;&gt;0,VLOOKUP(C74/$C$9*100,TRANSMUTATION_TABLE!$A$2:$B$102,2),""),"")</f>
        <v/>
      </c>
      <c r="E74" s="55"/>
      <c r="F74" s="42" t="str">
        <f>IF(AND(B74&lt;&gt;""),IF($E$9&lt;&gt;0,VLOOKUP(E74/$E$9*100,TRANSMUTATION_TABLE!$A$2:$B$102,2),""),"")</f>
        <v/>
      </c>
      <c r="G74" s="55"/>
      <c r="H74" s="42" t="str">
        <f>IF(AND(B74&lt;&gt;""),IF($G$9&lt;&gt;0,VLOOKUP(G74/$G$9*100,TRANSMUTATION_TABLE!$A$2:$B$102,2),""),"")</f>
        <v/>
      </c>
      <c r="I74" s="55"/>
      <c r="J74" s="43" t="str">
        <f>IF(AND(B74&lt;&gt;""),IF($I$9&lt;&gt;0,VLOOKUP(I74/$I$9*100,TRANSMUTATION_TABLE!$A$2:$B$102,2),""),"")</f>
        <v/>
      </c>
      <c r="K74" s="81" t="str">
        <f t="shared" si="3"/>
        <v/>
      </c>
      <c r="L74" s="55"/>
      <c r="M74" s="42" t="str">
        <f>IF(AND(B74&lt;&gt;""),IF($L$9&lt;&gt;0,VLOOKUP(L74/$L$9*100,TRANSMUTATION_TABLE!$A$2:$B$102,2),""),"")</f>
        <v/>
      </c>
      <c r="N74" s="55"/>
      <c r="O74" s="42" t="str">
        <f>IF(AND(B74&lt;&gt;""),IF($N$9&lt;&gt;0,VLOOKUP(N74/$N$9*100,TRANSMUTATION_TABLE!$A$2:$B$102,2),""),"")</f>
        <v/>
      </c>
      <c r="P74" s="55"/>
      <c r="Q74" s="42" t="str">
        <f>IF(AND(B74&lt;&gt;""),IF($P$9&lt;&gt;0,VLOOKUP(P74/$P$9*100,TRANSMUTATION_TABLE!$A$2:$B$102,2),""),"")</f>
        <v/>
      </c>
      <c r="R74" s="55"/>
      <c r="S74" s="43" t="str">
        <f>IF(AND(B74&lt;&gt;""),IF($R$9&lt;&gt;0,VLOOKUP(R74/$R$9*100,TRANSMUTATION_TABLE!$A$2:$B$102,2),""),"")</f>
        <v/>
      </c>
      <c r="T74" s="81" t="str">
        <f t="shared" si="4"/>
        <v/>
      </c>
      <c r="U74" s="55"/>
      <c r="V74" s="42" t="str">
        <f>IF(AND(B74&lt;&gt;""),IF($U$9&lt;&gt;0,VLOOKUP(U74/$U$9*100,TRANSMUTATION_TABLE!$A$2:$B$102,2),""),"")</f>
        <v/>
      </c>
      <c r="W74" s="55"/>
      <c r="X74" s="42" t="str">
        <f>IF(AND(B74&lt;&gt;""),IF($W$9&lt;&gt;0,VLOOKUP(W74/$W$9*100,TRANSMUTATION_TABLE!$A$2:$B$102,2),""),"")</f>
        <v/>
      </c>
      <c r="Y74" s="55"/>
      <c r="Z74" s="42" t="str">
        <f>IF(AND(B74&lt;&gt;""),IF($Y$9&lt;&gt;0,VLOOKUP(Y74/$Y$9*100,TRANSMUTATION_TABLE!$A$2:$B$102,2),""),"")</f>
        <v/>
      </c>
      <c r="AA74" s="55"/>
      <c r="AB74" s="43" t="str">
        <f>IF(AND(B74&lt;&gt;""),IF($AA$9&lt;&gt;0,VLOOKUP(AA74/$AA$9*100,TRANSMUTATION_TABLE!$A$2:$B$102,2),""),"")</f>
        <v/>
      </c>
      <c r="AC74" s="81" t="str">
        <f t="shared" si="5"/>
        <v/>
      </c>
      <c r="AD74" s="53"/>
      <c r="AE74" s="42" t="str">
        <f>IF(AND(B74&lt;&gt;""),IF($AD$9&lt;&gt;0,VLOOKUP(AD74/$AD$9*100,TRANSMUTATION_TABLE!$A$2:$B$102,2),""),"")</f>
        <v/>
      </c>
      <c r="AF74" s="50">
        <f>Attendance!BE71</f>
        <v>0</v>
      </c>
      <c r="AG74" s="45" t="str">
        <f>IF(AND(B74&lt;&gt;""),IF($AF$9&lt;&gt;0,VLOOKUP(AF74/$AF$9*100,TRANSMUTATION_TABLE!$A$2:$B$102,2),""),"")</f>
        <v/>
      </c>
      <c r="AH74" s="55"/>
      <c r="AI74" s="45" t="str">
        <f>IF(AND(B74&lt;&gt;""),IF($AH$9&lt;&gt;0,VLOOKUP(AH74/$AH$9*100,TRANSMUTATION_TABLE!$A$2:$B$102,2),""),"")</f>
        <v/>
      </c>
      <c r="AJ74" s="45" t="str">
        <f>IF(OR(K74&lt;&gt;"",T74&lt;&gt;"",AC74&lt;&gt;"",AI74&lt;&gt;"",AG74),SUM(PRODUCT(K74,IF(Settings!$I$9&lt;&gt;0,Settings!$I$9/100,0)),PRODUCT(T74,IF(Settings!$I$10&lt;&gt;0,Settings!$I$10/100,0)),PRODUCT(AC74,IF(Settings!$I$11&lt;&gt;0,Settings!$I$11/100,0)),PRODUCT(AG74,IF(Settings!$I$12&lt;&gt;0,Settings!$I$12/100,0)),PRODUCT(AI74,IF(Settings!$I$13&lt;&gt;0,Settings!$I$13/100,0))),"")</f>
        <v/>
      </c>
      <c r="AK74" s="45" t="str">
        <f>Prelim!AJ74</f>
        <v/>
      </c>
      <c r="AL74" s="45" t="str">
        <f>Midterm!AL74</f>
        <v/>
      </c>
      <c r="AM74" s="46" t="str">
        <f>IF(AJ74&lt;&gt;"",AVERAGE(Prelim!AJ74,Midterm!AL74,SemiFinal!AJ74),"")</f>
        <v/>
      </c>
      <c r="AN74" s="37"/>
      <c r="AO74" s="37"/>
      <c r="AP74" s="37"/>
      <c r="AQ74" s="37"/>
      <c r="AR74" s="37"/>
      <c r="AS74" s="37"/>
    </row>
    <row r="75" spans="1:45" ht="14.25" customHeight="1" thickBot="1" x14ac:dyDescent="0.35">
      <c r="A75" s="54" t="str">
        <f>IF(Attendance!A72=0,"",Attendance!A72)</f>
        <v/>
      </c>
      <c r="B75" s="90" t="str">
        <f>IF(Attendance!C72=0,"",Attendance!C72)</f>
        <v/>
      </c>
      <c r="C75" s="5"/>
      <c r="D75" s="42" t="str">
        <f>IF(AND(B75&lt;&gt;""),IF($C$9&lt;&gt;0,VLOOKUP(C75/$C$9*100,TRANSMUTATION_TABLE!$A$2:$B$102,2),""),"")</f>
        <v/>
      </c>
      <c r="E75" s="5"/>
      <c r="F75" s="42" t="str">
        <f>IF(AND(B75&lt;&gt;""),IF($E$9&lt;&gt;0,VLOOKUP(E75/$E$9*100,TRANSMUTATION_TABLE!$A$2:$B$102,2),""),"")</f>
        <v/>
      </c>
      <c r="G75" s="5"/>
      <c r="H75" s="42" t="str">
        <f>IF(AND(B75&lt;&gt;""),IF($G$9&lt;&gt;0,VLOOKUP(G75/$G$9*100,TRANSMUTATION_TABLE!$A$2:$B$102,2),""),"")</f>
        <v/>
      </c>
      <c r="I75" s="5"/>
      <c r="J75" s="43" t="str">
        <f>IF(AND(B75&lt;&gt;""),IF($I$9&lt;&gt;0,VLOOKUP(I75/$I$9*100,TRANSMUTATION_TABLE!$A$2:$B$102,2),""),"")</f>
        <v/>
      </c>
      <c r="K75" s="81" t="str">
        <f t="shared" si="3"/>
        <v/>
      </c>
      <c r="L75" s="5"/>
      <c r="M75" s="42" t="str">
        <f>IF(AND(B75&lt;&gt;""),IF($L$9&lt;&gt;0,VLOOKUP(L75/$L$9*100,TRANSMUTATION_TABLE!$A$2:$B$102,2),""),"")</f>
        <v/>
      </c>
      <c r="N75" s="5"/>
      <c r="O75" s="42" t="str">
        <f>IF(AND(B75&lt;&gt;""),IF($N$9&lt;&gt;0,VLOOKUP(N75/$N$9*100,TRANSMUTATION_TABLE!$A$2:$B$102,2),""),"")</f>
        <v/>
      </c>
      <c r="P75" s="5"/>
      <c r="Q75" s="42" t="str">
        <f>IF(AND(B75&lt;&gt;""),IF($P$9&lt;&gt;0,VLOOKUP(P75/$P$9*100,TRANSMUTATION_TABLE!$A$2:$B$102,2),""),"")</f>
        <v/>
      </c>
      <c r="R75" s="5"/>
      <c r="S75" s="43" t="str">
        <f>IF(AND(B75&lt;&gt;""),IF($R$9&lt;&gt;0,VLOOKUP(R75/$R$9*100,TRANSMUTATION_TABLE!$A$2:$B$102,2),""),"")</f>
        <v/>
      </c>
      <c r="T75" s="81" t="str">
        <f t="shared" si="4"/>
        <v/>
      </c>
      <c r="U75" s="5"/>
      <c r="V75" s="42" t="str">
        <f>IF(AND(B75&lt;&gt;""),IF($U$9&lt;&gt;0,VLOOKUP(U75/$U$9*100,TRANSMUTATION_TABLE!$A$2:$B$102,2),""),"")</f>
        <v/>
      </c>
      <c r="W75" s="5"/>
      <c r="X75" s="42" t="str">
        <f>IF(AND(B75&lt;&gt;""),IF($W$9&lt;&gt;0,VLOOKUP(W75/$W$9*100,TRANSMUTATION_TABLE!$A$2:$B$102,2),""),"")</f>
        <v/>
      </c>
      <c r="Y75" s="5"/>
      <c r="Z75" s="42" t="str">
        <f>IF(AND(B75&lt;&gt;""),IF($Y$9&lt;&gt;0,VLOOKUP(Y75/$Y$9*100,TRANSMUTATION_TABLE!$A$2:$B$102,2),""),"")</f>
        <v/>
      </c>
      <c r="AA75" s="5"/>
      <c r="AB75" s="43" t="str">
        <f>IF(AND(B75&lt;&gt;""),IF($AA$9&lt;&gt;0,VLOOKUP(AA75/$AA$9*100,TRANSMUTATION_TABLE!$A$2:$B$102,2),""),"")</f>
        <v/>
      </c>
      <c r="AC75" s="81" t="str">
        <f t="shared" si="5"/>
        <v/>
      </c>
      <c r="AD75" s="53"/>
      <c r="AE75" s="42" t="str">
        <f>IF(AND(B75&lt;&gt;""),IF($AD$9&lt;&gt;0,VLOOKUP(AD75/$AD$9*100,TRANSMUTATION_TABLE!$A$2:$B$102,2),""),"")</f>
        <v/>
      </c>
      <c r="AF75" s="50">
        <f>Attendance!BE72</f>
        <v>0</v>
      </c>
      <c r="AG75" s="45" t="str">
        <f>IF(AND(B75&lt;&gt;""),IF($AF$9&lt;&gt;0,VLOOKUP(AF75/$AF$9*100,TRANSMUTATION_TABLE!$A$2:$B$102,2),""),"")</f>
        <v/>
      </c>
      <c r="AH75" s="5"/>
      <c r="AI75" s="45" t="str">
        <f>IF(AND(B75&lt;&gt;""),IF($AH$9&lt;&gt;0,VLOOKUP(AH75/$AH$9*100,TRANSMUTATION_TABLE!$A$2:$B$102,2),""),"")</f>
        <v/>
      </c>
      <c r="AJ75" s="45" t="str">
        <f>IF(OR(K75&lt;&gt;"",T75&lt;&gt;"",AC75&lt;&gt;"",AI75&lt;&gt;"",AG75),SUM(PRODUCT(K75,IF(Settings!$I$9&lt;&gt;0,Settings!$I$9/100,0)),PRODUCT(T75,IF(Settings!$I$10&lt;&gt;0,Settings!$I$10/100,0)),PRODUCT(AC75,IF(Settings!$I$11&lt;&gt;0,Settings!$I$11/100,0)),PRODUCT(AG75,IF(Settings!$I$12&lt;&gt;0,Settings!$I$12/100,0)),PRODUCT(AI75,IF(Settings!$I$13&lt;&gt;0,Settings!$I$13/100,0))),"")</f>
        <v/>
      </c>
      <c r="AK75" s="45" t="str">
        <f>Prelim!AJ75</f>
        <v/>
      </c>
      <c r="AL75" s="45" t="str">
        <f>Midterm!AL75</f>
        <v/>
      </c>
      <c r="AM75" s="46" t="str">
        <f>IF(AJ75&lt;&gt;"",AVERAGE(Prelim!AJ75,Midterm!AL75,SemiFinal!AJ75),"")</f>
        <v/>
      </c>
      <c r="AN75" s="37"/>
      <c r="AO75" s="37"/>
      <c r="AP75" s="37"/>
      <c r="AQ75" s="37"/>
      <c r="AR75" s="37"/>
      <c r="AS75" s="37"/>
    </row>
    <row r="76" spans="1:45" ht="14.25" customHeight="1" thickBot="1" x14ac:dyDescent="0.35">
      <c r="A76" s="54" t="str">
        <f>IF(Attendance!A73=0,"",Attendance!A73)</f>
        <v/>
      </c>
      <c r="B76" s="90" t="str">
        <f>IF(Attendance!C73=0,"",Attendance!C73)</f>
        <v/>
      </c>
      <c r="C76" s="5"/>
      <c r="D76" s="42" t="str">
        <f>IF(AND(B76&lt;&gt;""),IF($C$9&lt;&gt;0,VLOOKUP(C76/$C$9*100,TRANSMUTATION_TABLE!$A$2:$B$102,2),""),"")</f>
        <v/>
      </c>
      <c r="E76" s="5"/>
      <c r="F76" s="42" t="str">
        <f>IF(AND(B76&lt;&gt;""),IF($E$9&lt;&gt;0,VLOOKUP(E76/$E$9*100,TRANSMUTATION_TABLE!$A$2:$B$102,2),""),"")</f>
        <v/>
      </c>
      <c r="G76" s="5"/>
      <c r="H76" s="42" t="str">
        <f>IF(AND(B76&lt;&gt;""),IF($G$9&lt;&gt;0,VLOOKUP(G76/$G$9*100,TRANSMUTATION_TABLE!$A$2:$B$102,2),""),"")</f>
        <v/>
      </c>
      <c r="I76" s="5"/>
      <c r="J76" s="43" t="str">
        <f>IF(AND(B76&lt;&gt;""),IF($I$9&lt;&gt;0,VLOOKUP(I76/$I$9*100,TRANSMUTATION_TABLE!$A$2:$B$102,2),""),"")</f>
        <v/>
      </c>
      <c r="K76" s="81" t="str">
        <f t="shared" si="3"/>
        <v/>
      </c>
      <c r="L76" s="5"/>
      <c r="M76" s="42" t="str">
        <f>IF(AND(B76&lt;&gt;""),IF($L$9&lt;&gt;0,VLOOKUP(L76/$L$9*100,TRANSMUTATION_TABLE!$A$2:$B$102,2),""),"")</f>
        <v/>
      </c>
      <c r="N76" s="5"/>
      <c r="O76" s="42" t="str">
        <f>IF(AND(B76&lt;&gt;""),IF($N$9&lt;&gt;0,VLOOKUP(N76/$N$9*100,TRANSMUTATION_TABLE!$A$2:$B$102,2),""),"")</f>
        <v/>
      </c>
      <c r="P76" s="5"/>
      <c r="Q76" s="42" t="str">
        <f>IF(AND(B76&lt;&gt;""),IF($P$9&lt;&gt;0,VLOOKUP(P76/$P$9*100,TRANSMUTATION_TABLE!$A$2:$B$102,2),""),"")</f>
        <v/>
      </c>
      <c r="R76" s="5"/>
      <c r="S76" s="43" t="str">
        <f>IF(AND(B76&lt;&gt;""),IF($R$9&lt;&gt;0,VLOOKUP(R76/$R$9*100,TRANSMUTATION_TABLE!$A$2:$B$102,2),""),"")</f>
        <v/>
      </c>
      <c r="T76" s="81" t="str">
        <f t="shared" si="4"/>
        <v/>
      </c>
      <c r="U76" s="5"/>
      <c r="V76" s="42" t="str">
        <f>IF(AND(B76&lt;&gt;""),IF($U$9&lt;&gt;0,VLOOKUP(U76/$U$9*100,TRANSMUTATION_TABLE!$A$2:$B$102,2),""),"")</f>
        <v/>
      </c>
      <c r="W76" s="5"/>
      <c r="X76" s="42" t="str">
        <f>IF(AND(B76&lt;&gt;""),IF($W$9&lt;&gt;0,VLOOKUP(W76/$W$9*100,TRANSMUTATION_TABLE!$A$2:$B$102,2),""),"")</f>
        <v/>
      </c>
      <c r="Y76" s="5"/>
      <c r="Z76" s="42" t="str">
        <f>IF(AND(B76&lt;&gt;""),IF($Y$9&lt;&gt;0,VLOOKUP(Y76/$Y$9*100,TRANSMUTATION_TABLE!$A$2:$B$102,2),""),"")</f>
        <v/>
      </c>
      <c r="AA76" s="5"/>
      <c r="AB76" s="43" t="str">
        <f>IF(AND(B76&lt;&gt;""),IF($AA$9&lt;&gt;0,VLOOKUP(AA76/$AA$9*100,TRANSMUTATION_TABLE!$A$2:$B$102,2),""),"")</f>
        <v/>
      </c>
      <c r="AC76" s="81" t="str">
        <f t="shared" si="5"/>
        <v/>
      </c>
      <c r="AD76" s="53"/>
      <c r="AE76" s="42" t="str">
        <f>IF(AND(B76&lt;&gt;""),IF($AD$9&lt;&gt;0,VLOOKUP(AD76/$AD$9*100,TRANSMUTATION_TABLE!$A$2:$B$102,2),""),"")</f>
        <v/>
      </c>
      <c r="AF76" s="50">
        <f>Attendance!BE73</f>
        <v>0</v>
      </c>
      <c r="AG76" s="45" t="str">
        <f>IF(AND(B76&lt;&gt;""),IF($AF$9&lt;&gt;0,VLOOKUP(AF76/$AF$9*100,TRANSMUTATION_TABLE!$A$2:$B$102,2),""),"")</f>
        <v/>
      </c>
      <c r="AH76" s="5"/>
      <c r="AI76" s="45" t="str">
        <f>IF(AND(B76&lt;&gt;""),IF($AH$9&lt;&gt;0,VLOOKUP(AH76/$AH$9*100,TRANSMUTATION_TABLE!$A$2:$B$102,2),""),"")</f>
        <v/>
      </c>
      <c r="AJ76" s="45" t="str">
        <f>IF(OR(K76&lt;&gt;"",T76&lt;&gt;"",AC76&lt;&gt;"",AI76&lt;&gt;"",AG76),SUM(PRODUCT(K76,IF(Settings!$I$9&lt;&gt;0,Settings!$I$9/100,0)),PRODUCT(T76,IF(Settings!$I$10&lt;&gt;0,Settings!$I$10/100,0)),PRODUCT(AC76,IF(Settings!$I$11&lt;&gt;0,Settings!$I$11/100,0)),PRODUCT(AG76,IF(Settings!$I$12&lt;&gt;0,Settings!$I$12/100,0)),PRODUCT(AI76,IF(Settings!$I$13&lt;&gt;0,Settings!$I$13/100,0))),"")</f>
        <v/>
      </c>
      <c r="AK76" s="45" t="str">
        <f>Prelim!AJ76</f>
        <v/>
      </c>
      <c r="AL76" s="45" t="str">
        <f>Midterm!AL76</f>
        <v/>
      </c>
      <c r="AM76" s="46" t="str">
        <f>IF(AJ76&lt;&gt;"",AVERAGE(Prelim!AJ76,Midterm!AL76,SemiFinal!AJ76),"")</f>
        <v/>
      </c>
      <c r="AN76" s="37"/>
      <c r="AO76" s="37"/>
      <c r="AP76" s="37"/>
      <c r="AQ76" s="37"/>
      <c r="AR76" s="37"/>
      <c r="AS76" s="37"/>
    </row>
    <row r="77" spans="1:45" ht="14.25" customHeight="1" thickBot="1" x14ac:dyDescent="0.35">
      <c r="A77" s="54" t="str">
        <f>IF(Attendance!A74=0,"",Attendance!A74)</f>
        <v/>
      </c>
      <c r="B77" s="90" t="str">
        <f>IF(Attendance!C74=0,"",Attendance!C74)</f>
        <v/>
      </c>
      <c r="C77" s="5"/>
      <c r="D77" s="42" t="str">
        <f>IF(AND(B77&lt;&gt;""),IF($C$9&lt;&gt;0,VLOOKUP(C77/$C$9*100,TRANSMUTATION_TABLE!$A$2:$B$102,2),""),"")</f>
        <v/>
      </c>
      <c r="E77" s="5"/>
      <c r="F77" s="42" t="str">
        <f>IF(AND(B77&lt;&gt;""),IF($E$9&lt;&gt;0,VLOOKUP(E77/$E$9*100,TRANSMUTATION_TABLE!$A$2:$B$102,2),""),"")</f>
        <v/>
      </c>
      <c r="G77" s="5"/>
      <c r="H77" s="42" t="str">
        <f>IF(AND(B77&lt;&gt;""),IF($G$9&lt;&gt;0,VLOOKUP(G77/$G$9*100,TRANSMUTATION_TABLE!$A$2:$B$102,2),""),"")</f>
        <v/>
      </c>
      <c r="I77" s="5"/>
      <c r="J77" s="43" t="str">
        <f>IF(AND(B77&lt;&gt;""),IF($I$9&lt;&gt;0,VLOOKUP(I77/$I$9*100,TRANSMUTATION_TABLE!$A$2:$B$102,2),""),"")</f>
        <v/>
      </c>
      <c r="K77" s="81" t="str">
        <f t="shared" si="3"/>
        <v/>
      </c>
      <c r="L77" s="5"/>
      <c r="M77" s="42" t="str">
        <f>IF(AND(B77&lt;&gt;""),IF($L$9&lt;&gt;0,VLOOKUP(L77/$L$9*100,TRANSMUTATION_TABLE!$A$2:$B$102,2),""),"")</f>
        <v/>
      </c>
      <c r="N77" s="5"/>
      <c r="O77" s="42" t="str">
        <f>IF(AND(B77&lt;&gt;""),IF($N$9&lt;&gt;0,VLOOKUP(N77/$N$9*100,TRANSMUTATION_TABLE!$A$2:$B$102,2),""),"")</f>
        <v/>
      </c>
      <c r="P77" s="5"/>
      <c r="Q77" s="42" t="str">
        <f>IF(AND(B77&lt;&gt;""),IF($P$9&lt;&gt;0,VLOOKUP(P77/$P$9*100,TRANSMUTATION_TABLE!$A$2:$B$102,2),""),"")</f>
        <v/>
      </c>
      <c r="R77" s="5"/>
      <c r="S77" s="43" t="str">
        <f>IF(AND(B77&lt;&gt;""),IF($R$9&lt;&gt;0,VLOOKUP(R77/$R$9*100,TRANSMUTATION_TABLE!$A$2:$B$102,2),""),"")</f>
        <v/>
      </c>
      <c r="T77" s="81" t="str">
        <f t="shared" si="4"/>
        <v/>
      </c>
      <c r="U77" s="5"/>
      <c r="V77" s="42" t="str">
        <f>IF(AND(B77&lt;&gt;""),IF($U$9&lt;&gt;0,VLOOKUP(U77/$U$9*100,TRANSMUTATION_TABLE!$A$2:$B$102,2),""),"")</f>
        <v/>
      </c>
      <c r="W77" s="5"/>
      <c r="X77" s="42" t="str">
        <f>IF(AND(B77&lt;&gt;""),IF($W$9&lt;&gt;0,VLOOKUP(W77/$W$9*100,TRANSMUTATION_TABLE!$A$2:$B$102,2),""),"")</f>
        <v/>
      </c>
      <c r="Y77" s="5"/>
      <c r="Z77" s="42" t="str">
        <f>IF(AND(B77&lt;&gt;""),IF($Y$9&lt;&gt;0,VLOOKUP(Y77/$Y$9*100,TRANSMUTATION_TABLE!$A$2:$B$102,2),""),"")</f>
        <v/>
      </c>
      <c r="AA77" s="5"/>
      <c r="AB77" s="43" t="str">
        <f>IF(AND(B77&lt;&gt;""),IF($AA$9&lt;&gt;0,VLOOKUP(AA77/$AA$9*100,TRANSMUTATION_TABLE!$A$2:$B$102,2),""),"")</f>
        <v/>
      </c>
      <c r="AC77" s="81" t="str">
        <f t="shared" si="5"/>
        <v/>
      </c>
      <c r="AD77" s="53"/>
      <c r="AE77" s="42" t="str">
        <f>IF(AND(B77&lt;&gt;""),IF($AD$9&lt;&gt;0,VLOOKUP(AD77/$AD$9*100,TRANSMUTATION_TABLE!$A$2:$B$102,2),""),"")</f>
        <v/>
      </c>
      <c r="AF77" s="50">
        <f>Attendance!BE74</f>
        <v>0</v>
      </c>
      <c r="AG77" s="45" t="str">
        <f>IF(AND(B77&lt;&gt;""),IF($AF$9&lt;&gt;0,VLOOKUP(AF77/$AF$9*100,TRANSMUTATION_TABLE!$A$2:$B$102,2),""),"")</f>
        <v/>
      </c>
      <c r="AH77" s="5"/>
      <c r="AI77" s="45" t="str">
        <f>IF(AND(B77&lt;&gt;""),IF($AH$9&lt;&gt;0,VLOOKUP(AH77/$AH$9*100,TRANSMUTATION_TABLE!$A$2:$B$102,2),""),"")</f>
        <v/>
      </c>
      <c r="AJ77" s="45" t="str">
        <f>IF(OR(K77&lt;&gt;"",T77&lt;&gt;"",AC77&lt;&gt;"",AI77&lt;&gt;"",AG77),SUM(PRODUCT(K77,IF(Settings!$I$9&lt;&gt;0,Settings!$I$9/100,0)),PRODUCT(T77,IF(Settings!$I$10&lt;&gt;0,Settings!$I$10/100,0)),PRODUCT(AC77,IF(Settings!$I$11&lt;&gt;0,Settings!$I$11/100,0)),PRODUCT(AG77,IF(Settings!$I$12&lt;&gt;0,Settings!$I$12/100,0)),PRODUCT(AI77,IF(Settings!$I$13&lt;&gt;0,Settings!$I$13/100,0))),"")</f>
        <v/>
      </c>
      <c r="AK77" s="45" t="str">
        <f>Prelim!AJ77</f>
        <v/>
      </c>
      <c r="AL77" s="45" t="str">
        <f>Midterm!AL77</f>
        <v/>
      </c>
      <c r="AM77" s="46" t="str">
        <f>IF(AJ77&lt;&gt;"",AVERAGE(Prelim!AJ77,Midterm!AL77,SemiFinal!AJ77),"")</f>
        <v/>
      </c>
      <c r="AN77" s="37"/>
      <c r="AO77" s="37"/>
      <c r="AP77" s="37"/>
      <c r="AQ77" s="37"/>
      <c r="AR77" s="37"/>
      <c r="AS77" s="37"/>
    </row>
    <row r="78" spans="1:45" ht="14.25" customHeight="1" thickBot="1" x14ac:dyDescent="0.35">
      <c r="A78" s="54" t="str">
        <f>IF(Attendance!A75=0,"",Attendance!A75)</f>
        <v/>
      </c>
      <c r="B78" s="90" t="str">
        <f>IF(Attendance!C75=0,"",Attendance!C75)</f>
        <v/>
      </c>
      <c r="C78" s="5"/>
      <c r="D78" s="42" t="str">
        <f>IF(AND(B78&lt;&gt;""),IF($C$9&lt;&gt;0,VLOOKUP(C78/$C$9*100,TRANSMUTATION_TABLE!$A$2:$B$102,2),""),"")</f>
        <v/>
      </c>
      <c r="E78" s="5"/>
      <c r="F78" s="42" t="str">
        <f>IF(AND(B78&lt;&gt;""),IF($E$9&lt;&gt;0,VLOOKUP(E78/$E$9*100,TRANSMUTATION_TABLE!$A$2:$B$102,2),""),"")</f>
        <v/>
      </c>
      <c r="G78" s="5"/>
      <c r="H78" s="42" t="str">
        <f>IF(AND(B78&lt;&gt;""),IF($G$9&lt;&gt;0,VLOOKUP(G78/$G$9*100,TRANSMUTATION_TABLE!$A$2:$B$102,2),""),"")</f>
        <v/>
      </c>
      <c r="I78" s="5"/>
      <c r="J78" s="43" t="str">
        <f>IF(AND(B78&lt;&gt;""),IF($I$9&lt;&gt;0,VLOOKUP(I78/$I$9*100,TRANSMUTATION_TABLE!$A$2:$B$102,2),""),"")</f>
        <v/>
      </c>
      <c r="K78" s="81" t="str">
        <f t="shared" si="3"/>
        <v/>
      </c>
      <c r="L78" s="5"/>
      <c r="M78" s="42" t="str">
        <f>IF(AND(B78&lt;&gt;""),IF($L$9&lt;&gt;0,VLOOKUP(L78/$L$9*100,TRANSMUTATION_TABLE!$A$2:$B$102,2),""),"")</f>
        <v/>
      </c>
      <c r="N78" s="5"/>
      <c r="O78" s="42" t="str">
        <f>IF(AND(B78&lt;&gt;""),IF($N$9&lt;&gt;0,VLOOKUP(N78/$N$9*100,TRANSMUTATION_TABLE!$A$2:$B$102,2),""),"")</f>
        <v/>
      </c>
      <c r="P78" s="5"/>
      <c r="Q78" s="42" t="str">
        <f>IF(AND(B78&lt;&gt;""),IF($P$9&lt;&gt;0,VLOOKUP(P78/$P$9*100,TRANSMUTATION_TABLE!$A$2:$B$102,2),""),"")</f>
        <v/>
      </c>
      <c r="R78" s="5"/>
      <c r="S78" s="43" t="str">
        <f>IF(AND(B78&lt;&gt;""),IF($R$9&lt;&gt;0,VLOOKUP(R78/$R$9*100,TRANSMUTATION_TABLE!$A$2:$B$102,2),""),"")</f>
        <v/>
      </c>
      <c r="T78" s="81" t="str">
        <f t="shared" si="4"/>
        <v/>
      </c>
      <c r="U78" s="5"/>
      <c r="V78" s="42" t="str">
        <f>IF(AND(B78&lt;&gt;""),IF($U$9&lt;&gt;0,VLOOKUP(U78/$U$9*100,TRANSMUTATION_TABLE!$A$2:$B$102,2),""),"")</f>
        <v/>
      </c>
      <c r="W78" s="5"/>
      <c r="X78" s="42" t="str">
        <f>IF(AND(B78&lt;&gt;""),IF($W$9&lt;&gt;0,VLOOKUP(W78/$W$9*100,TRANSMUTATION_TABLE!$A$2:$B$102,2),""),"")</f>
        <v/>
      </c>
      <c r="Y78" s="5"/>
      <c r="Z78" s="42" t="str">
        <f>IF(AND(B78&lt;&gt;""),IF($Y$9&lt;&gt;0,VLOOKUP(Y78/$Y$9*100,TRANSMUTATION_TABLE!$A$2:$B$102,2),""),"")</f>
        <v/>
      </c>
      <c r="AA78" s="5"/>
      <c r="AB78" s="43" t="str">
        <f>IF(AND(B78&lt;&gt;""),IF($AA$9&lt;&gt;0,VLOOKUP(AA78/$AA$9*100,TRANSMUTATION_TABLE!$A$2:$B$102,2),""),"")</f>
        <v/>
      </c>
      <c r="AC78" s="81" t="str">
        <f t="shared" si="5"/>
        <v/>
      </c>
      <c r="AD78" s="53"/>
      <c r="AE78" s="42" t="str">
        <f>IF(AND(B78&lt;&gt;""),IF($AD$9&lt;&gt;0,VLOOKUP(AD78/$AD$9*100,TRANSMUTATION_TABLE!$A$2:$B$102,2),""),"")</f>
        <v/>
      </c>
      <c r="AF78" s="50">
        <f>Attendance!BE75</f>
        <v>0</v>
      </c>
      <c r="AG78" s="45" t="str">
        <f>IF(AND(B78&lt;&gt;""),IF($AF$9&lt;&gt;0,VLOOKUP(AF78/$AF$9*100,TRANSMUTATION_TABLE!$A$2:$B$102,2),""),"")</f>
        <v/>
      </c>
      <c r="AH78" s="5"/>
      <c r="AI78" s="45" t="str">
        <f>IF(AND(B78&lt;&gt;""),IF($AH$9&lt;&gt;0,VLOOKUP(AH78/$AH$9*100,TRANSMUTATION_TABLE!$A$2:$B$102,2),""),"")</f>
        <v/>
      </c>
      <c r="AJ78" s="45" t="str">
        <f>IF(OR(K78&lt;&gt;"",T78&lt;&gt;"",AC78&lt;&gt;"",AI78&lt;&gt;"",AG78),SUM(PRODUCT(K78,IF(Settings!$I$9&lt;&gt;0,Settings!$I$9/100,0)),PRODUCT(T78,IF(Settings!$I$10&lt;&gt;0,Settings!$I$10/100,0)),PRODUCT(AC78,IF(Settings!$I$11&lt;&gt;0,Settings!$I$11/100,0)),PRODUCT(AG78,IF(Settings!$I$12&lt;&gt;0,Settings!$I$12/100,0)),PRODUCT(AI78,IF(Settings!$I$13&lt;&gt;0,Settings!$I$13/100,0))),"")</f>
        <v/>
      </c>
      <c r="AK78" s="45" t="str">
        <f>Prelim!AJ78</f>
        <v/>
      </c>
      <c r="AL78" s="45" t="str">
        <f>Midterm!AL78</f>
        <v/>
      </c>
      <c r="AM78" s="46" t="str">
        <f>IF(AJ78&lt;&gt;"",AVERAGE(Prelim!AJ78,Midterm!AL78,SemiFinal!AJ78),"")</f>
        <v/>
      </c>
      <c r="AN78" s="37"/>
      <c r="AO78" s="37"/>
      <c r="AP78" s="37"/>
      <c r="AQ78" s="37"/>
      <c r="AR78" s="37"/>
      <c r="AS78" s="37"/>
    </row>
    <row r="79" spans="1:45" ht="14.25" customHeight="1" thickBot="1" x14ac:dyDescent="0.35">
      <c r="A79" s="54" t="str">
        <f>IF(Attendance!A76=0,"",Attendance!A76)</f>
        <v/>
      </c>
      <c r="B79" s="61" t="str">
        <f>IF(Attendance!C76=0,"",Attendance!C76)</f>
        <v/>
      </c>
      <c r="C79" s="55"/>
      <c r="D79" s="42" t="str">
        <f>IF(AND(B79&lt;&gt;""),IF($C$9&lt;&gt;0,VLOOKUP(C79/$C$9*100,TRANSMUTATION_TABLE!$A$2:$B$102,2),""),"")</f>
        <v/>
      </c>
      <c r="E79" s="55"/>
      <c r="F79" s="42" t="str">
        <f>IF(AND(B79&lt;&gt;""),IF($E$9&lt;&gt;0,VLOOKUP(E79/$E$9*100,TRANSMUTATION_TABLE!$A$2:$B$102,2),""),"")</f>
        <v/>
      </c>
      <c r="G79" s="55"/>
      <c r="H79" s="42" t="str">
        <f>IF(AND(B79&lt;&gt;""),IF($G$9&lt;&gt;0,VLOOKUP(G79/$G$9*100,TRANSMUTATION_TABLE!$A$2:$B$102,2),""),"")</f>
        <v/>
      </c>
      <c r="I79" s="55"/>
      <c r="J79" s="43" t="str">
        <f>IF(AND(B79&lt;&gt;""),IF($I$9&lt;&gt;0,VLOOKUP(I79/$I$9*100,TRANSMUTATION_TABLE!$A$2:$B$102,2),""),"")</f>
        <v/>
      </c>
      <c r="K79" s="81" t="str">
        <f t="shared" si="3"/>
        <v/>
      </c>
      <c r="L79" s="55"/>
      <c r="M79" s="42" t="str">
        <f>IF(AND(B79&lt;&gt;""),IF($L$9&lt;&gt;0,VLOOKUP(L79/$L$9*100,TRANSMUTATION_TABLE!$A$2:$B$102,2),""),"")</f>
        <v/>
      </c>
      <c r="N79" s="55"/>
      <c r="O79" s="42" t="str">
        <f>IF(AND(B79&lt;&gt;""),IF($N$9&lt;&gt;0,VLOOKUP(N79/$N$9*100,TRANSMUTATION_TABLE!$A$2:$B$102,2),""),"")</f>
        <v/>
      </c>
      <c r="P79" s="55"/>
      <c r="Q79" s="42" t="str">
        <f>IF(AND(B79&lt;&gt;""),IF($P$9&lt;&gt;0,VLOOKUP(P79/$P$9*100,TRANSMUTATION_TABLE!$A$2:$B$102,2),""),"")</f>
        <v/>
      </c>
      <c r="R79" s="55"/>
      <c r="S79" s="43" t="str">
        <f>IF(AND(B79&lt;&gt;""),IF($R$9&lt;&gt;0,VLOOKUP(R79/$R$9*100,TRANSMUTATION_TABLE!$A$2:$B$102,2),""),"")</f>
        <v/>
      </c>
      <c r="T79" s="81" t="str">
        <f t="shared" si="4"/>
        <v/>
      </c>
      <c r="U79" s="55"/>
      <c r="V79" s="42" t="str">
        <f>IF(AND(B79&lt;&gt;""),IF($U$9&lt;&gt;0,VLOOKUP(U79/$U$9*100,TRANSMUTATION_TABLE!$A$2:$B$102,2),""),"")</f>
        <v/>
      </c>
      <c r="W79" s="55"/>
      <c r="X79" s="42" t="str">
        <f>IF(AND(B79&lt;&gt;""),IF($W$9&lt;&gt;0,VLOOKUP(W79/$W$9*100,TRANSMUTATION_TABLE!$A$2:$B$102,2),""),"")</f>
        <v/>
      </c>
      <c r="Y79" s="55"/>
      <c r="Z79" s="42" t="str">
        <f>IF(AND(B79&lt;&gt;""),IF($Y$9&lt;&gt;0,VLOOKUP(Y79/$Y$9*100,TRANSMUTATION_TABLE!$A$2:$B$102,2),""),"")</f>
        <v/>
      </c>
      <c r="AA79" s="55"/>
      <c r="AB79" s="43" t="str">
        <f>IF(AND(B79&lt;&gt;""),IF($AA$9&lt;&gt;0,VLOOKUP(AA79/$AA$9*100,TRANSMUTATION_TABLE!$A$2:$B$102,2),""),"")</f>
        <v/>
      </c>
      <c r="AC79" s="81" t="str">
        <f t="shared" si="5"/>
        <v/>
      </c>
      <c r="AD79" s="53"/>
      <c r="AE79" s="42" t="str">
        <f>IF(AND(B79&lt;&gt;""),IF($AD$9&lt;&gt;0,VLOOKUP(AD79/$AD$9*100,TRANSMUTATION_TABLE!$A$2:$B$102,2),""),"")</f>
        <v/>
      </c>
      <c r="AF79" s="227">
        <f>Attendance!BE76</f>
        <v>0</v>
      </c>
      <c r="AG79" s="45" t="str">
        <f>IF(AND(B79&lt;&gt;""),IF($AF$9&lt;&gt;0,VLOOKUP(AF79/$AF$9*100,TRANSMUTATION_TABLE!$A$2:$B$102,2),""),"")</f>
        <v/>
      </c>
      <c r="AH79" s="55"/>
      <c r="AI79" s="45" t="str">
        <f>IF(AND(B79&lt;&gt;""),IF($AH$9&lt;&gt;0,VLOOKUP(AH79/$AH$9*100,TRANSMUTATION_TABLE!$A$2:$B$102,2),""),"")</f>
        <v/>
      </c>
      <c r="AJ79" s="45" t="str">
        <f>IF(OR(K79&lt;&gt;"",T79&lt;&gt;"",AC79&lt;&gt;"",AI79&lt;&gt;"",AG79),SUM(PRODUCT(K79,IF(Settings!$I$9&lt;&gt;0,Settings!$I$9/100,0)),PRODUCT(T79,IF(Settings!$I$10&lt;&gt;0,Settings!$I$10/100,0)),PRODUCT(AC79,IF(Settings!$I$11&lt;&gt;0,Settings!$I$11/100,0)),PRODUCT(AG79,IF(Settings!$I$12&lt;&gt;0,Settings!$I$12/100,0)),PRODUCT(AI79,IF(Settings!$I$13&lt;&gt;0,Settings!$I$13/100,0))),"")</f>
        <v/>
      </c>
      <c r="AK79" s="45" t="str">
        <f>Prelim!AJ79</f>
        <v/>
      </c>
      <c r="AL79" s="45" t="str">
        <f>Midterm!AL79</f>
        <v/>
      </c>
      <c r="AM79" s="46" t="str">
        <f>IF(AJ79&lt;&gt;"",AVERAGE(Prelim!AJ79,Midterm!AL79,SemiFinal!AJ79),"")</f>
        <v/>
      </c>
      <c r="AN79" s="37"/>
      <c r="AO79" s="37"/>
      <c r="AP79" s="37"/>
      <c r="AQ79" s="37"/>
      <c r="AR79" s="37"/>
      <c r="AS79" s="37"/>
    </row>
    <row r="80" spans="1:45" ht="14.25" customHeight="1" x14ac:dyDescent="0.3">
      <c r="A80" s="34"/>
      <c r="B80" s="16"/>
      <c r="C80" s="15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5"/>
      <c r="V80" s="16"/>
      <c r="W80" s="16"/>
      <c r="X80" s="16"/>
      <c r="Y80" s="16"/>
      <c r="Z80" s="16"/>
      <c r="AA80" s="15"/>
      <c r="AB80" s="16"/>
      <c r="AC80" s="16"/>
      <c r="AD80" s="16"/>
      <c r="AE80" s="16"/>
      <c r="AF80" s="16"/>
      <c r="AG80" s="16"/>
      <c r="AH80" s="15"/>
      <c r="AI80" s="16"/>
      <c r="AJ80" s="16"/>
      <c r="AK80" s="16"/>
      <c r="AL80" s="16"/>
      <c r="AM80" s="37"/>
      <c r="AN80" s="37"/>
      <c r="AO80" s="37"/>
      <c r="AP80" s="37"/>
      <c r="AQ80" s="37"/>
      <c r="AR80" s="37"/>
      <c r="AS80" s="37"/>
    </row>
    <row r="81" spans="1:45" ht="14.25" customHeight="1" x14ac:dyDescent="0.3">
      <c r="A81" s="34"/>
      <c r="B81" s="16"/>
      <c r="C81" s="15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5"/>
      <c r="V81" s="16"/>
      <c r="W81" s="16"/>
      <c r="X81" s="16"/>
      <c r="Y81" s="16"/>
      <c r="Z81" s="16"/>
      <c r="AA81" s="15"/>
      <c r="AB81" s="16"/>
      <c r="AC81" s="16"/>
      <c r="AD81" s="16"/>
      <c r="AE81" s="16"/>
      <c r="AF81" s="16"/>
      <c r="AG81" s="16"/>
      <c r="AH81" s="15"/>
      <c r="AI81" s="16"/>
      <c r="AJ81" s="16"/>
      <c r="AK81" s="16"/>
      <c r="AL81" s="16"/>
      <c r="AM81" s="37"/>
      <c r="AN81" s="37"/>
      <c r="AO81" s="37"/>
      <c r="AP81" s="37"/>
      <c r="AQ81" s="37"/>
      <c r="AR81" s="37"/>
      <c r="AS81" s="37"/>
    </row>
    <row r="82" spans="1:45" ht="14.25" customHeight="1" x14ac:dyDescent="0.3">
      <c r="A82" s="34"/>
      <c r="B82" s="16"/>
      <c r="C82" s="15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5"/>
      <c r="V82" s="16"/>
      <c r="W82" s="16"/>
      <c r="X82" s="16"/>
      <c r="Y82" s="16"/>
      <c r="Z82" s="16"/>
      <c r="AA82" s="15"/>
      <c r="AB82" s="16"/>
      <c r="AC82" s="16"/>
      <c r="AD82" s="16"/>
      <c r="AE82" s="16"/>
      <c r="AF82" s="16"/>
      <c r="AG82" s="16"/>
      <c r="AH82" s="15"/>
      <c r="AI82" s="16"/>
      <c r="AJ82" s="16"/>
      <c r="AK82" s="16"/>
      <c r="AL82" s="16"/>
      <c r="AM82" s="37"/>
      <c r="AN82" s="37"/>
      <c r="AO82" s="37"/>
      <c r="AP82" s="37"/>
      <c r="AQ82" s="37"/>
      <c r="AR82" s="37"/>
      <c r="AS82" s="37"/>
    </row>
    <row r="83" spans="1:45" ht="14.25" customHeight="1" x14ac:dyDescent="0.3">
      <c r="A83" s="34"/>
      <c r="B83" s="16"/>
      <c r="C83" s="15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5"/>
      <c r="V83" s="16"/>
      <c r="W83" s="16"/>
      <c r="X83" s="16"/>
      <c r="Y83" s="16"/>
      <c r="Z83" s="16"/>
      <c r="AA83" s="15"/>
      <c r="AB83" s="16"/>
      <c r="AC83" s="16"/>
      <c r="AD83" s="16"/>
      <c r="AE83" s="16"/>
      <c r="AF83" s="259" t="str">
        <f>IF(Settings!$B$6&lt;&gt;0,Settings!$B$6,"")</f>
        <v/>
      </c>
      <c r="AG83" s="260"/>
      <c r="AH83" s="260"/>
      <c r="AI83" s="260"/>
      <c r="AJ83" s="260"/>
      <c r="AK83" s="260"/>
      <c r="AL83" s="260"/>
      <c r="AM83" s="260"/>
      <c r="AN83" s="37"/>
      <c r="AO83" s="37"/>
      <c r="AP83" s="37"/>
      <c r="AQ83" s="37"/>
      <c r="AR83" s="37"/>
      <c r="AS83" s="37"/>
    </row>
    <row r="84" spans="1:45" ht="14.25" customHeight="1" x14ac:dyDescent="0.3">
      <c r="A84" s="34"/>
      <c r="B84" s="16"/>
      <c r="C84" s="15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5"/>
      <c r="V84" s="16"/>
      <c r="W84" s="16"/>
      <c r="X84" s="16"/>
      <c r="Y84" s="16"/>
      <c r="Z84" s="16"/>
      <c r="AA84" s="15"/>
      <c r="AB84" s="16"/>
      <c r="AC84" s="16"/>
      <c r="AD84" s="16"/>
      <c r="AE84" s="16"/>
      <c r="AF84" s="262"/>
      <c r="AG84" s="263"/>
      <c r="AH84" s="263"/>
      <c r="AI84" s="263"/>
      <c r="AJ84" s="263"/>
      <c r="AK84" s="263"/>
      <c r="AL84" s="263"/>
      <c r="AM84" s="263"/>
      <c r="AN84" s="37"/>
      <c r="AO84" s="37"/>
      <c r="AP84" s="37"/>
      <c r="AQ84" s="37"/>
      <c r="AR84" s="37"/>
      <c r="AS84" s="37"/>
    </row>
    <row r="85" spans="1:45" ht="14.25" customHeight="1" x14ac:dyDescent="0.3">
      <c r="A85" s="34"/>
      <c r="B85" s="16"/>
      <c r="C85" s="15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5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5"/>
      <c r="AG85" s="15"/>
      <c r="AH85" s="15"/>
      <c r="AI85" s="15"/>
      <c r="AJ85" s="15"/>
      <c r="AK85" s="15"/>
      <c r="AL85" s="15"/>
      <c r="AM85" s="15"/>
      <c r="AN85" s="37"/>
      <c r="AO85" s="37"/>
      <c r="AP85" s="37"/>
      <c r="AQ85" s="37"/>
      <c r="AR85" s="37"/>
      <c r="AS85" s="37"/>
    </row>
    <row r="86" spans="1:45" ht="14.25" customHeight="1" x14ac:dyDescent="0.3">
      <c r="A86" s="34"/>
      <c r="B86" s="16"/>
      <c r="C86" s="15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5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37"/>
      <c r="AG86" s="37"/>
      <c r="AH86" s="34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</row>
    <row r="87" spans="1:45" ht="14.25" customHeight="1" x14ac:dyDescent="0.3">
      <c r="A87" s="34"/>
      <c r="B87" s="16"/>
      <c r="C87" s="15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5"/>
      <c r="V87" s="16"/>
      <c r="W87" s="16"/>
      <c r="X87" s="16"/>
      <c r="Y87" s="16"/>
      <c r="Z87" s="16"/>
      <c r="AA87" s="15"/>
      <c r="AB87" s="16"/>
      <c r="AC87" s="16"/>
      <c r="AD87" s="16"/>
      <c r="AE87" s="16"/>
      <c r="AF87" s="259" t="str">
        <f>IF(Settings!$B$8&lt;&gt;0,Settings!$B$8,"")</f>
        <v/>
      </c>
      <c r="AG87" s="260"/>
      <c r="AH87" s="260"/>
      <c r="AI87" s="260"/>
      <c r="AJ87" s="260"/>
      <c r="AK87" s="260"/>
      <c r="AL87" s="260"/>
      <c r="AM87" s="260"/>
      <c r="AN87" s="37"/>
      <c r="AO87" s="37"/>
      <c r="AP87" s="37"/>
      <c r="AQ87" s="37"/>
      <c r="AR87" s="37"/>
      <c r="AS87" s="37"/>
    </row>
    <row r="88" spans="1:45" ht="14.25" customHeight="1" x14ac:dyDescent="0.3">
      <c r="A88" s="34"/>
      <c r="B88" s="16"/>
      <c r="C88" s="15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5"/>
      <c r="V88" s="16"/>
      <c r="W88" s="16"/>
      <c r="X88" s="16"/>
      <c r="Y88" s="16"/>
      <c r="Z88" s="16"/>
      <c r="AA88" s="15"/>
      <c r="AB88" s="16"/>
      <c r="AC88" s="16"/>
      <c r="AD88" s="16"/>
      <c r="AE88" s="16"/>
      <c r="AF88" s="262"/>
      <c r="AG88" s="263"/>
      <c r="AH88" s="263"/>
      <c r="AI88" s="263"/>
      <c r="AJ88" s="263"/>
      <c r="AK88" s="263"/>
      <c r="AL88" s="263"/>
      <c r="AM88" s="263"/>
      <c r="AN88" s="37"/>
      <c r="AO88" s="37"/>
      <c r="AP88" s="37"/>
      <c r="AQ88" s="37"/>
      <c r="AR88" s="37"/>
      <c r="AS88" s="37"/>
    </row>
    <row r="89" spans="1:45" ht="14.25" customHeight="1" x14ac:dyDescent="0.3">
      <c r="A89" s="34"/>
      <c r="B89" s="16"/>
      <c r="C89" s="15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5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5"/>
      <c r="AI89" s="16"/>
      <c r="AJ89" s="16"/>
      <c r="AK89" s="16"/>
      <c r="AL89" s="16"/>
      <c r="AM89" s="37"/>
      <c r="AN89" s="37"/>
      <c r="AO89" s="37"/>
      <c r="AP89" s="37"/>
      <c r="AQ89" s="37"/>
      <c r="AR89" s="37"/>
      <c r="AS89" s="37"/>
    </row>
    <row r="90" spans="1:45" ht="14.25" customHeight="1" x14ac:dyDescent="0.3">
      <c r="A90" s="34"/>
      <c r="B90" s="16"/>
      <c r="C90" s="15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5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5"/>
      <c r="AI90" s="16"/>
      <c r="AJ90" s="16"/>
      <c r="AK90" s="16"/>
      <c r="AL90" s="16"/>
      <c r="AM90" s="37"/>
      <c r="AN90" s="37"/>
      <c r="AO90" s="37"/>
      <c r="AP90" s="37"/>
      <c r="AQ90" s="37"/>
      <c r="AR90" s="37"/>
      <c r="AS90" s="37"/>
    </row>
    <row r="91" spans="1:45" ht="14.25" customHeight="1" x14ac:dyDescent="0.3">
      <c r="A91" s="34"/>
      <c r="B91" s="16"/>
      <c r="C91" s="15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5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5"/>
      <c r="AI91" s="16"/>
      <c r="AJ91" s="16"/>
      <c r="AK91" s="16"/>
      <c r="AL91" s="16"/>
      <c r="AM91" s="37"/>
      <c r="AN91" s="37"/>
      <c r="AO91" s="37"/>
      <c r="AP91" s="37"/>
      <c r="AQ91" s="37"/>
      <c r="AR91" s="37"/>
      <c r="AS91" s="37"/>
    </row>
    <row r="92" spans="1:45" ht="14.25" customHeight="1" x14ac:dyDescent="0.3">
      <c r="A92" s="34"/>
      <c r="B92" s="16"/>
      <c r="C92" s="15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5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5"/>
      <c r="AI92" s="16"/>
      <c r="AJ92" s="16"/>
      <c r="AK92" s="16"/>
      <c r="AL92" s="16"/>
      <c r="AM92" s="37"/>
      <c r="AN92" s="37"/>
      <c r="AO92" s="37"/>
      <c r="AP92" s="37"/>
      <c r="AQ92" s="37"/>
      <c r="AR92" s="37"/>
      <c r="AS92" s="37"/>
    </row>
    <row r="93" spans="1:45" ht="14.25" customHeight="1" x14ac:dyDescent="0.3">
      <c r="A93" s="34"/>
      <c r="B93" s="16"/>
      <c r="C93" s="15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5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5"/>
      <c r="AI93" s="16"/>
      <c r="AJ93" s="16"/>
      <c r="AK93" s="16"/>
      <c r="AL93" s="16"/>
      <c r="AM93" s="37"/>
      <c r="AN93" s="37"/>
      <c r="AO93" s="37"/>
      <c r="AP93" s="37"/>
      <c r="AQ93" s="37"/>
      <c r="AR93" s="37"/>
      <c r="AS93" s="37"/>
    </row>
    <row r="94" spans="1:45" ht="14.25" customHeight="1" x14ac:dyDescent="0.3">
      <c r="A94" s="34"/>
      <c r="B94" s="16"/>
      <c r="C94" s="15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5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5"/>
      <c r="AI94" s="16"/>
      <c r="AJ94" s="16"/>
      <c r="AK94" s="16"/>
      <c r="AL94" s="16"/>
      <c r="AM94" s="37"/>
      <c r="AN94" s="37"/>
      <c r="AO94" s="37"/>
      <c r="AP94" s="37"/>
      <c r="AQ94" s="37"/>
      <c r="AR94" s="37"/>
      <c r="AS94" s="37"/>
    </row>
    <row r="95" spans="1:45" ht="14.25" customHeight="1" x14ac:dyDescent="0.3">
      <c r="A95" s="34"/>
      <c r="B95" s="16"/>
      <c r="C95" s="15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5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5"/>
      <c r="AI95" s="16"/>
      <c r="AJ95" s="16"/>
      <c r="AK95" s="16"/>
      <c r="AL95" s="16"/>
      <c r="AM95" s="37"/>
      <c r="AN95" s="37"/>
      <c r="AO95" s="37"/>
      <c r="AP95" s="37"/>
      <c r="AQ95" s="37"/>
      <c r="AR95" s="37"/>
      <c r="AS95" s="37"/>
    </row>
    <row r="96" spans="1:45" ht="14.25" customHeight="1" x14ac:dyDescent="0.3">
      <c r="A96" s="34"/>
      <c r="B96" s="16"/>
      <c r="C96" s="15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5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5"/>
      <c r="AI96" s="16"/>
      <c r="AJ96" s="16"/>
      <c r="AK96" s="16"/>
      <c r="AL96" s="16"/>
      <c r="AM96" s="37"/>
      <c r="AN96" s="37"/>
      <c r="AO96" s="37"/>
      <c r="AP96" s="37"/>
      <c r="AQ96" s="37"/>
      <c r="AR96" s="37"/>
      <c r="AS96" s="37"/>
    </row>
    <row r="97" spans="1:45" ht="14.25" customHeight="1" x14ac:dyDescent="0.3">
      <c r="A97" s="34"/>
      <c r="B97" s="16"/>
      <c r="C97" s="15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5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5"/>
      <c r="AI97" s="16"/>
      <c r="AJ97" s="16"/>
      <c r="AK97" s="16"/>
      <c r="AL97" s="16"/>
      <c r="AM97" s="37"/>
      <c r="AN97" s="37"/>
      <c r="AO97" s="37"/>
      <c r="AP97" s="37"/>
      <c r="AQ97" s="37"/>
      <c r="AR97" s="37"/>
      <c r="AS97" s="37"/>
    </row>
    <row r="98" spans="1:45" ht="14.25" customHeight="1" x14ac:dyDescent="0.3">
      <c r="A98" s="34"/>
      <c r="B98" s="16"/>
      <c r="C98" s="15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5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5"/>
      <c r="AI98" s="16"/>
      <c r="AJ98" s="16"/>
      <c r="AK98" s="16"/>
      <c r="AL98" s="16"/>
      <c r="AM98" s="37"/>
      <c r="AN98" s="37"/>
      <c r="AO98" s="37"/>
      <c r="AP98" s="37"/>
      <c r="AQ98" s="37"/>
      <c r="AR98" s="37"/>
      <c r="AS98" s="37"/>
    </row>
    <row r="99" spans="1:45" ht="14.25" customHeight="1" x14ac:dyDescent="0.3">
      <c r="A99" s="34"/>
      <c r="B99" s="16"/>
      <c r="C99" s="15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5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5"/>
      <c r="AI99" s="16"/>
      <c r="AJ99" s="16"/>
      <c r="AK99" s="16"/>
      <c r="AL99" s="16"/>
      <c r="AM99" s="37"/>
      <c r="AN99" s="37"/>
      <c r="AO99" s="37"/>
      <c r="AP99" s="37"/>
      <c r="AQ99" s="37"/>
      <c r="AR99" s="37"/>
      <c r="AS99" s="37"/>
    </row>
    <row r="100" spans="1:45" ht="14.25" customHeight="1" x14ac:dyDescent="0.3">
      <c r="A100" s="34"/>
      <c r="B100" s="16"/>
      <c r="C100" s="15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5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5"/>
      <c r="AI100" s="16"/>
      <c r="AJ100" s="16"/>
      <c r="AK100" s="16"/>
      <c r="AL100" s="16"/>
      <c r="AM100" s="37"/>
      <c r="AN100" s="37"/>
      <c r="AO100" s="37"/>
      <c r="AP100" s="37"/>
      <c r="AQ100" s="37"/>
      <c r="AR100" s="37"/>
      <c r="AS100" s="37"/>
    </row>
    <row r="101" spans="1:45" ht="14.25" customHeight="1" x14ac:dyDescent="0.3">
      <c r="A101" s="34"/>
      <c r="B101" s="16"/>
      <c r="C101" s="15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5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5"/>
      <c r="AI101" s="16"/>
      <c r="AJ101" s="16"/>
      <c r="AK101" s="16"/>
      <c r="AL101" s="16"/>
      <c r="AM101" s="37"/>
      <c r="AN101" s="37"/>
      <c r="AO101" s="37"/>
      <c r="AP101" s="37"/>
      <c r="AQ101" s="37"/>
      <c r="AR101" s="37"/>
      <c r="AS101" s="37"/>
    </row>
    <row r="102" spans="1:45" ht="14.25" customHeight="1" x14ac:dyDescent="0.3">
      <c r="A102" s="34"/>
      <c r="B102" s="16"/>
      <c r="C102" s="15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5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5"/>
      <c r="AI102" s="16"/>
      <c r="AJ102" s="16"/>
      <c r="AK102" s="16"/>
      <c r="AL102" s="16"/>
      <c r="AM102" s="37"/>
      <c r="AN102" s="37"/>
      <c r="AO102" s="37"/>
      <c r="AP102" s="37"/>
      <c r="AQ102" s="37"/>
      <c r="AR102" s="37"/>
      <c r="AS102" s="37"/>
    </row>
    <row r="103" spans="1:45" ht="14.25" customHeight="1" x14ac:dyDescent="0.3">
      <c r="A103" s="34"/>
      <c r="B103" s="16"/>
      <c r="C103" s="15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5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5"/>
      <c r="AI103" s="16"/>
      <c r="AJ103" s="16"/>
      <c r="AK103" s="16"/>
      <c r="AL103" s="16"/>
      <c r="AM103" s="37"/>
      <c r="AN103" s="37"/>
      <c r="AO103" s="37"/>
      <c r="AP103" s="37"/>
      <c r="AQ103" s="37"/>
      <c r="AR103" s="37"/>
      <c r="AS103" s="37"/>
    </row>
    <row r="104" spans="1:45" ht="14.25" customHeight="1" x14ac:dyDescent="0.3">
      <c r="A104" s="34"/>
      <c r="B104" s="16"/>
      <c r="C104" s="15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5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5"/>
      <c r="AI104" s="16"/>
      <c r="AJ104" s="16"/>
      <c r="AK104" s="16"/>
      <c r="AL104" s="16"/>
      <c r="AM104" s="37"/>
      <c r="AN104" s="37"/>
      <c r="AO104" s="37"/>
      <c r="AP104" s="37"/>
      <c r="AQ104" s="37"/>
      <c r="AR104" s="37"/>
      <c r="AS104" s="37"/>
    </row>
    <row r="105" spans="1:45" ht="14.25" customHeight="1" x14ac:dyDescent="0.3">
      <c r="A105" s="34"/>
      <c r="B105" s="16"/>
      <c r="C105" s="15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5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5"/>
      <c r="AI105" s="16"/>
      <c r="AJ105" s="16"/>
      <c r="AK105" s="16"/>
      <c r="AL105" s="16"/>
      <c r="AM105" s="37"/>
      <c r="AN105" s="37"/>
      <c r="AO105" s="37"/>
      <c r="AP105" s="37"/>
      <c r="AQ105" s="37"/>
      <c r="AR105" s="37"/>
      <c r="AS105" s="37"/>
    </row>
    <row r="106" spans="1:45" ht="14.25" customHeight="1" x14ac:dyDescent="0.3">
      <c r="A106" s="34"/>
      <c r="B106" s="16"/>
      <c r="C106" s="15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5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5"/>
      <c r="AI106" s="16"/>
      <c r="AJ106" s="16"/>
      <c r="AK106" s="16"/>
      <c r="AL106" s="16"/>
      <c r="AM106" s="37"/>
      <c r="AN106" s="37"/>
      <c r="AO106" s="37"/>
      <c r="AP106" s="37"/>
      <c r="AQ106" s="37"/>
      <c r="AR106" s="37"/>
      <c r="AS106" s="37"/>
    </row>
    <row r="107" spans="1:45" ht="14.25" customHeight="1" x14ac:dyDescent="0.3">
      <c r="A107" s="34"/>
      <c r="B107" s="16"/>
      <c r="C107" s="15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5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5"/>
      <c r="AI107" s="16"/>
      <c r="AJ107" s="16"/>
      <c r="AK107" s="16"/>
      <c r="AL107" s="16"/>
      <c r="AM107" s="37"/>
      <c r="AN107" s="37"/>
      <c r="AO107" s="37"/>
      <c r="AP107" s="37"/>
      <c r="AQ107" s="37"/>
      <c r="AR107" s="37"/>
      <c r="AS107" s="37"/>
    </row>
    <row r="108" spans="1:45" ht="14.25" customHeight="1" x14ac:dyDescent="0.3">
      <c r="A108" s="34"/>
      <c r="B108" s="16"/>
      <c r="C108" s="15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5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5"/>
      <c r="AI108" s="16"/>
      <c r="AJ108" s="16"/>
      <c r="AK108" s="16"/>
      <c r="AL108" s="16"/>
      <c r="AM108" s="37"/>
      <c r="AN108" s="37"/>
      <c r="AO108" s="37"/>
      <c r="AP108" s="37"/>
      <c r="AQ108" s="37"/>
      <c r="AR108" s="37"/>
      <c r="AS108" s="37"/>
    </row>
    <row r="109" spans="1:45" ht="14.25" customHeight="1" x14ac:dyDescent="0.3">
      <c r="A109" s="34"/>
      <c r="B109" s="16"/>
      <c r="C109" s="15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5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5"/>
      <c r="AI109" s="16"/>
      <c r="AJ109" s="16"/>
      <c r="AK109" s="16"/>
      <c r="AL109" s="16"/>
      <c r="AM109" s="37"/>
      <c r="AN109" s="37"/>
      <c r="AO109" s="37"/>
      <c r="AP109" s="37"/>
      <c r="AQ109" s="37"/>
      <c r="AR109" s="37"/>
      <c r="AS109" s="37"/>
    </row>
    <row r="110" spans="1:45" ht="14.25" customHeight="1" x14ac:dyDescent="0.3">
      <c r="A110" s="34"/>
      <c r="B110" s="16"/>
      <c r="C110" s="15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5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5"/>
      <c r="AI110" s="16"/>
      <c r="AJ110" s="16"/>
      <c r="AK110" s="16"/>
      <c r="AL110" s="16"/>
      <c r="AM110" s="37"/>
      <c r="AN110" s="37"/>
      <c r="AO110" s="37"/>
      <c r="AP110" s="37"/>
      <c r="AQ110" s="37"/>
      <c r="AR110" s="37"/>
      <c r="AS110" s="37"/>
    </row>
    <row r="111" spans="1:45" ht="14.25" customHeight="1" x14ac:dyDescent="0.3">
      <c r="A111" s="34"/>
      <c r="B111" s="16"/>
      <c r="C111" s="15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5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5"/>
      <c r="AI111" s="16"/>
      <c r="AJ111" s="16"/>
      <c r="AK111" s="16"/>
      <c r="AL111" s="16"/>
      <c r="AM111" s="37"/>
      <c r="AN111" s="37"/>
      <c r="AO111" s="37"/>
      <c r="AP111" s="37"/>
      <c r="AQ111" s="37"/>
      <c r="AR111" s="37"/>
      <c r="AS111" s="37"/>
    </row>
    <row r="112" spans="1:45" ht="14.25" customHeight="1" x14ac:dyDescent="0.3">
      <c r="A112" s="34"/>
      <c r="B112" s="16"/>
      <c r="C112" s="15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5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5"/>
      <c r="AI112" s="16"/>
      <c r="AJ112" s="16"/>
      <c r="AK112" s="16"/>
      <c r="AL112" s="16"/>
      <c r="AM112" s="37"/>
      <c r="AN112" s="37"/>
      <c r="AO112" s="37"/>
      <c r="AP112" s="37"/>
      <c r="AQ112" s="37"/>
      <c r="AR112" s="37"/>
      <c r="AS112" s="37"/>
    </row>
    <row r="113" spans="1:45" ht="14.25" customHeight="1" x14ac:dyDescent="0.3">
      <c r="A113" s="34"/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5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5"/>
      <c r="AI113" s="16"/>
      <c r="AJ113" s="16"/>
      <c r="AK113" s="16"/>
      <c r="AL113" s="16"/>
      <c r="AM113" s="37"/>
      <c r="AN113" s="37"/>
      <c r="AO113" s="37"/>
      <c r="AP113" s="37"/>
      <c r="AQ113" s="37"/>
      <c r="AR113" s="37"/>
      <c r="AS113" s="37"/>
    </row>
    <row r="114" spans="1:45" ht="14.25" customHeight="1" x14ac:dyDescent="0.3">
      <c r="A114" s="34"/>
      <c r="B114" s="16"/>
      <c r="C114" s="15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5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5"/>
      <c r="AI114" s="16"/>
      <c r="AJ114" s="16"/>
      <c r="AK114" s="16"/>
      <c r="AL114" s="16"/>
      <c r="AM114" s="37"/>
      <c r="AN114" s="37"/>
      <c r="AO114" s="37"/>
      <c r="AP114" s="37"/>
      <c r="AQ114" s="37"/>
      <c r="AR114" s="37"/>
      <c r="AS114" s="37"/>
    </row>
    <row r="115" spans="1:45" ht="14.25" customHeight="1" x14ac:dyDescent="0.3">
      <c r="A115" s="34"/>
      <c r="B115" s="16"/>
      <c r="C115" s="15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5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5"/>
      <c r="AI115" s="16"/>
      <c r="AJ115" s="16"/>
      <c r="AK115" s="16"/>
      <c r="AL115" s="16"/>
      <c r="AM115" s="37"/>
      <c r="AN115" s="37"/>
      <c r="AO115" s="37"/>
      <c r="AP115" s="37"/>
      <c r="AQ115" s="37"/>
      <c r="AR115" s="37"/>
      <c r="AS115" s="37"/>
    </row>
    <row r="116" spans="1:45" ht="14.25" customHeight="1" x14ac:dyDescent="0.3">
      <c r="A116" s="34"/>
      <c r="B116" s="16"/>
      <c r="C116" s="15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5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5"/>
      <c r="AI116" s="16"/>
      <c r="AJ116" s="16"/>
      <c r="AK116" s="16"/>
      <c r="AL116" s="16"/>
      <c r="AM116" s="37"/>
      <c r="AN116" s="37"/>
      <c r="AO116" s="37"/>
      <c r="AP116" s="37"/>
      <c r="AQ116" s="37"/>
      <c r="AR116" s="37"/>
      <c r="AS116" s="37"/>
    </row>
    <row r="117" spans="1:45" ht="14.25" customHeight="1" x14ac:dyDescent="0.3">
      <c r="A117" s="34"/>
      <c r="B117" s="16"/>
      <c r="C117" s="15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5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5"/>
      <c r="AI117" s="16"/>
      <c r="AJ117" s="16"/>
      <c r="AK117" s="16"/>
      <c r="AL117" s="16"/>
      <c r="AM117" s="37"/>
      <c r="AN117" s="37"/>
      <c r="AO117" s="37"/>
      <c r="AP117" s="37"/>
      <c r="AQ117" s="37"/>
      <c r="AR117" s="37"/>
      <c r="AS117" s="37"/>
    </row>
    <row r="118" spans="1:45" ht="14.25" customHeight="1" x14ac:dyDescent="0.3">
      <c r="A118" s="34"/>
      <c r="B118" s="16"/>
      <c r="C118" s="15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5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5"/>
      <c r="AI118" s="16"/>
      <c r="AJ118" s="16"/>
      <c r="AK118" s="16"/>
      <c r="AL118" s="16"/>
      <c r="AM118" s="37"/>
      <c r="AN118" s="37"/>
      <c r="AO118" s="37"/>
      <c r="AP118" s="37"/>
      <c r="AQ118" s="37"/>
      <c r="AR118" s="37"/>
      <c r="AS118" s="37"/>
    </row>
    <row r="119" spans="1:45" ht="14.25" customHeight="1" x14ac:dyDescent="0.3">
      <c r="A119" s="34"/>
      <c r="B119" s="16"/>
      <c r="C119" s="15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5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5"/>
      <c r="AI119" s="16"/>
      <c r="AJ119" s="16"/>
      <c r="AK119" s="16"/>
      <c r="AL119" s="16"/>
      <c r="AM119" s="37"/>
      <c r="AN119" s="37"/>
      <c r="AO119" s="37"/>
      <c r="AP119" s="37"/>
      <c r="AQ119" s="37"/>
      <c r="AR119" s="37"/>
      <c r="AS119" s="37"/>
    </row>
    <row r="120" spans="1:45" ht="14.25" customHeight="1" x14ac:dyDescent="0.3">
      <c r="A120" s="34"/>
      <c r="B120" s="16"/>
      <c r="C120" s="15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5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5"/>
      <c r="AI120" s="16"/>
      <c r="AJ120" s="16"/>
      <c r="AK120" s="16"/>
      <c r="AL120" s="16"/>
      <c r="AM120" s="37"/>
      <c r="AN120" s="37"/>
      <c r="AO120" s="37"/>
      <c r="AP120" s="37"/>
      <c r="AQ120" s="37"/>
      <c r="AR120" s="37"/>
      <c r="AS120" s="37"/>
    </row>
    <row r="121" spans="1:45" ht="14.25" customHeight="1" x14ac:dyDescent="0.3">
      <c r="A121" s="34"/>
      <c r="B121" s="16"/>
      <c r="C121" s="15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5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5"/>
      <c r="AI121" s="16"/>
      <c r="AJ121" s="16"/>
      <c r="AK121" s="16"/>
      <c r="AL121" s="16"/>
      <c r="AM121" s="37"/>
      <c r="AN121" s="37"/>
      <c r="AO121" s="37"/>
      <c r="AP121" s="37"/>
      <c r="AQ121" s="37"/>
      <c r="AR121" s="37"/>
      <c r="AS121" s="37"/>
    </row>
    <row r="122" spans="1:45" ht="14.25" customHeight="1" x14ac:dyDescent="0.3">
      <c r="A122" s="34"/>
      <c r="B122" s="16"/>
      <c r="C122" s="15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5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5"/>
      <c r="AI122" s="16"/>
      <c r="AJ122" s="16"/>
      <c r="AK122" s="16"/>
      <c r="AL122" s="16"/>
      <c r="AM122" s="37"/>
      <c r="AN122" s="37"/>
      <c r="AO122" s="37"/>
      <c r="AP122" s="37"/>
      <c r="AQ122" s="37"/>
      <c r="AR122" s="37"/>
      <c r="AS122" s="37"/>
    </row>
    <row r="123" spans="1:45" ht="14.25" customHeight="1" x14ac:dyDescent="0.3">
      <c r="A123" s="34"/>
      <c r="B123" s="16"/>
      <c r="C123" s="15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5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5"/>
      <c r="AI123" s="16"/>
      <c r="AJ123" s="16"/>
      <c r="AK123" s="16"/>
      <c r="AL123" s="16"/>
      <c r="AM123" s="37"/>
      <c r="AN123" s="37"/>
      <c r="AO123" s="37"/>
      <c r="AP123" s="37"/>
      <c r="AQ123" s="37"/>
      <c r="AR123" s="37"/>
      <c r="AS123" s="37"/>
    </row>
    <row r="124" spans="1:45" ht="14.25" customHeight="1" x14ac:dyDescent="0.3">
      <c r="A124" s="34"/>
      <c r="B124" s="16"/>
      <c r="C124" s="15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5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5"/>
      <c r="AI124" s="16"/>
      <c r="AJ124" s="16"/>
      <c r="AK124" s="16"/>
      <c r="AL124" s="16"/>
      <c r="AM124" s="37"/>
      <c r="AN124" s="37"/>
      <c r="AO124" s="37"/>
      <c r="AP124" s="37"/>
      <c r="AQ124" s="37"/>
      <c r="AR124" s="37"/>
      <c r="AS124" s="37"/>
    </row>
    <row r="125" spans="1:45" ht="14.25" customHeight="1" x14ac:dyDescent="0.3">
      <c r="A125" s="34"/>
      <c r="B125" s="16"/>
      <c r="C125" s="15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5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5"/>
      <c r="AI125" s="16"/>
      <c r="AJ125" s="16"/>
      <c r="AK125" s="16"/>
      <c r="AL125" s="16"/>
      <c r="AM125" s="37"/>
      <c r="AN125" s="37"/>
      <c r="AO125" s="37"/>
      <c r="AP125" s="37"/>
      <c r="AQ125" s="37"/>
      <c r="AR125" s="37"/>
      <c r="AS125" s="37"/>
    </row>
    <row r="126" spans="1:45" ht="14.25" customHeight="1" x14ac:dyDescent="0.3">
      <c r="A126" s="34"/>
      <c r="B126" s="16"/>
      <c r="C126" s="15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5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5"/>
      <c r="AI126" s="16"/>
      <c r="AJ126" s="16"/>
      <c r="AK126" s="16"/>
      <c r="AL126" s="16"/>
      <c r="AM126" s="37"/>
      <c r="AN126" s="37"/>
      <c r="AO126" s="37"/>
      <c r="AP126" s="37"/>
      <c r="AQ126" s="37"/>
      <c r="AR126" s="37"/>
      <c r="AS126" s="37"/>
    </row>
    <row r="127" spans="1:45" ht="14.25" customHeight="1" x14ac:dyDescent="0.3">
      <c r="A127" s="34"/>
      <c r="B127" s="16"/>
      <c r="C127" s="15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5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5"/>
      <c r="AI127" s="16"/>
      <c r="AJ127" s="16"/>
      <c r="AK127" s="16"/>
      <c r="AL127" s="16"/>
      <c r="AM127" s="37"/>
      <c r="AN127" s="37"/>
      <c r="AO127" s="37"/>
      <c r="AP127" s="37"/>
      <c r="AQ127" s="37"/>
      <c r="AR127" s="37"/>
      <c r="AS127" s="37"/>
    </row>
    <row r="128" spans="1:45" ht="14.25" customHeight="1" x14ac:dyDescent="0.3">
      <c r="A128" s="34"/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5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5"/>
      <c r="AI128" s="16"/>
      <c r="AJ128" s="16"/>
      <c r="AK128" s="16"/>
      <c r="AL128" s="16"/>
      <c r="AM128" s="37"/>
      <c r="AN128" s="37"/>
      <c r="AO128" s="37"/>
      <c r="AP128" s="37"/>
      <c r="AQ128" s="37"/>
      <c r="AR128" s="37"/>
      <c r="AS128" s="37"/>
    </row>
    <row r="129" spans="1:45" ht="14.25" customHeight="1" x14ac:dyDescent="0.3">
      <c r="A129" s="34"/>
      <c r="B129" s="16"/>
      <c r="C129" s="15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5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5"/>
      <c r="AI129" s="16"/>
      <c r="AJ129" s="16"/>
      <c r="AK129" s="16"/>
      <c r="AL129" s="16"/>
      <c r="AM129" s="37"/>
      <c r="AN129" s="37"/>
      <c r="AO129" s="37"/>
      <c r="AP129" s="37"/>
      <c r="AQ129" s="37"/>
      <c r="AR129" s="37"/>
      <c r="AS129" s="37"/>
    </row>
    <row r="130" spans="1:45" ht="14.25" customHeight="1" x14ac:dyDescent="0.3">
      <c r="A130" s="34"/>
      <c r="B130" s="16"/>
      <c r="C130" s="15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5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5"/>
      <c r="AI130" s="16"/>
      <c r="AJ130" s="16"/>
      <c r="AK130" s="16"/>
      <c r="AL130" s="16"/>
      <c r="AM130" s="37"/>
      <c r="AN130" s="37"/>
      <c r="AO130" s="37"/>
      <c r="AP130" s="37"/>
      <c r="AQ130" s="37"/>
      <c r="AR130" s="37"/>
      <c r="AS130" s="37"/>
    </row>
    <row r="131" spans="1:45" ht="14.25" customHeight="1" x14ac:dyDescent="0.3">
      <c r="A131" s="34"/>
      <c r="B131" s="16"/>
      <c r="C131" s="15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5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5"/>
      <c r="AI131" s="16"/>
      <c r="AJ131" s="16"/>
      <c r="AK131" s="16"/>
      <c r="AL131" s="16"/>
      <c r="AM131" s="37"/>
      <c r="AN131" s="37"/>
      <c r="AO131" s="37"/>
      <c r="AP131" s="37"/>
      <c r="AQ131" s="37"/>
      <c r="AR131" s="37"/>
      <c r="AS131" s="37"/>
    </row>
    <row r="132" spans="1:45" ht="14.25" customHeight="1" x14ac:dyDescent="0.3">
      <c r="A132" s="34"/>
      <c r="B132" s="16"/>
      <c r="C132" s="15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5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5"/>
      <c r="AI132" s="16"/>
      <c r="AJ132" s="16"/>
      <c r="AK132" s="16"/>
      <c r="AL132" s="16"/>
      <c r="AM132" s="37"/>
      <c r="AN132" s="37"/>
      <c r="AO132" s="37"/>
      <c r="AP132" s="37"/>
      <c r="AQ132" s="37"/>
      <c r="AR132" s="37"/>
      <c r="AS132" s="37"/>
    </row>
    <row r="133" spans="1:45" ht="14.25" customHeight="1" x14ac:dyDescent="0.3">
      <c r="A133" s="34"/>
      <c r="B133" s="16"/>
      <c r="C133" s="15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5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5"/>
      <c r="AI133" s="16"/>
      <c r="AJ133" s="16"/>
      <c r="AK133" s="16"/>
      <c r="AL133" s="16"/>
      <c r="AM133" s="37"/>
      <c r="AN133" s="37"/>
      <c r="AO133" s="37"/>
      <c r="AP133" s="37"/>
      <c r="AQ133" s="37"/>
      <c r="AR133" s="37"/>
      <c r="AS133" s="37"/>
    </row>
    <row r="134" spans="1:45" ht="14.25" customHeight="1" x14ac:dyDescent="0.3">
      <c r="A134" s="34"/>
      <c r="B134" s="16"/>
      <c r="C134" s="15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5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5"/>
      <c r="AI134" s="16"/>
      <c r="AJ134" s="16"/>
      <c r="AK134" s="16"/>
      <c r="AL134" s="16"/>
      <c r="AM134" s="37"/>
      <c r="AN134" s="37"/>
      <c r="AO134" s="37"/>
      <c r="AP134" s="37"/>
      <c r="AQ134" s="37"/>
      <c r="AR134" s="37"/>
      <c r="AS134" s="37"/>
    </row>
    <row r="135" spans="1:45" ht="14.25" customHeight="1" x14ac:dyDescent="0.3">
      <c r="A135" s="34"/>
      <c r="B135" s="16"/>
      <c r="C135" s="15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5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5"/>
      <c r="AI135" s="16"/>
      <c r="AJ135" s="16"/>
      <c r="AK135" s="16"/>
      <c r="AL135" s="16"/>
      <c r="AM135" s="37"/>
      <c r="AN135" s="37"/>
      <c r="AO135" s="37"/>
      <c r="AP135" s="37"/>
      <c r="AQ135" s="37"/>
      <c r="AR135" s="37"/>
      <c r="AS135" s="37"/>
    </row>
    <row r="136" spans="1:45" ht="14.25" customHeight="1" x14ac:dyDescent="0.3">
      <c r="A136" s="34"/>
      <c r="B136" s="16"/>
      <c r="C136" s="15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5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5"/>
      <c r="AI136" s="16"/>
      <c r="AJ136" s="16"/>
      <c r="AK136" s="16"/>
      <c r="AL136" s="16"/>
      <c r="AM136" s="37"/>
      <c r="AN136" s="37"/>
      <c r="AO136" s="37"/>
      <c r="AP136" s="37"/>
      <c r="AQ136" s="37"/>
      <c r="AR136" s="37"/>
      <c r="AS136" s="37"/>
    </row>
    <row r="137" spans="1:45" ht="14.25" customHeight="1" x14ac:dyDescent="0.3">
      <c r="A137" s="34"/>
      <c r="B137" s="16"/>
      <c r="C137" s="15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5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5"/>
      <c r="AI137" s="16"/>
      <c r="AJ137" s="16"/>
      <c r="AK137" s="16"/>
      <c r="AL137" s="16"/>
      <c r="AM137" s="37"/>
      <c r="AN137" s="37"/>
      <c r="AO137" s="37"/>
      <c r="AP137" s="37"/>
      <c r="AQ137" s="37"/>
      <c r="AR137" s="37"/>
      <c r="AS137" s="37"/>
    </row>
    <row r="138" spans="1:45" ht="14.25" customHeight="1" x14ac:dyDescent="0.3">
      <c r="A138" s="34"/>
      <c r="B138" s="16"/>
      <c r="C138" s="15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5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5"/>
      <c r="AI138" s="16"/>
      <c r="AJ138" s="16"/>
      <c r="AK138" s="16"/>
      <c r="AL138" s="16"/>
      <c r="AM138" s="37"/>
      <c r="AN138" s="37"/>
      <c r="AO138" s="37"/>
      <c r="AP138" s="37"/>
      <c r="AQ138" s="37"/>
      <c r="AR138" s="37"/>
      <c r="AS138" s="37"/>
    </row>
    <row r="139" spans="1:45" ht="14.25" customHeight="1" x14ac:dyDescent="0.3">
      <c r="A139" s="34"/>
      <c r="B139" s="16"/>
      <c r="C139" s="15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5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5"/>
      <c r="AI139" s="16"/>
      <c r="AJ139" s="16"/>
      <c r="AK139" s="16"/>
      <c r="AL139" s="16"/>
      <c r="AM139" s="37"/>
      <c r="AN139" s="37"/>
      <c r="AO139" s="37"/>
      <c r="AP139" s="37"/>
      <c r="AQ139" s="37"/>
      <c r="AR139" s="37"/>
      <c r="AS139" s="37"/>
    </row>
    <row r="140" spans="1:45" ht="14.25" customHeight="1" x14ac:dyDescent="0.3">
      <c r="A140" s="34"/>
      <c r="B140" s="16"/>
      <c r="C140" s="15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5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5"/>
      <c r="AI140" s="16"/>
      <c r="AJ140" s="16"/>
      <c r="AK140" s="16"/>
      <c r="AL140" s="16"/>
      <c r="AM140" s="37"/>
      <c r="AN140" s="37"/>
      <c r="AO140" s="37"/>
      <c r="AP140" s="37"/>
      <c r="AQ140" s="37"/>
      <c r="AR140" s="37"/>
      <c r="AS140" s="37"/>
    </row>
    <row r="141" spans="1:45" ht="14.25" customHeight="1" x14ac:dyDescent="0.3">
      <c r="A141" s="34"/>
      <c r="B141" s="16"/>
      <c r="C141" s="15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5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5"/>
      <c r="AI141" s="16"/>
      <c r="AJ141" s="16"/>
      <c r="AK141" s="16"/>
      <c r="AL141" s="16"/>
      <c r="AM141" s="37"/>
      <c r="AN141" s="37"/>
      <c r="AO141" s="37"/>
      <c r="AP141" s="37"/>
      <c r="AQ141" s="37"/>
      <c r="AR141" s="37"/>
      <c r="AS141" s="37"/>
    </row>
    <row r="142" spans="1:45" ht="14.25" customHeight="1" x14ac:dyDescent="0.3">
      <c r="A142" s="34"/>
      <c r="B142" s="16"/>
      <c r="C142" s="15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5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5"/>
      <c r="AI142" s="16"/>
      <c r="AJ142" s="16"/>
      <c r="AK142" s="16"/>
      <c r="AL142" s="16"/>
      <c r="AM142" s="37"/>
      <c r="AN142" s="37"/>
      <c r="AO142" s="37"/>
      <c r="AP142" s="37"/>
      <c r="AQ142" s="37"/>
      <c r="AR142" s="37"/>
      <c r="AS142" s="37"/>
    </row>
    <row r="143" spans="1:45" ht="14.25" customHeight="1" x14ac:dyDescent="0.3">
      <c r="A143" s="34"/>
      <c r="B143" s="16"/>
      <c r="C143" s="15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5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5"/>
      <c r="AI143" s="16"/>
      <c r="AJ143" s="16"/>
      <c r="AK143" s="16"/>
      <c r="AL143" s="16"/>
      <c r="AM143" s="37"/>
      <c r="AN143" s="37"/>
      <c r="AO143" s="37"/>
      <c r="AP143" s="37"/>
      <c r="AQ143" s="37"/>
      <c r="AR143" s="37"/>
      <c r="AS143" s="37"/>
    </row>
    <row r="144" spans="1:45" ht="14.25" customHeight="1" x14ac:dyDescent="0.3">
      <c r="A144" s="34"/>
      <c r="B144" s="16"/>
      <c r="C144" s="15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5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5"/>
      <c r="AI144" s="16"/>
      <c r="AJ144" s="16"/>
      <c r="AK144" s="16"/>
      <c r="AL144" s="16"/>
      <c r="AM144" s="37"/>
      <c r="AN144" s="37"/>
      <c r="AO144" s="37"/>
      <c r="AP144" s="37"/>
      <c r="AQ144" s="37"/>
      <c r="AR144" s="37"/>
      <c r="AS144" s="37"/>
    </row>
    <row r="145" spans="1:45" ht="14.25" customHeight="1" x14ac:dyDescent="0.3">
      <c r="A145" s="34"/>
      <c r="B145" s="16"/>
      <c r="C145" s="15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5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5"/>
      <c r="AI145" s="16"/>
      <c r="AJ145" s="16"/>
      <c r="AK145" s="16"/>
      <c r="AL145" s="16"/>
      <c r="AM145" s="37"/>
      <c r="AN145" s="37"/>
      <c r="AO145" s="37"/>
      <c r="AP145" s="37"/>
      <c r="AQ145" s="37"/>
      <c r="AR145" s="37"/>
      <c r="AS145" s="37"/>
    </row>
    <row r="146" spans="1:45" ht="14.25" customHeight="1" x14ac:dyDescent="0.3">
      <c r="A146" s="34"/>
      <c r="B146" s="16"/>
      <c r="C146" s="15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5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5"/>
      <c r="AI146" s="16"/>
      <c r="AJ146" s="16"/>
      <c r="AK146" s="16"/>
      <c r="AL146" s="16"/>
      <c r="AM146" s="37"/>
      <c r="AN146" s="37"/>
      <c r="AO146" s="37"/>
      <c r="AP146" s="37"/>
      <c r="AQ146" s="37"/>
      <c r="AR146" s="37"/>
      <c r="AS146" s="37"/>
    </row>
    <row r="147" spans="1:45" ht="14.25" customHeight="1" x14ac:dyDescent="0.3">
      <c r="A147" s="34"/>
      <c r="B147" s="16"/>
      <c r="C147" s="15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5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5"/>
      <c r="AI147" s="16"/>
      <c r="AJ147" s="16"/>
      <c r="AK147" s="16"/>
      <c r="AL147" s="16"/>
      <c r="AM147" s="37"/>
      <c r="AN147" s="37"/>
      <c r="AO147" s="37"/>
      <c r="AP147" s="37"/>
      <c r="AQ147" s="37"/>
      <c r="AR147" s="37"/>
      <c r="AS147" s="37"/>
    </row>
    <row r="148" spans="1:45" ht="14.25" customHeight="1" x14ac:dyDescent="0.3">
      <c r="A148" s="34"/>
      <c r="B148" s="16"/>
      <c r="C148" s="15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5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5"/>
      <c r="AI148" s="16"/>
      <c r="AJ148" s="16"/>
      <c r="AK148" s="16"/>
      <c r="AL148" s="16"/>
      <c r="AM148" s="37"/>
      <c r="AN148" s="37"/>
      <c r="AO148" s="37"/>
      <c r="AP148" s="37"/>
      <c r="AQ148" s="37"/>
      <c r="AR148" s="37"/>
      <c r="AS148" s="37"/>
    </row>
    <row r="149" spans="1:45" ht="14.25" customHeight="1" x14ac:dyDescent="0.3">
      <c r="A149" s="34"/>
      <c r="B149" s="16"/>
      <c r="C149" s="15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5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5"/>
      <c r="AI149" s="16"/>
      <c r="AJ149" s="16"/>
      <c r="AK149" s="16"/>
      <c r="AL149" s="16"/>
      <c r="AM149" s="37"/>
      <c r="AN149" s="37"/>
      <c r="AO149" s="37"/>
      <c r="AP149" s="37"/>
      <c r="AQ149" s="37"/>
      <c r="AR149" s="37"/>
      <c r="AS149" s="37"/>
    </row>
    <row r="150" spans="1:45" ht="14.25" customHeight="1" x14ac:dyDescent="0.3">
      <c r="A150" s="34"/>
      <c r="B150" s="16"/>
      <c r="C150" s="15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5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5"/>
      <c r="AI150" s="16"/>
      <c r="AJ150" s="16"/>
      <c r="AK150" s="16"/>
      <c r="AL150" s="16"/>
      <c r="AM150" s="37"/>
      <c r="AN150" s="37"/>
      <c r="AO150" s="37"/>
      <c r="AP150" s="37"/>
      <c r="AQ150" s="37"/>
      <c r="AR150" s="37"/>
      <c r="AS150" s="37"/>
    </row>
    <row r="151" spans="1:45" ht="14.25" customHeight="1" x14ac:dyDescent="0.3">
      <c r="A151" s="34"/>
      <c r="B151" s="16"/>
      <c r="C151" s="15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5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5"/>
      <c r="AI151" s="16"/>
      <c r="AJ151" s="16"/>
      <c r="AK151" s="16"/>
      <c r="AL151" s="16"/>
      <c r="AM151" s="37"/>
      <c r="AN151" s="37"/>
      <c r="AO151" s="37"/>
      <c r="AP151" s="37"/>
      <c r="AQ151" s="37"/>
      <c r="AR151" s="37"/>
      <c r="AS151" s="37"/>
    </row>
    <row r="152" spans="1:45" ht="14.25" customHeight="1" x14ac:dyDescent="0.3">
      <c r="A152" s="34"/>
      <c r="B152" s="16"/>
      <c r="C152" s="15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5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5"/>
      <c r="AI152" s="16"/>
      <c r="AJ152" s="16"/>
      <c r="AK152" s="16"/>
      <c r="AL152" s="16"/>
      <c r="AM152" s="37"/>
      <c r="AN152" s="37"/>
      <c r="AO152" s="37"/>
      <c r="AP152" s="37"/>
      <c r="AQ152" s="37"/>
      <c r="AR152" s="37"/>
      <c r="AS152" s="37"/>
    </row>
    <row r="153" spans="1:45" ht="14.25" customHeight="1" x14ac:dyDescent="0.3">
      <c r="A153" s="34"/>
      <c r="B153" s="16"/>
      <c r="C153" s="15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5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5"/>
      <c r="AI153" s="16"/>
      <c r="AJ153" s="16"/>
      <c r="AK153" s="16"/>
      <c r="AL153" s="16"/>
      <c r="AM153" s="37"/>
      <c r="AN153" s="37"/>
      <c r="AO153" s="37"/>
      <c r="AP153" s="37"/>
      <c r="AQ153" s="37"/>
      <c r="AR153" s="37"/>
      <c r="AS153" s="37"/>
    </row>
    <row r="154" spans="1:45" ht="14.25" customHeight="1" x14ac:dyDescent="0.3">
      <c r="A154" s="34"/>
      <c r="B154" s="16"/>
      <c r="C154" s="15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5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5"/>
      <c r="AI154" s="16"/>
      <c r="AJ154" s="16"/>
      <c r="AK154" s="16"/>
      <c r="AL154" s="16"/>
      <c r="AM154" s="37"/>
      <c r="AN154" s="37"/>
      <c r="AO154" s="37"/>
      <c r="AP154" s="37"/>
      <c r="AQ154" s="37"/>
      <c r="AR154" s="37"/>
      <c r="AS154" s="37"/>
    </row>
    <row r="155" spans="1:45" ht="14.25" customHeight="1" x14ac:dyDescent="0.3">
      <c r="A155" s="34"/>
      <c r="B155" s="16"/>
      <c r="C155" s="15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5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5"/>
      <c r="AI155" s="16"/>
      <c r="AJ155" s="16"/>
      <c r="AK155" s="16"/>
      <c r="AL155" s="16"/>
      <c r="AM155" s="37"/>
      <c r="AN155" s="37"/>
      <c r="AO155" s="37"/>
      <c r="AP155" s="37"/>
      <c r="AQ155" s="37"/>
      <c r="AR155" s="37"/>
      <c r="AS155" s="37"/>
    </row>
    <row r="156" spans="1:45" ht="14.25" customHeight="1" x14ac:dyDescent="0.3">
      <c r="A156" s="34"/>
      <c r="B156" s="16"/>
      <c r="C156" s="15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5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5"/>
      <c r="AI156" s="16"/>
      <c r="AJ156" s="16"/>
      <c r="AK156" s="16"/>
      <c r="AL156" s="16"/>
      <c r="AM156" s="37"/>
      <c r="AN156" s="37"/>
      <c r="AO156" s="37"/>
      <c r="AP156" s="37"/>
      <c r="AQ156" s="37"/>
      <c r="AR156" s="37"/>
      <c r="AS156" s="37"/>
    </row>
    <row r="157" spans="1:45" ht="14.25" customHeight="1" x14ac:dyDescent="0.3">
      <c r="A157" s="34"/>
      <c r="B157" s="16"/>
      <c r="C157" s="15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5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5"/>
      <c r="AI157" s="16"/>
      <c r="AJ157" s="16"/>
      <c r="AK157" s="16"/>
      <c r="AL157" s="16"/>
      <c r="AM157" s="37"/>
      <c r="AN157" s="37"/>
      <c r="AO157" s="37"/>
      <c r="AP157" s="37"/>
      <c r="AQ157" s="37"/>
      <c r="AR157" s="37"/>
      <c r="AS157" s="37"/>
    </row>
    <row r="158" spans="1:45" ht="14.25" customHeight="1" x14ac:dyDescent="0.3">
      <c r="A158" s="34"/>
      <c r="B158" s="16"/>
      <c r="C158" s="15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5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5"/>
      <c r="AI158" s="16"/>
      <c r="AJ158" s="16"/>
      <c r="AK158" s="16"/>
      <c r="AL158" s="16"/>
      <c r="AM158" s="37"/>
      <c r="AN158" s="37"/>
      <c r="AO158" s="37"/>
      <c r="AP158" s="37"/>
      <c r="AQ158" s="37"/>
      <c r="AR158" s="37"/>
      <c r="AS158" s="37"/>
    </row>
    <row r="159" spans="1:45" ht="14.25" customHeight="1" x14ac:dyDescent="0.3">
      <c r="A159" s="34"/>
      <c r="B159" s="16"/>
      <c r="C159" s="15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5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5"/>
      <c r="AI159" s="16"/>
      <c r="AJ159" s="16"/>
      <c r="AK159" s="16"/>
      <c r="AL159" s="16"/>
      <c r="AM159" s="37"/>
      <c r="AN159" s="37"/>
      <c r="AO159" s="37"/>
      <c r="AP159" s="37"/>
      <c r="AQ159" s="37"/>
      <c r="AR159" s="37"/>
      <c r="AS159" s="37"/>
    </row>
    <row r="160" spans="1:45" ht="14.25" customHeight="1" x14ac:dyDescent="0.3">
      <c r="A160" s="34"/>
      <c r="B160" s="16"/>
      <c r="C160" s="15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5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5"/>
      <c r="AI160" s="16"/>
      <c r="AJ160" s="16"/>
      <c r="AK160" s="16"/>
      <c r="AL160" s="16"/>
      <c r="AM160" s="37"/>
      <c r="AN160" s="37"/>
      <c r="AO160" s="37"/>
      <c r="AP160" s="37"/>
      <c r="AQ160" s="37"/>
      <c r="AR160" s="37"/>
      <c r="AS160" s="37"/>
    </row>
    <row r="161" spans="1:45" ht="14.25" customHeight="1" x14ac:dyDescent="0.3">
      <c r="A161" s="34"/>
      <c r="B161" s="16"/>
      <c r="C161" s="15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5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5"/>
      <c r="AI161" s="16"/>
      <c r="AJ161" s="16"/>
      <c r="AK161" s="16"/>
      <c r="AL161" s="16"/>
      <c r="AM161" s="37"/>
      <c r="AN161" s="37"/>
      <c r="AO161" s="37"/>
      <c r="AP161" s="37"/>
      <c r="AQ161" s="37"/>
      <c r="AR161" s="37"/>
      <c r="AS161" s="37"/>
    </row>
    <row r="162" spans="1:45" ht="14.25" customHeight="1" x14ac:dyDescent="0.3">
      <c r="A162" s="34"/>
      <c r="B162" s="16"/>
      <c r="C162" s="15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5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5"/>
      <c r="AI162" s="16"/>
      <c r="AJ162" s="16"/>
      <c r="AK162" s="16"/>
      <c r="AL162" s="16"/>
      <c r="AM162" s="37"/>
      <c r="AN162" s="37"/>
      <c r="AO162" s="37"/>
      <c r="AP162" s="37"/>
      <c r="AQ162" s="37"/>
      <c r="AR162" s="37"/>
      <c r="AS162" s="37"/>
    </row>
    <row r="163" spans="1:45" ht="14.25" customHeight="1" x14ac:dyDescent="0.3">
      <c r="A163" s="34"/>
      <c r="B163" s="16"/>
      <c r="C163" s="15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5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5"/>
      <c r="AI163" s="16"/>
      <c r="AJ163" s="16"/>
      <c r="AK163" s="16"/>
      <c r="AL163" s="16"/>
      <c r="AM163" s="37"/>
      <c r="AN163" s="37"/>
      <c r="AO163" s="37"/>
      <c r="AP163" s="37"/>
      <c r="AQ163" s="37"/>
      <c r="AR163" s="37"/>
      <c r="AS163" s="37"/>
    </row>
    <row r="164" spans="1:45" ht="14.25" customHeight="1" x14ac:dyDescent="0.3">
      <c r="A164" s="34"/>
      <c r="B164" s="16"/>
      <c r="C164" s="15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5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5"/>
      <c r="AI164" s="16"/>
      <c r="AJ164" s="16"/>
      <c r="AK164" s="16"/>
      <c r="AL164" s="16"/>
      <c r="AM164" s="37"/>
      <c r="AN164" s="37"/>
      <c r="AO164" s="37"/>
      <c r="AP164" s="37"/>
      <c r="AQ164" s="37"/>
      <c r="AR164" s="37"/>
      <c r="AS164" s="37"/>
    </row>
    <row r="165" spans="1:45" ht="14.25" customHeight="1" x14ac:dyDescent="0.3">
      <c r="A165" s="34"/>
      <c r="B165" s="16"/>
      <c r="C165" s="15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5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5"/>
      <c r="AI165" s="16"/>
      <c r="AJ165" s="16"/>
      <c r="AK165" s="16"/>
      <c r="AL165" s="16"/>
      <c r="AM165" s="37"/>
      <c r="AN165" s="37"/>
      <c r="AO165" s="37"/>
      <c r="AP165" s="37"/>
      <c r="AQ165" s="37"/>
      <c r="AR165" s="37"/>
      <c r="AS165" s="37"/>
    </row>
    <row r="166" spans="1:45" ht="14.25" customHeight="1" x14ac:dyDescent="0.3">
      <c r="A166" s="34"/>
      <c r="B166" s="16"/>
      <c r="C166" s="15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5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5"/>
      <c r="AI166" s="16"/>
      <c r="AJ166" s="16"/>
      <c r="AK166" s="16"/>
      <c r="AL166" s="16"/>
      <c r="AM166" s="37"/>
      <c r="AN166" s="37"/>
      <c r="AO166" s="37"/>
      <c r="AP166" s="37"/>
      <c r="AQ166" s="37"/>
      <c r="AR166" s="37"/>
      <c r="AS166" s="37"/>
    </row>
    <row r="167" spans="1:45" ht="14.25" customHeight="1" x14ac:dyDescent="0.3">
      <c r="A167" s="34"/>
      <c r="B167" s="16"/>
      <c r="C167" s="15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5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5"/>
      <c r="AI167" s="16"/>
      <c r="AJ167" s="16"/>
      <c r="AK167" s="16"/>
      <c r="AL167" s="16"/>
      <c r="AM167" s="37"/>
      <c r="AN167" s="37"/>
      <c r="AO167" s="37"/>
      <c r="AP167" s="37"/>
      <c r="AQ167" s="37"/>
      <c r="AR167" s="37"/>
      <c r="AS167" s="37"/>
    </row>
    <row r="168" spans="1:45" ht="14.25" customHeight="1" x14ac:dyDescent="0.3">
      <c r="A168" s="34"/>
      <c r="B168" s="16"/>
      <c r="C168" s="15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5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5"/>
      <c r="AI168" s="16"/>
      <c r="AJ168" s="16"/>
      <c r="AK168" s="16"/>
      <c r="AL168" s="16"/>
      <c r="AM168" s="37"/>
      <c r="AN168" s="37"/>
      <c r="AO168" s="37"/>
      <c r="AP168" s="37"/>
      <c r="AQ168" s="37"/>
      <c r="AR168" s="37"/>
      <c r="AS168" s="37"/>
    </row>
    <row r="169" spans="1:45" ht="14.25" customHeight="1" x14ac:dyDescent="0.3">
      <c r="A169" s="34"/>
      <c r="B169" s="16"/>
      <c r="C169" s="15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5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5"/>
      <c r="AI169" s="16"/>
      <c r="AJ169" s="16"/>
      <c r="AK169" s="16"/>
      <c r="AL169" s="16"/>
      <c r="AM169" s="37"/>
      <c r="AN169" s="37"/>
      <c r="AO169" s="37"/>
      <c r="AP169" s="37"/>
      <c r="AQ169" s="37"/>
      <c r="AR169" s="37"/>
      <c r="AS169" s="37"/>
    </row>
    <row r="170" spans="1:45" ht="14.25" customHeight="1" x14ac:dyDescent="0.3">
      <c r="A170" s="34"/>
      <c r="B170" s="16"/>
      <c r="C170" s="15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5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5"/>
      <c r="AI170" s="16"/>
      <c r="AJ170" s="16"/>
      <c r="AK170" s="16"/>
      <c r="AL170" s="16"/>
      <c r="AM170" s="37"/>
      <c r="AN170" s="37"/>
      <c r="AO170" s="37"/>
      <c r="AP170" s="37"/>
      <c r="AQ170" s="37"/>
      <c r="AR170" s="37"/>
      <c r="AS170" s="37"/>
    </row>
    <row r="171" spans="1:45" ht="14.25" customHeight="1" x14ac:dyDescent="0.3">
      <c r="A171" s="34"/>
      <c r="B171" s="16"/>
      <c r="C171" s="15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5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5"/>
      <c r="AI171" s="16"/>
      <c r="AJ171" s="16"/>
      <c r="AK171" s="16"/>
      <c r="AL171" s="16"/>
      <c r="AM171" s="37"/>
      <c r="AN171" s="37"/>
      <c r="AO171" s="37"/>
      <c r="AP171" s="37"/>
      <c r="AQ171" s="37"/>
      <c r="AR171" s="37"/>
      <c r="AS171" s="37"/>
    </row>
    <row r="172" spans="1:45" ht="14.25" customHeight="1" x14ac:dyDescent="0.3">
      <c r="A172" s="34"/>
      <c r="B172" s="16"/>
      <c r="C172" s="15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5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5"/>
      <c r="AI172" s="16"/>
      <c r="AJ172" s="16"/>
      <c r="AK172" s="16"/>
      <c r="AL172" s="16"/>
      <c r="AM172" s="37"/>
      <c r="AN172" s="37"/>
      <c r="AO172" s="37"/>
      <c r="AP172" s="37"/>
      <c r="AQ172" s="37"/>
      <c r="AR172" s="37"/>
      <c r="AS172" s="37"/>
    </row>
    <row r="173" spans="1:45" ht="14.25" customHeight="1" x14ac:dyDescent="0.3">
      <c r="A173" s="34"/>
      <c r="B173" s="16"/>
      <c r="C173" s="15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5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5"/>
      <c r="AI173" s="16"/>
      <c r="AJ173" s="16"/>
      <c r="AK173" s="16"/>
      <c r="AL173" s="16"/>
      <c r="AM173" s="37"/>
      <c r="AN173" s="37"/>
      <c r="AO173" s="37"/>
      <c r="AP173" s="37"/>
      <c r="AQ173" s="37"/>
      <c r="AR173" s="37"/>
      <c r="AS173" s="37"/>
    </row>
    <row r="174" spans="1:45" ht="14.25" customHeight="1" x14ac:dyDescent="0.3">
      <c r="A174" s="34"/>
      <c r="B174" s="16"/>
      <c r="C174" s="15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5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5"/>
      <c r="AI174" s="16"/>
      <c r="AJ174" s="16"/>
      <c r="AK174" s="16"/>
      <c r="AL174" s="16"/>
      <c r="AM174" s="37"/>
      <c r="AN174" s="37"/>
      <c r="AO174" s="37"/>
      <c r="AP174" s="37"/>
      <c r="AQ174" s="37"/>
      <c r="AR174" s="37"/>
      <c r="AS174" s="37"/>
    </row>
    <row r="175" spans="1:45" ht="14.25" customHeight="1" x14ac:dyDescent="0.3">
      <c r="A175" s="34"/>
      <c r="B175" s="16"/>
      <c r="C175" s="15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5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5"/>
      <c r="AI175" s="16"/>
      <c r="AJ175" s="16"/>
      <c r="AK175" s="16"/>
      <c r="AL175" s="16"/>
      <c r="AM175" s="37"/>
      <c r="AN175" s="37"/>
      <c r="AO175" s="37"/>
      <c r="AP175" s="37"/>
      <c r="AQ175" s="37"/>
      <c r="AR175" s="37"/>
      <c r="AS175" s="37"/>
    </row>
    <row r="176" spans="1:45" ht="14.25" customHeight="1" x14ac:dyDescent="0.3">
      <c r="A176" s="34"/>
      <c r="B176" s="16"/>
      <c r="C176" s="15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5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5"/>
      <c r="AI176" s="16"/>
      <c r="AJ176" s="16"/>
      <c r="AK176" s="16"/>
      <c r="AL176" s="16"/>
      <c r="AM176" s="37"/>
      <c r="AN176" s="37"/>
      <c r="AO176" s="37"/>
      <c r="AP176" s="37"/>
      <c r="AQ176" s="37"/>
      <c r="AR176" s="37"/>
      <c r="AS176" s="37"/>
    </row>
    <row r="177" spans="1:45" ht="14.25" customHeight="1" x14ac:dyDescent="0.3">
      <c r="A177" s="34"/>
      <c r="B177" s="16"/>
      <c r="C177" s="15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5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5"/>
      <c r="AI177" s="16"/>
      <c r="AJ177" s="16"/>
      <c r="AK177" s="16"/>
      <c r="AL177" s="16"/>
      <c r="AM177" s="37"/>
      <c r="AN177" s="37"/>
      <c r="AO177" s="37"/>
      <c r="AP177" s="37"/>
      <c r="AQ177" s="37"/>
      <c r="AR177" s="37"/>
      <c r="AS177" s="37"/>
    </row>
    <row r="178" spans="1:45" ht="14.25" customHeight="1" x14ac:dyDescent="0.3">
      <c r="A178" s="34"/>
      <c r="B178" s="16"/>
      <c r="C178" s="15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5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5"/>
      <c r="AI178" s="16"/>
      <c r="AJ178" s="16"/>
      <c r="AK178" s="16"/>
      <c r="AL178" s="16"/>
      <c r="AM178" s="37"/>
      <c r="AN178" s="37"/>
      <c r="AO178" s="37"/>
      <c r="AP178" s="37"/>
      <c r="AQ178" s="37"/>
      <c r="AR178" s="37"/>
      <c r="AS178" s="37"/>
    </row>
    <row r="179" spans="1:45" ht="14.25" customHeight="1" x14ac:dyDescent="0.3">
      <c r="A179" s="34"/>
      <c r="B179" s="16"/>
      <c r="C179" s="15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5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5"/>
      <c r="AI179" s="16"/>
      <c r="AJ179" s="16"/>
      <c r="AK179" s="16"/>
      <c r="AL179" s="16"/>
      <c r="AM179" s="37"/>
      <c r="AN179" s="37"/>
      <c r="AO179" s="37"/>
      <c r="AP179" s="37"/>
      <c r="AQ179" s="37"/>
      <c r="AR179" s="37"/>
      <c r="AS179" s="37"/>
    </row>
    <row r="180" spans="1:45" ht="14.25" customHeight="1" x14ac:dyDescent="0.3">
      <c r="A180" s="34"/>
      <c r="B180" s="16"/>
      <c r="C180" s="15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5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5"/>
      <c r="AI180" s="16"/>
      <c r="AJ180" s="16"/>
      <c r="AK180" s="16"/>
      <c r="AL180" s="16"/>
      <c r="AM180" s="37"/>
      <c r="AN180" s="37"/>
      <c r="AO180" s="37"/>
      <c r="AP180" s="37"/>
      <c r="AQ180" s="37"/>
      <c r="AR180" s="37"/>
      <c r="AS180" s="37"/>
    </row>
    <row r="181" spans="1:45" ht="14.25" customHeight="1" x14ac:dyDescent="0.3">
      <c r="A181" s="34"/>
      <c r="B181" s="16"/>
      <c r="C181" s="15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5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5"/>
      <c r="AI181" s="16"/>
      <c r="AJ181" s="16"/>
      <c r="AK181" s="16"/>
      <c r="AL181" s="16"/>
      <c r="AM181" s="37"/>
      <c r="AN181" s="37"/>
      <c r="AO181" s="37"/>
      <c r="AP181" s="37"/>
      <c r="AQ181" s="37"/>
      <c r="AR181" s="37"/>
      <c r="AS181" s="37"/>
    </row>
    <row r="182" spans="1:45" ht="14.25" customHeight="1" x14ac:dyDescent="0.3">
      <c r="A182" s="34"/>
      <c r="B182" s="16"/>
      <c r="C182" s="15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5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5"/>
      <c r="AI182" s="16"/>
      <c r="AJ182" s="16"/>
      <c r="AK182" s="16"/>
      <c r="AL182" s="16"/>
      <c r="AM182" s="37"/>
      <c r="AN182" s="37"/>
      <c r="AO182" s="37"/>
      <c r="AP182" s="37"/>
      <c r="AQ182" s="37"/>
      <c r="AR182" s="37"/>
      <c r="AS182" s="37"/>
    </row>
    <row r="183" spans="1:45" ht="14.25" customHeight="1" x14ac:dyDescent="0.3">
      <c r="A183" s="34"/>
      <c r="B183" s="16"/>
      <c r="C183" s="15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5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5"/>
      <c r="AI183" s="16"/>
      <c r="AJ183" s="16"/>
      <c r="AK183" s="16"/>
      <c r="AL183" s="16"/>
      <c r="AM183" s="37"/>
      <c r="AN183" s="37"/>
      <c r="AO183" s="37"/>
      <c r="AP183" s="37"/>
      <c r="AQ183" s="37"/>
      <c r="AR183" s="37"/>
      <c r="AS183" s="37"/>
    </row>
    <row r="184" spans="1:45" ht="14.25" customHeight="1" x14ac:dyDescent="0.3">
      <c r="A184" s="34"/>
      <c r="B184" s="16"/>
      <c r="C184" s="15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5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5"/>
      <c r="AI184" s="16"/>
      <c r="AJ184" s="16"/>
      <c r="AK184" s="16"/>
      <c r="AL184" s="16"/>
      <c r="AM184" s="37"/>
      <c r="AN184" s="37"/>
      <c r="AO184" s="37"/>
      <c r="AP184" s="37"/>
      <c r="AQ184" s="37"/>
      <c r="AR184" s="37"/>
      <c r="AS184" s="37"/>
    </row>
    <row r="185" spans="1:45" ht="14.25" customHeight="1" x14ac:dyDescent="0.3">
      <c r="A185" s="34"/>
      <c r="B185" s="16"/>
      <c r="C185" s="15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5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5"/>
      <c r="AI185" s="16"/>
      <c r="AJ185" s="16"/>
      <c r="AK185" s="16"/>
      <c r="AL185" s="16"/>
      <c r="AM185" s="37"/>
      <c r="AN185" s="37"/>
      <c r="AO185" s="37"/>
      <c r="AP185" s="37"/>
      <c r="AQ185" s="37"/>
      <c r="AR185" s="37"/>
      <c r="AS185" s="37"/>
    </row>
    <row r="186" spans="1:45" ht="14.25" customHeight="1" x14ac:dyDescent="0.3">
      <c r="A186" s="34"/>
      <c r="B186" s="16"/>
      <c r="C186" s="15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5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5"/>
      <c r="AI186" s="16"/>
      <c r="AJ186" s="16"/>
      <c r="AK186" s="16"/>
      <c r="AL186" s="16"/>
      <c r="AM186" s="37"/>
      <c r="AN186" s="37"/>
      <c r="AO186" s="37"/>
      <c r="AP186" s="37"/>
      <c r="AQ186" s="37"/>
      <c r="AR186" s="37"/>
      <c r="AS186" s="37"/>
    </row>
    <row r="187" spans="1:45" ht="14.25" customHeight="1" x14ac:dyDescent="0.3">
      <c r="A187" s="34"/>
      <c r="B187" s="16"/>
      <c r="C187" s="15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5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5"/>
      <c r="AI187" s="16"/>
      <c r="AJ187" s="16"/>
      <c r="AK187" s="16"/>
      <c r="AL187" s="16"/>
      <c r="AM187" s="37"/>
      <c r="AN187" s="37"/>
      <c r="AO187" s="37"/>
      <c r="AP187" s="37"/>
      <c r="AQ187" s="37"/>
      <c r="AR187" s="37"/>
      <c r="AS187" s="37"/>
    </row>
    <row r="188" spans="1:45" ht="14.25" customHeight="1" x14ac:dyDescent="0.3">
      <c r="A188" s="34"/>
      <c r="B188" s="16"/>
      <c r="C188" s="15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5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5"/>
      <c r="AI188" s="16"/>
      <c r="AJ188" s="16"/>
      <c r="AK188" s="16"/>
      <c r="AL188" s="16"/>
      <c r="AM188" s="37"/>
      <c r="AN188" s="37"/>
      <c r="AO188" s="37"/>
      <c r="AP188" s="37"/>
      <c r="AQ188" s="37"/>
      <c r="AR188" s="37"/>
      <c r="AS188" s="37"/>
    </row>
    <row r="189" spans="1:45" ht="14.25" customHeight="1" x14ac:dyDescent="0.3">
      <c r="A189" s="34"/>
      <c r="B189" s="16"/>
      <c r="C189" s="15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5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5"/>
      <c r="AI189" s="16"/>
      <c r="AJ189" s="16"/>
      <c r="AK189" s="16"/>
      <c r="AL189" s="16"/>
      <c r="AM189" s="37"/>
      <c r="AN189" s="37"/>
      <c r="AO189" s="37"/>
      <c r="AP189" s="37"/>
      <c r="AQ189" s="37"/>
      <c r="AR189" s="37"/>
      <c r="AS189" s="37"/>
    </row>
    <row r="190" spans="1:45" ht="14.25" customHeight="1" x14ac:dyDescent="0.3">
      <c r="A190" s="34"/>
      <c r="B190" s="16"/>
      <c r="C190" s="15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5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5"/>
      <c r="AI190" s="16"/>
      <c r="AJ190" s="16"/>
      <c r="AK190" s="16"/>
      <c r="AL190" s="16"/>
      <c r="AM190" s="37"/>
      <c r="AN190" s="37"/>
      <c r="AO190" s="37"/>
      <c r="AP190" s="37"/>
      <c r="AQ190" s="37"/>
      <c r="AR190" s="37"/>
      <c r="AS190" s="37"/>
    </row>
    <row r="191" spans="1:45" ht="14.25" customHeight="1" x14ac:dyDescent="0.3">
      <c r="A191" s="34"/>
      <c r="B191" s="16"/>
      <c r="C191" s="15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5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5"/>
      <c r="AI191" s="16"/>
      <c r="AJ191" s="16"/>
      <c r="AK191" s="16"/>
      <c r="AL191" s="16"/>
      <c r="AM191" s="37"/>
      <c r="AN191" s="37"/>
      <c r="AO191" s="37"/>
      <c r="AP191" s="37"/>
      <c r="AQ191" s="37"/>
      <c r="AR191" s="37"/>
      <c r="AS191" s="37"/>
    </row>
    <row r="192" spans="1:45" ht="14.25" customHeight="1" x14ac:dyDescent="0.3">
      <c r="A192" s="34"/>
      <c r="B192" s="16"/>
      <c r="C192" s="15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5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5"/>
      <c r="AI192" s="16"/>
      <c r="AJ192" s="16"/>
      <c r="AK192" s="16"/>
      <c r="AL192" s="16"/>
      <c r="AM192" s="37"/>
      <c r="AN192" s="37"/>
      <c r="AO192" s="37"/>
      <c r="AP192" s="37"/>
      <c r="AQ192" s="37"/>
      <c r="AR192" s="37"/>
      <c r="AS192" s="37"/>
    </row>
    <row r="193" spans="1:45" ht="14.25" customHeight="1" x14ac:dyDescent="0.3">
      <c r="A193" s="34"/>
      <c r="B193" s="16"/>
      <c r="C193" s="15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5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5"/>
      <c r="AI193" s="16"/>
      <c r="AJ193" s="16"/>
      <c r="AK193" s="16"/>
      <c r="AL193" s="16"/>
      <c r="AM193" s="37"/>
      <c r="AN193" s="37"/>
      <c r="AO193" s="37"/>
      <c r="AP193" s="37"/>
      <c r="AQ193" s="37"/>
      <c r="AR193" s="37"/>
      <c r="AS193" s="37"/>
    </row>
    <row r="194" spans="1:45" ht="14.25" customHeight="1" x14ac:dyDescent="0.3">
      <c r="A194" s="34"/>
      <c r="B194" s="16"/>
      <c r="C194" s="15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5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5"/>
      <c r="AI194" s="16"/>
      <c r="AJ194" s="16"/>
      <c r="AK194" s="16"/>
      <c r="AL194" s="16"/>
      <c r="AM194" s="37"/>
      <c r="AN194" s="37"/>
      <c r="AO194" s="37"/>
      <c r="AP194" s="37"/>
      <c r="AQ194" s="37"/>
      <c r="AR194" s="37"/>
      <c r="AS194" s="37"/>
    </row>
    <row r="195" spans="1:45" ht="14.25" customHeight="1" x14ac:dyDescent="0.3">
      <c r="A195" s="34"/>
      <c r="B195" s="16"/>
      <c r="C195" s="15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5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5"/>
      <c r="AI195" s="16"/>
      <c r="AJ195" s="16"/>
      <c r="AK195" s="16"/>
      <c r="AL195" s="16"/>
      <c r="AM195" s="37"/>
      <c r="AN195" s="37"/>
      <c r="AO195" s="37"/>
      <c r="AP195" s="37"/>
      <c r="AQ195" s="37"/>
      <c r="AR195" s="37"/>
      <c r="AS195" s="37"/>
    </row>
    <row r="196" spans="1:45" ht="14.25" customHeight="1" x14ac:dyDescent="0.3">
      <c r="A196" s="34"/>
      <c r="B196" s="16"/>
      <c r="C196" s="15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5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5"/>
      <c r="AI196" s="16"/>
      <c r="AJ196" s="16"/>
      <c r="AK196" s="16"/>
      <c r="AL196" s="16"/>
      <c r="AM196" s="37"/>
      <c r="AN196" s="37"/>
      <c r="AO196" s="37"/>
      <c r="AP196" s="37"/>
      <c r="AQ196" s="37"/>
      <c r="AR196" s="37"/>
      <c r="AS196" s="37"/>
    </row>
    <row r="197" spans="1:45" ht="14.25" customHeight="1" x14ac:dyDescent="0.3">
      <c r="A197" s="34"/>
      <c r="B197" s="16"/>
      <c r="C197" s="15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5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5"/>
      <c r="AI197" s="16"/>
      <c r="AJ197" s="16"/>
      <c r="AK197" s="16"/>
      <c r="AL197" s="16"/>
      <c r="AM197" s="37"/>
      <c r="AN197" s="37"/>
      <c r="AO197" s="37"/>
      <c r="AP197" s="37"/>
      <c r="AQ197" s="37"/>
      <c r="AR197" s="37"/>
      <c r="AS197" s="37"/>
    </row>
    <row r="198" spans="1:45" ht="14.25" customHeight="1" x14ac:dyDescent="0.3">
      <c r="A198" s="34"/>
      <c r="B198" s="16"/>
      <c r="C198" s="15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5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5"/>
      <c r="AI198" s="16"/>
      <c r="AJ198" s="16"/>
      <c r="AK198" s="16"/>
      <c r="AL198" s="16"/>
      <c r="AM198" s="37"/>
      <c r="AN198" s="37"/>
      <c r="AO198" s="37"/>
      <c r="AP198" s="37"/>
      <c r="AQ198" s="37"/>
      <c r="AR198" s="37"/>
      <c r="AS198" s="37"/>
    </row>
    <row r="199" spans="1:45" ht="14.25" customHeight="1" x14ac:dyDescent="0.3">
      <c r="A199" s="34"/>
      <c r="B199" s="16"/>
      <c r="C199" s="15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5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5"/>
      <c r="AI199" s="16"/>
      <c r="AJ199" s="16"/>
      <c r="AK199" s="16"/>
      <c r="AL199" s="16"/>
      <c r="AM199" s="37"/>
      <c r="AN199" s="37"/>
      <c r="AO199" s="37"/>
      <c r="AP199" s="37"/>
      <c r="AQ199" s="37"/>
      <c r="AR199" s="37"/>
      <c r="AS199" s="37"/>
    </row>
    <row r="200" spans="1:45" ht="14.25" customHeight="1" x14ac:dyDescent="0.3">
      <c r="A200" s="34"/>
      <c r="B200" s="16"/>
      <c r="C200" s="15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5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5"/>
      <c r="AI200" s="16"/>
      <c r="AJ200" s="16"/>
      <c r="AK200" s="16"/>
      <c r="AL200" s="16"/>
      <c r="AM200" s="37"/>
      <c r="AN200" s="37"/>
      <c r="AO200" s="37"/>
      <c r="AP200" s="37"/>
      <c r="AQ200" s="37"/>
      <c r="AR200" s="37"/>
      <c r="AS200" s="37"/>
    </row>
    <row r="201" spans="1:45" ht="14.25" customHeight="1" x14ac:dyDescent="0.3">
      <c r="A201" s="34"/>
      <c r="B201" s="16"/>
      <c r="C201" s="15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5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5"/>
      <c r="AI201" s="16"/>
      <c r="AJ201" s="16"/>
      <c r="AK201" s="16"/>
      <c r="AL201" s="16"/>
      <c r="AM201" s="37"/>
      <c r="AN201" s="37"/>
      <c r="AO201" s="37"/>
      <c r="AP201" s="37"/>
      <c r="AQ201" s="37"/>
      <c r="AR201" s="37"/>
      <c r="AS201" s="37"/>
    </row>
    <row r="202" spans="1:45" ht="14.25" customHeight="1" x14ac:dyDescent="0.3">
      <c r="A202" s="34"/>
      <c r="B202" s="16"/>
      <c r="C202" s="15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5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5"/>
      <c r="AI202" s="16"/>
      <c r="AJ202" s="16"/>
      <c r="AK202" s="16"/>
      <c r="AL202" s="16"/>
      <c r="AM202" s="37"/>
      <c r="AN202" s="37"/>
      <c r="AO202" s="37"/>
      <c r="AP202" s="37"/>
      <c r="AQ202" s="37"/>
      <c r="AR202" s="37"/>
      <c r="AS202" s="37"/>
    </row>
    <row r="203" spans="1:45" ht="14.25" customHeight="1" x14ac:dyDescent="0.3">
      <c r="A203" s="34"/>
      <c r="B203" s="16"/>
      <c r="C203" s="15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5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5"/>
      <c r="AI203" s="16"/>
      <c r="AJ203" s="16"/>
      <c r="AK203" s="16"/>
      <c r="AL203" s="16"/>
      <c r="AM203" s="37"/>
      <c r="AN203" s="37"/>
      <c r="AO203" s="37"/>
      <c r="AP203" s="37"/>
      <c r="AQ203" s="37"/>
      <c r="AR203" s="37"/>
      <c r="AS203" s="37"/>
    </row>
    <row r="204" spans="1:45" ht="14.25" customHeight="1" x14ac:dyDescent="0.3">
      <c r="A204" s="34"/>
      <c r="B204" s="16"/>
      <c r="C204" s="15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5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5"/>
      <c r="AI204" s="16"/>
      <c r="AJ204" s="16"/>
      <c r="AK204" s="16"/>
      <c r="AL204" s="16"/>
      <c r="AM204" s="37"/>
      <c r="AN204" s="37"/>
      <c r="AO204" s="37"/>
      <c r="AP204" s="37"/>
      <c r="AQ204" s="37"/>
      <c r="AR204" s="37"/>
      <c r="AS204" s="37"/>
    </row>
    <row r="205" spans="1:45" ht="14.25" customHeight="1" x14ac:dyDescent="0.3">
      <c r="A205" s="34"/>
      <c r="B205" s="16"/>
      <c r="C205" s="15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5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5"/>
      <c r="AI205" s="16"/>
      <c r="AJ205" s="16"/>
      <c r="AK205" s="16"/>
      <c r="AL205" s="16"/>
      <c r="AM205" s="37"/>
      <c r="AN205" s="37"/>
      <c r="AO205" s="37"/>
      <c r="AP205" s="37"/>
      <c r="AQ205" s="37"/>
      <c r="AR205" s="37"/>
      <c r="AS205" s="37"/>
    </row>
    <row r="206" spans="1:45" ht="14.25" customHeight="1" x14ac:dyDescent="0.3">
      <c r="A206" s="34"/>
      <c r="B206" s="16"/>
      <c r="C206" s="15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5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5"/>
      <c r="AI206" s="16"/>
      <c r="AJ206" s="16"/>
      <c r="AK206" s="16"/>
      <c r="AL206" s="16"/>
      <c r="AM206" s="37"/>
      <c r="AN206" s="37"/>
      <c r="AO206" s="37"/>
      <c r="AP206" s="37"/>
      <c r="AQ206" s="37"/>
      <c r="AR206" s="37"/>
      <c r="AS206" s="37"/>
    </row>
    <row r="207" spans="1:45" ht="14.25" customHeight="1" x14ac:dyDescent="0.3">
      <c r="A207" s="34"/>
      <c r="B207" s="16"/>
      <c r="C207" s="15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5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5"/>
      <c r="AI207" s="16"/>
      <c r="AJ207" s="16"/>
      <c r="AK207" s="16"/>
      <c r="AL207" s="16"/>
      <c r="AM207" s="37"/>
      <c r="AN207" s="37"/>
      <c r="AO207" s="37"/>
      <c r="AP207" s="37"/>
      <c r="AQ207" s="37"/>
      <c r="AR207" s="37"/>
      <c r="AS207" s="37"/>
    </row>
    <row r="208" spans="1:45" ht="14.25" customHeight="1" x14ac:dyDescent="0.3">
      <c r="A208" s="34"/>
      <c r="B208" s="16"/>
      <c r="C208" s="15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5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5"/>
      <c r="AI208" s="16"/>
      <c r="AJ208" s="16"/>
      <c r="AK208" s="16"/>
      <c r="AL208" s="16"/>
      <c r="AM208" s="37"/>
      <c r="AN208" s="37"/>
      <c r="AO208" s="37"/>
      <c r="AP208" s="37"/>
      <c r="AQ208" s="37"/>
      <c r="AR208" s="37"/>
      <c r="AS208" s="37"/>
    </row>
    <row r="209" spans="1:45" ht="14.25" customHeight="1" x14ac:dyDescent="0.3">
      <c r="A209" s="34"/>
      <c r="B209" s="16"/>
      <c r="C209" s="15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5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5"/>
      <c r="AI209" s="16"/>
      <c r="AJ209" s="16"/>
      <c r="AK209" s="16"/>
      <c r="AL209" s="16"/>
      <c r="AM209" s="37"/>
      <c r="AN209" s="37"/>
      <c r="AO209" s="37"/>
      <c r="AP209" s="37"/>
      <c r="AQ209" s="37"/>
      <c r="AR209" s="37"/>
      <c r="AS209" s="37"/>
    </row>
    <row r="210" spans="1:45" ht="14.25" customHeight="1" x14ac:dyDescent="0.3">
      <c r="A210" s="34"/>
      <c r="B210" s="16"/>
      <c r="C210" s="15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5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5"/>
      <c r="AI210" s="16"/>
      <c r="AJ210" s="16"/>
      <c r="AK210" s="16"/>
      <c r="AL210" s="16"/>
      <c r="AM210" s="37"/>
      <c r="AN210" s="37"/>
      <c r="AO210" s="37"/>
      <c r="AP210" s="37"/>
      <c r="AQ210" s="37"/>
      <c r="AR210" s="37"/>
      <c r="AS210" s="37"/>
    </row>
    <row r="211" spans="1:45" ht="14.25" customHeight="1" x14ac:dyDescent="0.3">
      <c r="A211" s="34"/>
      <c r="B211" s="16"/>
      <c r="C211" s="15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5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5"/>
      <c r="AI211" s="16"/>
      <c r="AJ211" s="16"/>
      <c r="AK211" s="16"/>
      <c r="AL211" s="16"/>
      <c r="AM211" s="37"/>
      <c r="AN211" s="37"/>
      <c r="AO211" s="37"/>
      <c r="AP211" s="37"/>
      <c r="AQ211" s="37"/>
      <c r="AR211" s="37"/>
      <c r="AS211" s="37"/>
    </row>
    <row r="212" spans="1:45" ht="14.25" customHeight="1" x14ac:dyDescent="0.3">
      <c r="A212" s="34"/>
      <c r="B212" s="16"/>
      <c r="C212" s="15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5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5"/>
      <c r="AI212" s="16"/>
      <c r="AJ212" s="16"/>
      <c r="AK212" s="16"/>
      <c r="AL212" s="16"/>
      <c r="AM212" s="37"/>
      <c r="AN212" s="37"/>
      <c r="AO212" s="37"/>
      <c r="AP212" s="37"/>
      <c r="AQ212" s="37"/>
      <c r="AR212" s="37"/>
      <c r="AS212" s="37"/>
    </row>
    <row r="213" spans="1:45" ht="14.25" customHeight="1" x14ac:dyDescent="0.3">
      <c r="A213" s="34"/>
      <c r="B213" s="16"/>
      <c r="C213" s="15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5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5"/>
      <c r="AI213" s="16"/>
      <c r="AJ213" s="16"/>
      <c r="AK213" s="16"/>
      <c r="AL213" s="16"/>
      <c r="AM213" s="37"/>
      <c r="AN213" s="37"/>
      <c r="AO213" s="37"/>
      <c r="AP213" s="37"/>
      <c r="AQ213" s="37"/>
      <c r="AR213" s="37"/>
      <c r="AS213" s="37"/>
    </row>
    <row r="214" spans="1:45" ht="14.25" customHeight="1" x14ac:dyDescent="0.3">
      <c r="A214" s="34"/>
      <c r="B214" s="16"/>
      <c r="C214" s="15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5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5"/>
      <c r="AI214" s="16"/>
      <c r="AJ214" s="16"/>
      <c r="AK214" s="16"/>
      <c r="AL214" s="16"/>
      <c r="AM214" s="37"/>
      <c r="AN214" s="37"/>
      <c r="AO214" s="37"/>
      <c r="AP214" s="37"/>
      <c r="AQ214" s="37"/>
      <c r="AR214" s="37"/>
      <c r="AS214" s="37"/>
    </row>
    <row r="215" spans="1:45" ht="14.25" customHeight="1" x14ac:dyDescent="0.3">
      <c r="A215" s="34"/>
      <c r="B215" s="16"/>
      <c r="C215" s="15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5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5"/>
      <c r="AI215" s="16"/>
      <c r="AJ215" s="16"/>
      <c r="AK215" s="16"/>
      <c r="AL215" s="16"/>
      <c r="AM215" s="37"/>
      <c r="AN215" s="37"/>
      <c r="AO215" s="37"/>
      <c r="AP215" s="37"/>
      <c r="AQ215" s="37"/>
      <c r="AR215" s="37"/>
      <c r="AS215" s="37"/>
    </row>
    <row r="216" spans="1:45" ht="14.25" customHeight="1" x14ac:dyDescent="0.3">
      <c r="A216" s="34"/>
      <c r="B216" s="16"/>
      <c r="C216" s="15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5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5"/>
      <c r="AI216" s="16"/>
      <c r="AJ216" s="16"/>
      <c r="AK216" s="16"/>
      <c r="AL216" s="16"/>
      <c r="AM216" s="37"/>
      <c r="AN216" s="37"/>
      <c r="AO216" s="37"/>
      <c r="AP216" s="37"/>
      <c r="AQ216" s="37"/>
      <c r="AR216" s="37"/>
      <c r="AS216" s="37"/>
    </row>
    <row r="217" spans="1:45" ht="14.25" customHeight="1" x14ac:dyDescent="0.3">
      <c r="A217" s="34"/>
      <c r="B217" s="16"/>
      <c r="C217" s="15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5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5"/>
      <c r="AI217" s="16"/>
      <c r="AJ217" s="16"/>
      <c r="AK217" s="16"/>
      <c r="AL217" s="16"/>
      <c r="AM217" s="37"/>
      <c r="AN217" s="37"/>
      <c r="AO217" s="37"/>
      <c r="AP217" s="37"/>
      <c r="AQ217" s="37"/>
      <c r="AR217" s="37"/>
      <c r="AS217" s="37"/>
    </row>
    <row r="218" spans="1:45" ht="14.25" customHeight="1" x14ac:dyDescent="0.3">
      <c r="A218" s="34"/>
      <c r="B218" s="16"/>
      <c r="C218" s="15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5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5"/>
      <c r="AI218" s="16"/>
      <c r="AJ218" s="16"/>
      <c r="AK218" s="16"/>
      <c r="AL218" s="16"/>
      <c r="AM218" s="37"/>
      <c r="AN218" s="37"/>
      <c r="AO218" s="37"/>
      <c r="AP218" s="37"/>
      <c r="AQ218" s="37"/>
      <c r="AR218" s="37"/>
      <c r="AS218" s="37"/>
    </row>
    <row r="219" spans="1:45" ht="14.25" customHeight="1" x14ac:dyDescent="0.3">
      <c r="A219" s="34"/>
      <c r="B219" s="16"/>
      <c r="C219" s="15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5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5"/>
      <c r="AI219" s="16"/>
      <c r="AJ219" s="16"/>
      <c r="AK219" s="16"/>
      <c r="AL219" s="16"/>
      <c r="AM219" s="37"/>
      <c r="AN219" s="37"/>
      <c r="AO219" s="37"/>
      <c r="AP219" s="37"/>
      <c r="AQ219" s="37"/>
      <c r="AR219" s="37"/>
      <c r="AS219" s="37"/>
    </row>
    <row r="220" spans="1:45" ht="14.25" customHeight="1" x14ac:dyDescent="0.3">
      <c r="A220" s="34"/>
      <c r="B220" s="16"/>
      <c r="C220" s="15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5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5"/>
      <c r="AI220" s="16"/>
      <c r="AJ220" s="16"/>
      <c r="AK220" s="16"/>
      <c r="AL220" s="16"/>
      <c r="AM220" s="37"/>
      <c r="AN220" s="37"/>
      <c r="AO220" s="37"/>
      <c r="AP220" s="37"/>
      <c r="AQ220" s="37"/>
      <c r="AR220" s="37"/>
      <c r="AS220" s="37"/>
    </row>
    <row r="221" spans="1:45" ht="14.25" customHeight="1" x14ac:dyDescent="0.3">
      <c r="A221" s="34"/>
      <c r="B221" s="16"/>
      <c r="C221" s="15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5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5"/>
      <c r="AI221" s="16"/>
      <c r="AJ221" s="16"/>
      <c r="AK221" s="16"/>
      <c r="AL221" s="16"/>
      <c r="AM221" s="37"/>
      <c r="AN221" s="37"/>
      <c r="AO221" s="37"/>
      <c r="AP221" s="37"/>
      <c r="AQ221" s="37"/>
      <c r="AR221" s="37"/>
      <c r="AS221" s="37"/>
    </row>
    <row r="222" spans="1:45" ht="14.25" customHeight="1" x14ac:dyDescent="0.3">
      <c r="A222" s="34"/>
      <c r="B222" s="16"/>
      <c r="C222" s="15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5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5"/>
      <c r="AI222" s="16"/>
      <c r="AJ222" s="16"/>
      <c r="AK222" s="16"/>
      <c r="AL222" s="16"/>
      <c r="AM222" s="37"/>
      <c r="AN222" s="37"/>
      <c r="AO222" s="37"/>
      <c r="AP222" s="37"/>
      <c r="AQ222" s="37"/>
      <c r="AR222" s="37"/>
      <c r="AS222" s="37"/>
    </row>
    <row r="223" spans="1:45" ht="14.25" customHeight="1" x14ac:dyDescent="0.3">
      <c r="A223" s="34"/>
      <c r="B223" s="16"/>
      <c r="C223" s="15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5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5"/>
      <c r="AI223" s="16"/>
      <c r="AJ223" s="16"/>
      <c r="AK223" s="16"/>
      <c r="AL223" s="16"/>
      <c r="AM223" s="37"/>
      <c r="AN223" s="37"/>
      <c r="AO223" s="37"/>
      <c r="AP223" s="37"/>
      <c r="AQ223" s="37"/>
      <c r="AR223" s="37"/>
      <c r="AS223" s="37"/>
    </row>
    <row r="224" spans="1:45" ht="14.25" customHeight="1" x14ac:dyDescent="0.3">
      <c r="A224" s="34"/>
      <c r="B224" s="16"/>
      <c r="C224" s="15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5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5"/>
      <c r="AI224" s="16"/>
      <c r="AJ224" s="16"/>
      <c r="AK224" s="16"/>
      <c r="AL224" s="16"/>
      <c r="AM224" s="37"/>
      <c r="AN224" s="37"/>
      <c r="AO224" s="37"/>
      <c r="AP224" s="37"/>
      <c r="AQ224" s="37"/>
      <c r="AR224" s="37"/>
      <c r="AS224" s="37"/>
    </row>
    <row r="225" spans="1:45" ht="14.25" customHeight="1" x14ac:dyDescent="0.3">
      <c r="A225" s="34"/>
      <c r="B225" s="16"/>
      <c r="C225" s="15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5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5"/>
      <c r="AI225" s="16"/>
      <c r="AJ225" s="16"/>
      <c r="AK225" s="16"/>
      <c r="AL225" s="16"/>
      <c r="AM225" s="37"/>
      <c r="AN225" s="37"/>
      <c r="AO225" s="37"/>
      <c r="AP225" s="37"/>
      <c r="AQ225" s="37"/>
      <c r="AR225" s="37"/>
      <c r="AS225" s="37"/>
    </row>
    <row r="226" spans="1:45" ht="14.25" customHeight="1" x14ac:dyDescent="0.3">
      <c r="A226" s="34"/>
      <c r="B226" s="16"/>
      <c r="C226" s="15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5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5"/>
      <c r="AI226" s="16"/>
      <c r="AJ226" s="16"/>
      <c r="AK226" s="16"/>
      <c r="AL226" s="16"/>
      <c r="AM226" s="37"/>
      <c r="AN226" s="37"/>
      <c r="AO226" s="37"/>
      <c r="AP226" s="37"/>
      <c r="AQ226" s="37"/>
      <c r="AR226" s="37"/>
      <c r="AS226" s="37"/>
    </row>
    <row r="227" spans="1:45" ht="14.25" customHeight="1" x14ac:dyDescent="0.3">
      <c r="A227" s="34"/>
      <c r="B227" s="16"/>
      <c r="C227" s="15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5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5"/>
      <c r="AI227" s="16"/>
      <c r="AJ227" s="16"/>
      <c r="AK227" s="16"/>
      <c r="AL227" s="16"/>
      <c r="AM227" s="37"/>
      <c r="AN227" s="37"/>
      <c r="AO227" s="37"/>
      <c r="AP227" s="37"/>
      <c r="AQ227" s="37"/>
      <c r="AR227" s="37"/>
      <c r="AS227" s="37"/>
    </row>
    <row r="228" spans="1:45" ht="14.25" customHeight="1" x14ac:dyDescent="0.3">
      <c r="A228" s="34"/>
      <c r="B228" s="16"/>
      <c r="C228" s="15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5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5"/>
      <c r="AI228" s="16"/>
      <c r="AJ228" s="16"/>
      <c r="AK228" s="16"/>
      <c r="AL228" s="16"/>
      <c r="AM228" s="37"/>
      <c r="AN228" s="37"/>
      <c r="AO228" s="37"/>
      <c r="AP228" s="37"/>
      <c r="AQ228" s="37"/>
      <c r="AR228" s="37"/>
      <c r="AS228" s="37"/>
    </row>
    <row r="229" spans="1:45" ht="14.25" customHeight="1" x14ac:dyDescent="0.3">
      <c r="A229" s="34"/>
      <c r="B229" s="16"/>
      <c r="C229" s="15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5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5"/>
      <c r="AI229" s="16"/>
      <c r="AJ229" s="16"/>
      <c r="AK229" s="16"/>
      <c r="AL229" s="16"/>
      <c r="AM229" s="37"/>
      <c r="AN229" s="37"/>
      <c r="AO229" s="37"/>
      <c r="AP229" s="37"/>
      <c r="AQ229" s="37"/>
      <c r="AR229" s="37"/>
      <c r="AS229" s="37"/>
    </row>
    <row r="230" spans="1:45" ht="14.25" customHeight="1" x14ac:dyDescent="0.3">
      <c r="A230" s="34"/>
      <c r="B230" s="16"/>
      <c r="C230" s="15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5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5"/>
      <c r="AI230" s="16"/>
      <c r="AJ230" s="16"/>
      <c r="AK230" s="16"/>
      <c r="AL230" s="16"/>
      <c r="AM230" s="37"/>
      <c r="AN230" s="37"/>
      <c r="AO230" s="37"/>
      <c r="AP230" s="37"/>
      <c r="AQ230" s="37"/>
      <c r="AR230" s="37"/>
      <c r="AS230" s="37"/>
    </row>
    <row r="231" spans="1:45" ht="14.25" customHeight="1" x14ac:dyDescent="0.3">
      <c r="A231" s="34"/>
      <c r="B231" s="16"/>
      <c r="C231" s="15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5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5"/>
      <c r="AI231" s="16"/>
      <c r="AJ231" s="16"/>
      <c r="AK231" s="16"/>
      <c r="AL231" s="16"/>
      <c r="AM231" s="37"/>
      <c r="AN231" s="37"/>
      <c r="AO231" s="37"/>
      <c r="AP231" s="37"/>
      <c r="AQ231" s="37"/>
      <c r="AR231" s="37"/>
      <c r="AS231" s="37"/>
    </row>
    <row r="232" spans="1:45" ht="14.25" customHeight="1" x14ac:dyDescent="0.3">
      <c r="A232" s="34"/>
      <c r="B232" s="16"/>
      <c r="C232" s="15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5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5"/>
      <c r="AI232" s="16"/>
      <c r="AJ232" s="16"/>
      <c r="AK232" s="16"/>
      <c r="AL232" s="16"/>
      <c r="AM232" s="37"/>
      <c r="AN232" s="37"/>
      <c r="AO232" s="37"/>
      <c r="AP232" s="37"/>
      <c r="AQ232" s="37"/>
      <c r="AR232" s="37"/>
      <c r="AS232" s="37"/>
    </row>
    <row r="233" spans="1:45" ht="14.25" customHeight="1" x14ac:dyDescent="0.3">
      <c r="A233" s="34"/>
      <c r="B233" s="16"/>
      <c r="C233" s="15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5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5"/>
      <c r="AI233" s="16"/>
      <c r="AJ233" s="16"/>
      <c r="AK233" s="16"/>
      <c r="AL233" s="16"/>
      <c r="AM233" s="37"/>
      <c r="AN233" s="37"/>
      <c r="AO233" s="37"/>
      <c r="AP233" s="37"/>
      <c r="AQ233" s="37"/>
      <c r="AR233" s="37"/>
      <c r="AS233" s="37"/>
    </row>
    <row r="234" spans="1:45" ht="14.25" customHeight="1" x14ac:dyDescent="0.3">
      <c r="A234" s="34"/>
      <c r="B234" s="16"/>
      <c r="C234" s="15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5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5"/>
      <c r="AI234" s="16"/>
      <c r="AJ234" s="16"/>
      <c r="AK234" s="16"/>
      <c r="AL234" s="16"/>
      <c r="AM234" s="37"/>
      <c r="AN234" s="37"/>
      <c r="AO234" s="37"/>
      <c r="AP234" s="37"/>
      <c r="AQ234" s="37"/>
      <c r="AR234" s="37"/>
      <c r="AS234" s="37"/>
    </row>
    <row r="235" spans="1:45" ht="14.25" customHeight="1" x14ac:dyDescent="0.3">
      <c r="A235" s="34"/>
      <c r="B235" s="16"/>
      <c r="C235" s="15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5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5"/>
      <c r="AI235" s="16"/>
      <c r="AJ235" s="16"/>
      <c r="AK235" s="16"/>
      <c r="AL235" s="16"/>
      <c r="AM235" s="37"/>
      <c r="AN235" s="37"/>
      <c r="AO235" s="37"/>
      <c r="AP235" s="37"/>
      <c r="AQ235" s="37"/>
      <c r="AR235" s="37"/>
      <c r="AS235" s="37"/>
    </row>
    <row r="236" spans="1:45" ht="14.25" customHeight="1" x14ac:dyDescent="0.3">
      <c r="A236" s="34"/>
      <c r="B236" s="16"/>
      <c r="C236" s="15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5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5"/>
      <c r="AI236" s="16"/>
      <c r="AJ236" s="16"/>
      <c r="AK236" s="16"/>
      <c r="AL236" s="16"/>
      <c r="AM236" s="37"/>
      <c r="AN236" s="37"/>
      <c r="AO236" s="37"/>
      <c r="AP236" s="37"/>
      <c r="AQ236" s="37"/>
      <c r="AR236" s="37"/>
      <c r="AS236" s="37"/>
    </row>
    <row r="237" spans="1:45" ht="14.25" customHeight="1" x14ac:dyDescent="0.3">
      <c r="A237" s="34"/>
      <c r="B237" s="16"/>
      <c r="C237" s="15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5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5"/>
      <c r="AI237" s="16"/>
      <c r="AJ237" s="16"/>
      <c r="AK237" s="16"/>
      <c r="AL237" s="16"/>
      <c r="AM237" s="37"/>
      <c r="AN237" s="37"/>
      <c r="AO237" s="37"/>
      <c r="AP237" s="37"/>
      <c r="AQ237" s="37"/>
      <c r="AR237" s="37"/>
      <c r="AS237" s="37"/>
    </row>
    <row r="238" spans="1:45" ht="14.25" customHeight="1" x14ac:dyDescent="0.3">
      <c r="A238" s="34"/>
      <c r="B238" s="16"/>
      <c r="C238" s="15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5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5"/>
      <c r="AI238" s="16"/>
      <c r="AJ238" s="16"/>
      <c r="AK238" s="16"/>
      <c r="AL238" s="16"/>
      <c r="AM238" s="37"/>
      <c r="AN238" s="37"/>
      <c r="AO238" s="37"/>
      <c r="AP238" s="37"/>
      <c r="AQ238" s="37"/>
      <c r="AR238" s="37"/>
      <c r="AS238" s="37"/>
    </row>
    <row r="239" spans="1:45" ht="14.25" customHeight="1" x14ac:dyDescent="0.3">
      <c r="A239" s="34"/>
      <c r="B239" s="16"/>
      <c r="C239" s="15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5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5"/>
      <c r="AI239" s="16"/>
      <c r="AJ239" s="16"/>
      <c r="AK239" s="16"/>
      <c r="AL239" s="16"/>
      <c r="AM239" s="37"/>
      <c r="AN239" s="37"/>
      <c r="AO239" s="37"/>
      <c r="AP239" s="37"/>
      <c r="AQ239" s="37"/>
      <c r="AR239" s="37"/>
      <c r="AS239" s="37"/>
    </row>
    <row r="240" spans="1:45" ht="14.25" customHeight="1" x14ac:dyDescent="0.3">
      <c r="A240" s="34"/>
      <c r="B240" s="16"/>
      <c r="C240" s="15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5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5"/>
      <c r="AI240" s="16"/>
      <c r="AJ240" s="16"/>
      <c r="AK240" s="16"/>
      <c r="AL240" s="16"/>
      <c r="AM240" s="37"/>
      <c r="AN240" s="37"/>
      <c r="AO240" s="37"/>
      <c r="AP240" s="37"/>
      <c r="AQ240" s="37"/>
      <c r="AR240" s="37"/>
      <c r="AS240" s="37"/>
    </row>
    <row r="241" spans="1:45" ht="14.25" customHeight="1" x14ac:dyDescent="0.3">
      <c r="A241" s="34"/>
      <c r="B241" s="16"/>
      <c r="C241" s="15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5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5"/>
      <c r="AI241" s="16"/>
      <c r="AJ241" s="16"/>
      <c r="AK241" s="16"/>
      <c r="AL241" s="16"/>
      <c r="AM241" s="37"/>
      <c r="AN241" s="37"/>
      <c r="AO241" s="37"/>
      <c r="AP241" s="37"/>
      <c r="AQ241" s="37"/>
      <c r="AR241" s="37"/>
      <c r="AS241" s="37"/>
    </row>
    <row r="242" spans="1:45" ht="14.25" customHeight="1" x14ac:dyDescent="0.3">
      <c r="A242" s="34"/>
      <c r="B242" s="16"/>
      <c r="C242" s="15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5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5"/>
      <c r="AI242" s="16"/>
      <c r="AJ242" s="16"/>
      <c r="AK242" s="16"/>
      <c r="AL242" s="16"/>
      <c r="AM242" s="37"/>
      <c r="AN242" s="37"/>
      <c r="AO242" s="37"/>
      <c r="AP242" s="37"/>
      <c r="AQ242" s="37"/>
      <c r="AR242" s="37"/>
      <c r="AS242" s="37"/>
    </row>
    <row r="243" spans="1:45" ht="14.25" customHeight="1" x14ac:dyDescent="0.3">
      <c r="A243" s="34"/>
      <c r="B243" s="16"/>
      <c r="C243" s="15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5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5"/>
      <c r="AI243" s="16"/>
      <c r="AJ243" s="16"/>
      <c r="AK243" s="16"/>
      <c r="AL243" s="16"/>
      <c r="AM243" s="37"/>
      <c r="AN243" s="37"/>
      <c r="AO243" s="37"/>
      <c r="AP243" s="37"/>
      <c r="AQ243" s="37"/>
      <c r="AR243" s="37"/>
      <c r="AS243" s="37"/>
    </row>
    <row r="244" spans="1:45" ht="14.25" customHeight="1" x14ac:dyDescent="0.3">
      <c r="A244" s="34"/>
      <c r="B244" s="16"/>
      <c r="C244" s="15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5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5"/>
      <c r="AI244" s="16"/>
      <c r="AJ244" s="16"/>
      <c r="AK244" s="16"/>
      <c r="AL244" s="16"/>
      <c r="AM244" s="37"/>
      <c r="AN244" s="37"/>
      <c r="AO244" s="37"/>
      <c r="AP244" s="37"/>
      <c r="AQ244" s="37"/>
      <c r="AR244" s="37"/>
      <c r="AS244" s="37"/>
    </row>
    <row r="245" spans="1:45" ht="14.25" customHeight="1" x14ac:dyDescent="0.3">
      <c r="A245" s="34"/>
      <c r="B245" s="16"/>
      <c r="C245" s="15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5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5"/>
      <c r="AI245" s="16"/>
      <c r="AJ245" s="16"/>
      <c r="AK245" s="16"/>
      <c r="AL245" s="16"/>
      <c r="AM245" s="37"/>
      <c r="AN245" s="37"/>
      <c r="AO245" s="37"/>
      <c r="AP245" s="37"/>
      <c r="AQ245" s="37"/>
      <c r="AR245" s="37"/>
      <c r="AS245" s="37"/>
    </row>
    <row r="246" spans="1:45" ht="14.25" customHeight="1" x14ac:dyDescent="0.3">
      <c r="A246" s="34"/>
      <c r="B246" s="16"/>
      <c r="C246" s="15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5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5"/>
      <c r="AI246" s="16"/>
      <c r="AJ246" s="16"/>
      <c r="AK246" s="16"/>
      <c r="AL246" s="16"/>
      <c r="AM246" s="37"/>
      <c r="AN246" s="37"/>
      <c r="AO246" s="37"/>
      <c r="AP246" s="37"/>
      <c r="AQ246" s="37"/>
      <c r="AR246" s="37"/>
      <c r="AS246" s="37"/>
    </row>
    <row r="247" spans="1:45" ht="14.25" customHeight="1" x14ac:dyDescent="0.3">
      <c r="A247" s="34"/>
      <c r="B247" s="16"/>
      <c r="C247" s="15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5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5"/>
      <c r="AI247" s="16"/>
      <c r="AJ247" s="16"/>
      <c r="AK247" s="16"/>
      <c r="AL247" s="16"/>
      <c r="AM247" s="37"/>
      <c r="AN247" s="37"/>
      <c r="AO247" s="37"/>
      <c r="AP247" s="37"/>
      <c r="AQ247" s="37"/>
      <c r="AR247" s="37"/>
      <c r="AS247" s="37"/>
    </row>
    <row r="248" spans="1:45" ht="14.25" customHeight="1" x14ac:dyDescent="0.3">
      <c r="A248" s="34"/>
      <c r="B248" s="16"/>
      <c r="C248" s="15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5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5"/>
      <c r="AI248" s="16"/>
      <c r="AJ248" s="16"/>
      <c r="AK248" s="16"/>
      <c r="AL248" s="16"/>
      <c r="AM248" s="37"/>
      <c r="AN248" s="37"/>
      <c r="AO248" s="37"/>
      <c r="AP248" s="37"/>
      <c r="AQ248" s="37"/>
      <c r="AR248" s="37"/>
      <c r="AS248" s="37"/>
    </row>
    <row r="249" spans="1:45" ht="14.25" customHeight="1" x14ac:dyDescent="0.3">
      <c r="A249" s="34"/>
      <c r="B249" s="16"/>
      <c r="C249" s="15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5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5"/>
      <c r="AI249" s="16"/>
      <c r="AJ249" s="16"/>
      <c r="AK249" s="16"/>
      <c r="AL249" s="16"/>
      <c r="AM249" s="37"/>
      <c r="AN249" s="37"/>
      <c r="AO249" s="37"/>
      <c r="AP249" s="37"/>
      <c r="AQ249" s="37"/>
      <c r="AR249" s="37"/>
      <c r="AS249" s="37"/>
    </row>
    <row r="250" spans="1:45" ht="14.25" customHeight="1" x14ac:dyDescent="0.3">
      <c r="A250" s="34"/>
      <c r="B250" s="16"/>
      <c r="C250" s="15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5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5"/>
      <c r="AI250" s="16"/>
      <c r="AJ250" s="16"/>
      <c r="AK250" s="16"/>
      <c r="AL250" s="16"/>
      <c r="AM250" s="37"/>
      <c r="AN250" s="37"/>
      <c r="AO250" s="37"/>
      <c r="AP250" s="37"/>
      <c r="AQ250" s="37"/>
      <c r="AR250" s="37"/>
      <c r="AS250" s="37"/>
    </row>
    <row r="251" spans="1:45" ht="14.25" customHeight="1" x14ac:dyDescent="0.3">
      <c r="A251" s="34"/>
      <c r="B251" s="16"/>
      <c r="C251" s="15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5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5"/>
      <c r="AI251" s="16"/>
      <c r="AJ251" s="16"/>
      <c r="AK251" s="16"/>
      <c r="AL251" s="16"/>
      <c r="AM251" s="37"/>
      <c r="AN251" s="37"/>
      <c r="AO251" s="37"/>
      <c r="AP251" s="37"/>
      <c r="AQ251" s="37"/>
      <c r="AR251" s="37"/>
      <c r="AS251" s="37"/>
    </row>
    <row r="252" spans="1:45" ht="14.25" customHeight="1" x14ac:dyDescent="0.3">
      <c r="A252" s="34"/>
      <c r="B252" s="16"/>
      <c r="C252" s="15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5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5"/>
      <c r="AI252" s="16"/>
      <c r="AJ252" s="16"/>
      <c r="AK252" s="16"/>
      <c r="AL252" s="16"/>
      <c r="AM252" s="37"/>
      <c r="AN252" s="37"/>
      <c r="AO252" s="37"/>
      <c r="AP252" s="37"/>
      <c r="AQ252" s="37"/>
      <c r="AR252" s="37"/>
      <c r="AS252" s="37"/>
    </row>
    <row r="253" spans="1:45" ht="14.25" customHeight="1" x14ac:dyDescent="0.3">
      <c r="A253" s="34"/>
      <c r="B253" s="16"/>
      <c r="C253" s="15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5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5"/>
      <c r="AI253" s="16"/>
      <c r="AJ253" s="16"/>
      <c r="AK253" s="16"/>
      <c r="AL253" s="16"/>
      <c r="AM253" s="37"/>
      <c r="AN253" s="37"/>
      <c r="AO253" s="37"/>
      <c r="AP253" s="37"/>
      <c r="AQ253" s="37"/>
      <c r="AR253" s="37"/>
      <c r="AS253" s="37"/>
    </row>
    <row r="254" spans="1:45" ht="14.25" customHeight="1" x14ac:dyDescent="0.3">
      <c r="A254" s="34"/>
      <c r="B254" s="16"/>
      <c r="C254" s="15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5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5"/>
      <c r="AI254" s="16"/>
      <c r="AJ254" s="16"/>
      <c r="AK254" s="16"/>
      <c r="AL254" s="16"/>
      <c r="AM254" s="37"/>
      <c r="AN254" s="37"/>
      <c r="AO254" s="37"/>
      <c r="AP254" s="37"/>
      <c r="AQ254" s="37"/>
      <c r="AR254" s="37"/>
      <c r="AS254" s="37"/>
    </row>
    <row r="255" spans="1:45" ht="14.25" customHeight="1" x14ac:dyDescent="0.3">
      <c r="A255" s="34"/>
      <c r="B255" s="16"/>
      <c r="C255" s="15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5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5"/>
      <c r="AI255" s="16"/>
      <c r="AJ255" s="16"/>
      <c r="AK255" s="16"/>
      <c r="AL255" s="16"/>
      <c r="AM255" s="37"/>
      <c r="AN255" s="37"/>
      <c r="AO255" s="37"/>
      <c r="AP255" s="37"/>
      <c r="AQ255" s="37"/>
      <c r="AR255" s="37"/>
      <c r="AS255" s="37"/>
    </row>
    <row r="256" spans="1:45" ht="14.25" customHeight="1" x14ac:dyDescent="0.3">
      <c r="A256" s="34"/>
      <c r="B256" s="16"/>
      <c r="C256" s="15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5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5"/>
      <c r="AI256" s="16"/>
      <c r="AJ256" s="16"/>
      <c r="AK256" s="16"/>
      <c r="AL256" s="16"/>
      <c r="AM256" s="37"/>
      <c r="AN256" s="37"/>
      <c r="AO256" s="37"/>
      <c r="AP256" s="37"/>
      <c r="AQ256" s="37"/>
      <c r="AR256" s="37"/>
      <c r="AS256" s="37"/>
    </row>
    <row r="257" spans="1:45" ht="14.25" customHeight="1" x14ac:dyDescent="0.3">
      <c r="A257" s="34"/>
      <c r="B257" s="16"/>
      <c r="C257" s="15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5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5"/>
      <c r="AI257" s="16"/>
      <c r="AJ257" s="16"/>
      <c r="AK257" s="16"/>
      <c r="AL257" s="16"/>
      <c r="AM257" s="37"/>
      <c r="AN257" s="37"/>
      <c r="AO257" s="37"/>
      <c r="AP257" s="37"/>
      <c r="AQ257" s="37"/>
      <c r="AR257" s="37"/>
      <c r="AS257" s="37"/>
    </row>
    <row r="258" spans="1:45" ht="14.25" customHeight="1" x14ac:dyDescent="0.3">
      <c r="A258" s="34"/>
      <c r="B258" s="16"/>
      <c r="C258" s="15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5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5"/>
      <c r="AI258" s="16"/>
      <c r="AJ258" s="16"/>
      <c r="AK258" s="16"/>
      <c r="AL258" s="16"/>
      <c r="AM258" s="37"/>
      <c r="AN258" s="37"/>
      <c r="AO258" s="37"/>
      <c r="AP258" s="37"/>
      <c r="AQ258" s="37"/>
      <c r="AR258" s="37"/>
      <c r="AS258" s="37"/>
    </row>
    <row r="259" spans="1:45" ht="14.25" customHeight="1" x14ac:dyDescent="0.3">
      <c r="A259" s="34"/>
      <c r="B259" s="16"/>
      <c r="C259" s="15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5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5"/>
      <c r="AI259" s="16"/>
      <c r="AJ259" s="16"/>
      <c r="AK259" s="16"/>
      <c r="AL259" s="16"/>
      <c r="AM259" s="37"/>
      <c r="AN259" s="37"/>
      <c r="AO259" s="37"/>
      <c r="AP259" s="37"/>
      <c r="AQ259" s="37"/>
      <c r="AR259" s="37"/>
      <c r="AS259" s="37"/>
    </row>
    <row r="260" spans="1:45" ht="14.25" customHeight="1" x14ac:dyDescent="0.3">
      <c r="A260" s="34"/>
      <c r="B260" s="16"/>
      <c r="C260" s="15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5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5"/>
      <c r="AI260" s="16"/>
      <c r="AJ260" s="16"/>
      <c r="AK260" s="16"/>
      <c r="AL260" s="16"/>
      <c r="AM260" s="37"/>
      <c r="AN260" s="37"/>
      <c r="AO260" s="37"/>
      <c r="AP260" s="37"/>
      <c r="AQ260" s="37"/>
      <c r="AR260" s="37"/>
      <c r="AS260" s="37"/>
    </row>
    <row r="261" spans="1:45" ht="14.25" customHeight="1" x14ac:dyDescent="0.3">
      <c r="A261" s="34"/>
      <c r="B261" s="16"/>
      <c r="C261" s="15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5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5"/>
      <c r="AI261" s="16"/>
      <c r="AJ261" s="16"/>
      <c r="AK261" s="16"/>
      <c r="AL261" s="16"/>
      <c r="AM261" s="37"/>
      <c r="AN261" s="37"/>
      <c r="AO261" s="37"/>
      <c r="AP261" s="37"/>
      <c r="AQ261" s="37"/>
      <c r="AR261" s="37"/>
      <c r="AS261" s="37"/>
    </row>
    <row r="262" spans="1:45" ht="14.25" customHeight="1" x14ac:dyDescent="0.3">
      <c r="A262" s="34"/>
      <c r="B262" s="16"/>
      <c r="C262" s="15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5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5"/>
      <c r="AI262" s="16"/>
      <c r="AJ262" s="16"/>
      <c r="AK262" s="16"/>
      <c r="AL262" s="16"/>
      <c r="AM262" s="37"/>
      <c r="AN262" s="37"/>
      <c r="AO262" s="37"/>
      <c r="AP262" s="37"/>
      <c r="AQ262" s="37"/>
      <c r="AR262" s="37"/>
      <c r="AS262" s="37"/>
    </row>
    <row r="263" spans="1:45" ht="14.25" customHeight="1" x14ac:dyDescent="0.3">
      <c r="A263" s="34"/>
      <c r="B263" s="16"/>
      <c r="C263" s="15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5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5"/>
      <c r="AI263" s="16"/>
      <c r="AJ263" s="16"/>
      <c r="AK263" s="16"/>
      <c r="AL263" s="16"/>
      <c r="AM263" s="37"/>
      <c r="AN263" s="37"/>
      <c r="AO263" s="37"/>
      <c r="AP263" s="37"/>
      <c r="AQ263" s="37"/>
      <c r="AR263" s="37"/>
      <c r="AS263" s="37"/>
    </row>
    <row r="264" spans="1:45" ht="14.25" customHeight="1" x14ac:dyDescent="0.3">
      <c r="A264" s="34"/>
      <c r="B264" s="16"/>
      <c r="C264" s="15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5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5"/>
      <c r="AI264" s="16"/>
      <c r="AJ264" s="16"/>
      <c r="AK264" s="16"/>
      <c r="AL264" s="16"/>
      <c r="AM264" s="37"/>
      <c r="AN264" s="37"/>
      <c r="AO264" s="37"/>
      <c r="AP264" s="37"/>
      <c r="AQ264" s="37"/>
      <c r="AR264" s="37"/>
      <c r="AS264" s="37"/>
    </row>
    <row r="265" spans="1:45" ht="14.25" customHeight="1" x14ac:dyDescent="0.3">
      <c r="A265" s="34"/>
      <c r="B265" s="16"/>
      <c r="C265" s="15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5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5"/>
      <c r="AI265" s="16"/>
      <c r="AJ265" s="16"/>
      <c r="AK265" s="16"/>
      <c r="AL265" s="16"/>
      <c r="AM265" s="37"/>
      <c r="AN265" s="37"/>
      <c r="AO265" s="37"/>
      <c r="AP265" s="37"/>
      <c r="AQ265" s="37"/>
      <c r="AR265" s="37"/>
      <c r="AS265" s="37"/>
    </row>
    <row r="266" spans="1:45" ht="14.25" customHeight="1" x14ac:dyDescent="0.3">
      <c r="A266" s="34"/>
      <c r="B266" s="16"/>
      <c r="C266" s="15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5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5"/>
      <c r="AI266" s="16"/>
      <c r="AJ266" s="16"/>
      <c r="AK266" s="16"/>
      <c r="AL266" s="16"/>
      <c r="AM266" s="37"/>
      <c r="AN266" s="37"/>
      <c r="AO266" s="37"/>
      <c r="AP266" s="37"/>
      <c r="AQ266" s="37"/>
      <c r="AR266" s="37"/>
      <c r="AS266" s="37"/>
    </row>
    <row r="267" spans="1:45" ht="14.25" customHeight="1" x14ac:dyDescent="0.3">
      <c r="A267" s="34"/>
      <c r="B267" s="16"/>
      <c r="C267" s="15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5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5"/>
      <c r="AI267" s="16"/>
      <c r="AJ267" s="16"/>
      <c r="AK267" s="16"/>
      <c r="AL267" s="16"/>
      <c r="AM267" s="37"/>
      <c r="AN267" s="37"/>
      <c r="AO267" s="37"/>
      <c r="AP267" s="37"/>
      <c r="AQ267" s="37"/>
      <c r="AR267" s="37"/>
      <c r="AS267" s="37"/>
    </row>
    <row r="268" spans="1:45" ht="14.25" customHeight="1" x14ac:dyDescent="0.3">
      <c r="A268" s="34"/>
      <c r="B268" s="16"/>
      <c r="C268" s="15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5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5"/>
      <c r="AI268" s="16"/>
      <c r="AJ268" s="16"/>
      <c r="AK268" s="16"/>
      <c r="AL268" s="16"/>
      <c r="AM268" s="37"/>
      <c r="AN268" s="37"/>
      <c r="AO268" s="37"/>
      <c r="AP268" s="37"/>
      <c r="AQ268" s="37"/>
      <c r="AR268" s="37"/>
      <c r="AS268" s="37"/>
    </row>
    <row r="269" spans="1:45" ht="14.25" customHeight="1" x14ac:dyDescent="0.3">
      <c r="A269" s="34"/>
      <c r="B269" s="16"/>
      <c r="C269" s="15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5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5"/>
      <c r="AI269" s="16"/>
      <c r="AJ269" s="16"/>
      <c r="AK269" s="16"/>
      <c r="AL269" s="16"/>
      <c r="AM269" s="37"/>
      <c r="AN269" s="37"/>
      <c r="AO269" s="37"/>
      <c r="AP269" s="37"/>
      <c r="AQ269" s="37"/>
      <c r="AR269" s="37"/>
      <c r="AS269" s="37"/>
    </row>
    <row r="270" spans="1:45" ht="14.25" customHeight="1" x14ac:dyDescent="0.3">
      <c r="A270" s="34"/>
      <c r="B270" s="16"/>
      <c r="C270" s="15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5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5"/>
      <c r="AI270" s="16"/>
      <c r="AJ270" s="16"/>
      <c r="AK270" s="16"/>
      <c r="AL270" s="16"/>
      <c r="AM270" s="37"/>
      <c r="AN270" s="37"/>
      <c r="AO270" s="37"/>
      <c r="AP270" s="37"/>
      <c r="AQ270" s="37"/>
      <c r="AR270" s="37"/>
      <c r="AS270" s="37"/>
    </row>
    <row r="271" spans="1:45" ht="14.25" customHeight="1" x14ac:dyDescent="0.3">
      <c r="A271" s="34"/>
      <c r="B271" s="16"/>
      <c r="C271" s="15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5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5"/>
      <c r="AI271" s="16"/>
      <c r="AJ271" s="16"/>
      <c r="AK271" s="16"/>
      <c r="AL271" s="16"/>
      <c r="AM271" s="37"/>
      <c r="AN271" s="37"/>
      <c r="AO271" s="37"/>
      <c r="AP271" s="37"/>
      <c r="AQ271" s="37"/>
      <c r="AR271" s="37"/>
      <c r="AS271" s="37"/>
    </row>
    <row r="272" spans="1:45" ht="14.25" customHeight="1" x14ac:dyDescent="0.3">
      <c r="A272" s="34"/>
      <c r="B272" s="16"/>
      <c r="C272" s="15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5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5"/>
      <c r="AI272" s="16"/>
      <c r="AJ272" s="16"/>
      <c r="AK272" s="16"/>
      <c r="AL272" s="16"/>
      <c r="AM272" s="37"/>
      <c r="AN272" s="37"/>
      <c r="AO272" s="37"/>
      <c r="AP272" s="37"/>
      <c r="AQ272" s="37"/>
      <c r="AR272" s="37"/>
      <c r="AS272" s="37"/>
    </row>
    <row r="273" spans="1:45" ht="14.25" customHeight="1" x14ac:dyDescent="0.3">
      <c r="A273" s="34"/>
      <c r="B273" s="16"/>
      <c r="C273" s="15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5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5"/>
      <c r="AI273" s="16"/>
      <c r="AJ273" s="16"/>
      <c r="AK273" s="16"/>
      <c r="AL273" s="16"/>
      <c r="AM273" s="37"/>
      <c r="AN273" s="37"/>
      <c r="AO273" s="37"/>
      <c r="AP273" s="37"/>
      <c r="AQ273" s="37"/>
      <c r="AR273" s="37"/>
      <c r="AS273" s="37"/>
    </row>
    <row r="274" spans="1:45" ht="14.25" customHeight="1" x14ac:dyDescent="0.3">
      <c r="A274" s="34"/>
      <c r="B274" s="16"/>
      <c r="C274" s="15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5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5"/>
      <c r="AI274" s="16"/>
      <c r="AJ274" s="16"/>
      <c r="AK274" s="16"/>
      <c r="AL274" s="16"/>
      <c r="AM274" s="37"/>
      <c r="AN274" s="37"/>
      <c r="AO274" s="37"/>
      <c r="AP274" s="37"/>
      <c r="AQ274" s="37"/>
      <c r="AR274" s="37"/>
      <c r="AS274" s="37"/>
    </row>
    <row r="275" spans="1:45" ht="14.25" customHeight="1" x14ac:dyDescent="0.3">
      <c r="A275" s="34"/>
      <c r="B275" s="16"/>
      <c r="C275" s="15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5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5"/>
      <c r="AI275" s="16"/>
      <c r="AJ275" s="16"/>
      <c r="AK275" s="16"/>
      <c r="AL275" s="16"/>
      <c r="AM275" s="37"/>
      <c r="AN275" s="37"/>
      <c r="AO275" s="37"/>
      <c r="AP275" s="37"/>
      <c r="AQ275" s="37"/>
      <c r="AR275" s="37"/>
      <c r="AS275" s="37"/>
    </row>
    <row r="276" spans="1:45" ht="14.25" customHeight="1" x14ac:dyDescent="0.3">
      <c r="A276" s="34"/>
      <c r="B276" s="16"/>
      <c r="C276" s="15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5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5"/>
      <c r="AI276" s="16"/>
      <c r="AJ276" s="16"/>
      <c r="AK276" s="16"/>
      <c r="AL276" s="16"/>
      <c r="AM276" s="37"/>
      <c r="AN276" s="37"/>
      <c r="AO276" s="37"/>
      <c r="AP276" s="37"/>
      <c r="AQ276" s="37"/>
      <c r="AR276" s="37"/>
      <c r="AS276" s="37"/>
    </row>
    <row r="277" spans="1:45" ht="14.25" customHeight="1" x14ac:dyDescent="0.3">
      <c r="A277" s="34"/>
      <c r="B277" s="16"/>
      <c r="C277" s="15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5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5"/>
      <c r="AI277" s="16"/>
      <c r="AJ277" s="16"/>
      <c r="AK277" s="16"/>
      <c r="AL277" s="16"/>
      <c r="AM277" s="37"/>
      <c r="AN277" s="37"/>
      <c r="AO277" s="37"/>
      <c r="AP277" s="37"/>
      <c r="AQ277" s="37"/>
      <c r="AR277" s="37"/>
      <c r="AS277" s="37"/>
    </row>
    <row r="278" spans="1:45" ht="14.25" customHeight="1" x14ac:dyDescent="0.3">
      <c r="A278" s="34"/>
      <c r="B278" s="16"/>
      <c r="C278" s="15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5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5"/>
      <c r="AI278" s="16"/>
      <c r="AJ278" s="16"/>
      <c r="AK278" s="16"/>
      <c r="AL278" s="16"/>
      <c r="AM278" s="37"/>
      <c r="AN278" s="37"/>
      <c r="AO278" s="37"/>
      <c r="AP278" s="37"/>
      <c r="AQ278" s="37"/>
      <c r="AR278" s="37"/>
      <c r="AS278" s="37"/>
    </row>
    <row r="279" spans="1:45" ht="14.25" customHeight="1" x14ac:dyDescent="0.3">
      <c r="A279" s="34"/>
      <c r="B279" s="16"/>
      <c r="C279" s="15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5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5"/>
      <c r="AI279" s="16"/>
      <c r="AJ279" s="16"/>
      <c r="AK279" s="16"/>
      <c r="AL279" s="16"/>
      <c r="AM279" s="37"/>
      <c r="AN279" s="37"/>
      <c r="AO279" s="37"/>
      <c r="AP279" s="37"/>
      <c r="AQ279" s="37"/>
      <c r="AR279" s="37"/>
      <c r="AS279" s="37"/>
    </row>
    <row r="280" spans="1:45" ht="14.25" customHeight="1" x14ac:dyDescent="0.3">
      <c r="A280" s="34"/>
      <c r="B280" s="16"/>
      <c r="C280" s="15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5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5"/>
      <c r="AI280" s="16"/>
      <c r="AJ280" s="16"/>
      <c r="AK280" s="16"/>
      <c r="AL280" s="16"/>
      <c r="AM280" s="37"/>
      <c r="AN280" s="37"/>
      <c r="AO280" s="37"/>
      <c r="AP280" s="37"/>
      <c r="AQ280" s="37"/>
      <c r="AR280" s="37"/>
      <c r="AS280" s="37"/>
    </row>
    <row r="281" spans="1:45" ht="14.25" customHeight="1" x14ac:dyDescent="0.3">
      <c r="A281" s="34"/>
      <c r="B281" s="16"/>
      <c r="C281" s="15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5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5"/>
      <c r="AI281" s="16"/>
      <c r="AJ281" s="16"/>
      <c r="AK281" s="16"/>
      <c r="AL281" s="16"/>
      <c r="AM281" s="37"/>
      <c r="AN281" s="37"/>
      <c r="AO281" s="37"/>
      <c r="AP281" s="37"/>
      <c r="AQ281" s="37"/>
      <c r="AR281" s="37"/>
      <c r="AS281" s="37"/>
    </row>
    <row r="282" spans="1:45" ht="14.25" customHeight="1" x14ac:dyDescent="0.3">
      <c r="A282" s="34"/>
      <c r="B282" s="16"/>
      <c r="C282" s="15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5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5"/>
      <c r="AI282" s="16"/>
      <c r="AJ282" s="16"/>
      <c r="AK282" s="16"/>
      <c r="AL282" s="16"/>
      <c r="AM282" s="37"/>
      <c r="AN282" s="37"/>
      <c r="AO282" s="37"/>
      <c r="AP282" s="37"/>
      <c r="AQ282" s="37"/>
      <c r="AR282" s="37"/>
      <c r="AS282" s="37"/>
    </row>
    <row r="283" spans="1:45" ht="14.25" customHeight="1" x14ac:dyDescent="0.3">
      <c r="A283" s="34"/>
      <c r="B283" s="16"/>
      <c r="C283" s="15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5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5"/>
      <c r="AI283" s="16"/>
      <c r="AJ283" s="16"/>
      <c r="AK283" s="16"/>
      <c r="AL283" s="16"/>
      <c r="AM283" s="37"/>
      <c r="AN283" s="37"/>
      <c r="AO283" s="37"/>
      <c r="AP283" s="37"/>
      <c r="AQ283" s="37"/>
      <c r="AR283" s="37"/>
      <c r="AS283" s="37"/>
    </row>
    <row r="284" spans="1:45" ht="14.25" customHeight="1" x14ac:dyDescent="0.3">
      <c r="A284" s="34"/>
      <c r="B284" s="16"/>
      <c r="C284" s="15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5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5"/>
      <c r="AI284" s="16"/>
      <c r="AJ284" s="16"/>
      <c r="AK284" s="16"/>
      <c r="AL284" s="16"/>
      <c r="AM284" s="37"/>
      <c r="AN284" s="37"/>
      <c r="AO284" s="37"/>
      <c r="AP284" s="37"/>
      <c r="AQ284" s="37"/>
      <c r="AR284" s="37"/>
      <c r="AS284" s="37"/>
    </row>
    <row r="285" spans="1:45" ht="14.25" customHeight="1" x14ac:dyDescent="0.3">
      <c r="A285" s="34"/>
      <c r="B285" s="16"/>
      <c r="C285" s="15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5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5"/>
      <c r="AI285" s="16"/>
      <c r="AJ285" s="16"/>
      <c r="AK285" s="16"/>
      <c r="AL285" s="16"/>
      <c r="AM285" s="37"/>
      <c r="AN285" s="37"/>
      <c r="AO285" s="37"/>
      <c r="AP285" s="37"/>
      <c r="AQ285" s="37"/>
      <c r="AR285" s="37"/>
      <c r="AS285" s="37"/>
    </row>
    <row r="286" spans="1:45" ht="14.25" customHeight="1" x14ac:dyDescent="0.3">
      <c r="A286" s="34"/>
      <c r="B286" s="16"/>
      <c r="C286" s="15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5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5"/>
      <c r="AI286" s="16"/>
      <c r="AJ286" s="16"/>
      <c r="AK286" s="16"/>
      <c r="AL286" s="16"/>
      <c r="AM286" s="37"/>
      <c r="AN286" s="37"/>
      <c r="AO286" s="37"/>
      <c r="AP286" s="37"/>
      <c r="AQ286" s="37"/>
      <c r="AR286" s="37"/>
      <c r="AS286" s="37"/>
    </row>
    <row r="287" spans="1:45" ht="14.25" customHeight="1" x14ac:dyDescent="0.3">
      <c r="A287" s="34"/>
      <c r="B287" s="16"/>
      <c r="C287" s="15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5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5"/>
      <c r="AI287" s="16"/>
      <c r="AJ287" s="16"/>
      <c r="AK287" s="16"/>
      <c r="AL287" s="16"/>
      <c r="AM287" s="37"/>
      <c r="AN287" s="37"/>
      <c r="AO287" s="37"/>
      <c r="AP287" s="37"/>
      <c r="AQ287" s="37"/>
      <c r="AR287" s="37"/>
      <c r="AS287" s="37"/>
    </row>
    <row r="288" spans="1:45" ht="14.25" customHeight="1" x14ac:dyDescent="0.3">
      <c r="A288" s="34"/>
      <c r="B288" s="16"/>
      <c r="C288" s="15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5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5"/>
      <c r="AI288" s="16"/>
      <c r="AJ288" s="16"/>
      <c r="AK288" s="16"/>
      <c r="AL288" s="16"/>
      <c r="AM288" s="37"/>
      <c r="AN288" s="37"/>
      <c r="AO288" s="37"/>
      <c r="AP288" s="37"/>
      <c r="AQ288" s="37"/>
      <c r="AR288" s="37"/>
      <c r="AS288" s="37"/>
    </row>
    <row r="289" spans="1:45" ht="14.25" customHeight="1" x14ac:dyDescent="0.3">
      <c r="A289" s="34"/>
      <c r="B289" s="16"/>
      <c r="C289" s="15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5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5"/>
      <c r="AI289" s="16"/>
      <c r="AJ289" s="16"/>
      <c r="AK289" s="16"/>
      <c r="AL289" s="16"/>
      <c r="AM289" s="37"/>
      <c r="AN289" s="37"/>
      <c r="AO289" s="37"/>
      <c r="AP289" s="37"/>
      <c r="AQ289" s="37"/>
      <c r="AR289" s="37"/>
      <c r="AS289" s="37"/>
    </row>
    <row r="290" spans="1:45" ht="14.25" customHeight="1" x14ac:dyDescent="0.3">
      <c r="A290" s="34"/>
      <c r="B290" s="16"/>
      <c r="C290" s="15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5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5"/>
      <c r="AI290" s="16"/>
      <c r="AJ290" s="16"/>
      <c r="AK290" s="16"/>
      <c r="AL290" s="16"/>
      <c r="AM290" s="37"/>
      <c r="AN290" s="37"/>
      <c r="AO290" s="37"/>
      <c r="AP290" s="37"/>
      <c r="AQ290" s="37"/>
      <c r="AR290" s="37"/>
      <c r="AS290" s="37"/>
    </row>
    <row r="291" spans="1:45" ht="14.25" customHeight="1" x14ac:dyDescent="0.3">
      <c r="A291" s="34"/>
      <c r="B291" s="16"/>
      <c r="C291" s="15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5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5"/>
      <c r="AI291" s="16"/>
      <c r="AJ291" s="16"/>
      <c r="AK291" s="16"/>
      <c r="AL291" s="16"/>
      <c r="AM291" s="37"/>
      <c r="AN291" s="37"/>
      <c r="AO291" s="37"/>
      <c r="AP291" s="37"/>
      <c r="AQ291" s="37"/>
      <c r="AR291" s="37"/>
      <c r="AS291" s="37"/>
    </row>
    <row r="292" spans="1:45" ht="14.25" customHeight="1" x14ac:dyDescent="0.3">
      <c r="A292" s="34"/>
      <c r="B292" s="16"/>
      <c r="C292" s="15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5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5"/>
      <c r="AI292" s="16"/>
      <c r="AJ292" s="16"/>
      <c r="AK292" s="16"/>
      <c r="AL292" s="16"/>
      <c r="AM292" s="37"/>
      <c r="AN292" s="37"/>
      <c r="AO292" s="37"/>
      <c r="AP292" s="37"/>
      <c r="AQ292" s="37"/>
      <c r="AR292" s="37"/>
      <c r="AS292" s="37"/>
    </row>
    <row r="293" spans="1:45" ht="14.25" customHeight="1" x14ac:dyDescent="0.3">
      <c r="A293" s="34"/>
      <c r="B293" s="16"/>
      <c r="C293" s="15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5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5"/>
      <c r="AI293" s="16"/>
      <c r="AJ293" s="16"/>
      <c r="AK293" s="16"/>
      <c r="AL293" s="16"/>
      <c r="AM293" s="37"/>
      <c r="AN293" s="37"/>
      <c r="AO293" s="37"/>
      <c r="AP293" s="37"/>
      <c r="AQ293" s="37"/>
      <c r="AR293" s="37"/>
      <c r="AS293" s="37"/>
    </row>
    <row r="294" spans="1:45" ht="14.25" customHeight="1" x14ac:dyDescent="0.3">
      <c r="A294" s="34"/>
      <c r="B294" s="16"/>
      <c r="C294" s="15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5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5"/>
      <c r="AI294" s="16"/>
      <c r="AJ294" s="16"/>
      <c r="AK294" s="16"/>
      <c r="AL294" s="16"/>
      <c r="AM294" s="37"/>
      <c r="AN294" s="37"/>
      <c r="AO294" s="37"/>
      <c r="AP294" s="37"/>
      <c r="AQ294" s="37"/>
      <c r="AR294" s="37"/>
      <c r="AS294" s="37"/>
    </row>
    <row r="295" spans="1:45" ht="14.25" customHeight="1" x14ac:dyDescent="0.3">
      <c r="A295" s="34"/>
      <c r="B295" s="16"/>
      <c r="C295" s="15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5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5"/>
      <c r="AI295" s="16"/>
      <c r="AJ295" s="16"/>
      <c r="AK295" s="16"/>
      <c r="AL295" s="16"/>
      <c r="AM295" s="37"/>
      <c r="AN295" s="37"/>
      <c r="AO295" s="37"/>
      <c r="AP295" s="37"/>
      <c r="AQ295" s="37"/>
      <c r="AR295" s="37"/>
      <c r="AS295" s="37"/>
    </row>
    <row r="296" spans="1:45" ht="14.25" customHeight="1" x14ac:dyDescent="0.3">
      <c r="A296" s="34"/>
      <c r="B296" s="16"/>
      <c r="C296" s="15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5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5"/>
      <c r="AI296" s="16"/>
      <c r="AJ296" s="16"/>
      <c r="AK296" s="16"/>
      <c r="AL296" s="16"/>
      <c r="AM296" s="37"/>
      <c r="AN296" s="37"/>
      <c r="AO296" s="37"/>
      <c r="AP296" s="37"/>
      <c r="AQ296" s="37"/>
      <c r="AR296" s="37"/>
      <c r="AS296" s="37"/>
    </row>
    <row r="297" spans="1:45" ht="14.25" customHeight="1" x14ac:dyDescent="0.3">
      <c r="A297" s="34"/>
      <c r="B297" s="16"/>
      <c r="C297" s="15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5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5"/>
      <c r="AI297" s="16"/>
      <c r="AJ297" s="16"/>
      <c r="AK297" s="16"/>
      <c r="AL297" s="16"/>
      <c r="AM297" s="37"/>
      <c r="AN297" s="37"/>
      <c r="AO297" s="37"/>
      <c r="AP297" s="37"/>
      <c r="AQ297" s="37"/>
      <c r="AR297" s="37"/>
      <c r="AS297" s="37"/>
    </row>
    <row r="298" spans="1:45" ht="14.25" customHeight="1" x14ac:dyDescent="0.3">
      <c r="A298" s="34"/>
      <c r="B298" s="16"/>
      <c r="C298" s="15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5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5"/>
      <c r="AI298" s="16"/>
      <c r="AJ298" s="16"/>
      <c r="AK298" s="16"/>
      <c r="AL298" s="16"/>
      <c r="AM298" s="37"/>
      <c r="AN298" s="37"/>
      <c r="AO298" s="37"/>
      <c r="AP298" s="37"/>
      <c r="AQ298" s="37"/>
      <c r="AR298" s="37"/>
      <c r="AS298" s="37"/>
    </row>
    <row r="299" spans="1:45" ht="14.25" customHeight="1" x14ac:dyDescent="0.3">
      <c r="A299" s="34"/>
      <c r="B299" s="16"/>
      <c r="C299" s="15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5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5"/>
      <c r="AI299" s="16"/>
      <c r="AJ299" s="16"/>
      <c r="AK299" s="16"/>
      <c r="AL299" s="16"/>
      <c r="AM299" s="37"/>
      <c r="AN299" s="37"/>
      <c r="AO299" s="37"/>
      <c r="AP299" s="37"/>
      <c r="AQ299" s="37"/>
      <c r="AR299" s="37"/>
      <c r="AS299" s="37"/>
    </row>
    <row r="300" spans="1:45" ht="14.25" customHeight="1" x14ac:dyDescent="0.3">
      <c r="A300" s="34"/>
      <c r="B300" s="16"/>
      <c r="C300" s="15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5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5"/>
      <c r="AI300" s="16"/>
      <c r="AJ300" s="16"/>
      <c r="AK300" s="16"/>
      <c r="AL300" s="16"/>
      <c r="AM300" s="37"/>
      <c r="AN300" s="37"/>
      <c r="AO300" s="37"/>
      <c r="AP300" s="37"/>
      <c r="AQ300" s="37"/>
      <c r="AR300" s="37"/>
      <c r="AS300" s="37"/>
    </row>
    <row r="301" spans="1:45" ht="14.25" customHeight="1" x14ac:dyDescent="0.3">
      <c r="A301" s="34"/>
      <c r="B301" s="16"/>
      <c r="C301" s="15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5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5"/>
      <c r="AI301" s="16"/>
      <c r="AJ301" s="16"/>
      <c r="AK301" s="16"/>
      <c r="AL301" s="16"/>
      <c r="AM301" s="37"/>
      <c r="AN301" s="37"/>
      <c r="AO301" s="37"/>
      <c r="AP301" s="37"/>
      <c r="AQ301" s="37"/>
      <c r="AR301" s="37"/>
      <c r="AS301" s="37"/>
    </row>
    <row r="302" spans="1:45" ht="14.25" customHeight="1" x14ac:dyDescent="0.3">
      <c r="A302" s="34"/>
      <c r="B302" s="16"/>
      <c r="C302" s="15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5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5"/>
      <c r="AI302" s="16"/>
      <c r="AJ302" s="16"/>
      <c r="AK302" s="16"/>
      <c r="AL302" s="16"/>
      <c r="AM302" s="37"/>
      <c r="AN302" s="37"/>
      <c r="AO302" s="37"/>
      <c r="AP302" s="37"/>
      <c r="AQ302" s="37"/>
      <c r="AR302" s="37"/>
      <c r="AS302" s="37"/>
    </row>
    <row r="303" spans="1:45" ht="14.25" customHeight="1" x14ac:dyDescent="0.3">
      <c r="A303" s="34"/>
      <c r="B303" s="16"/>
      <c r="C303" s="15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5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5"/>
      <c r="AI303" s="16"/>
      <c r="AJ303" s="16"/>
      <c r="AK303" s="16"/>
      <c r="AL303" s="16"/>
      <c r="AM303" s="37"/>
      <c r="AN303" s="37"/>
      <c r="AO303" s="37"/>
      <c r="AP303" s="37"/>
      <c r="AQ303" s="37"/>
      <c r="AR303" s="37"/>
      <c r="AS303" s="37"/>
    </row>
    <row r="304" spans="1:45" ht="14.25" customHeight="1" x14ac:dyDescent="0.3">
      <c r="A304" s="34"/>
      <c r="B304" s="16"/>
      <c r="C304" s="15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5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5"/>
      <c r="AI304" s="16"/>
      <c r="AJ304" s="16"/>
      <c r="AK304" s="16"/>
      <c r="AL304" s="16"/>
      <c r="AM304" s="37"/>
      <c r="AN304" s="37"/>
      <c r="AO304" s="37"/>
      <c r="AP304" s="37"/>
      <c r="AQ304" s="37"/>
      <c r="AR304" s="37"/>
      <c r="AS304" s="37"/>
    </row>
    <row r="305" spans="1:45" ht="14.25" customHeight="1" x14ac:dyDescent="0.3">
      <c r="A305" s="34"/>
      <c r="B305" s="16"/>
      <c r="C305" s="15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5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5"/>
      <c r="AI305" s="16"/>
      <c r="AJ305" s="16"/>
      <c r="AK305" s="16"/>
      <c r="AL305" s="16"/>
      <c r="AM305" s="37"/>
      <c r="AN305" s="37"/>
      <c r="AO305" s="37"/>
      <c r="AP305" s="37"/>
      <c r="AQ305" s="37"/>
      <c r="AR305" s="37"/>
      <c r="AS305" s="37"/>
    </row>
    <row r="306" spans="1:45" ht="14.25" customHeight="1" x14ac:dyDescent="0.3">
      <c r="A306" s="34"/>
      <c r="B306" s="16"/>
      <c r="C306" s="15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5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5"/>
      <c r="AI306" s="16"/>
      <c r="AJ306" s="16"/>
      <c r="AK306" s="16"/>
      <c r="AL306" s="16"/>
      <c r="AM306" s="37"/>
      <c r="AN306" s="37"/>
      <c r="AO306" s="37"/>
      <c r="AP306" s="37"/>
      <c r="AQ306" s="37"/>
      <c r="AR306" s="37"/>
      <c r="AS306" s="37"/>
    </row>
    <row r="307" spans="1:45" ht="14.25" customHeight="1" x14ac:dyDescent="0.3">
      <c r="A307" s="34"/>
      <c r="B307" s="16"/>
      <c r="C307" s="15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5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5"/>
      <c r="AI307" s="16"/>
      <c r="AJ307" s="16"/>
      <c r="AK307" s="16"/>
      <c r="AL307" s="16"/>
      <c r="AM307" s="37"/>
      <c r="AN307" s="37"/>
      <c r="AO307" s="37"/>
      <c r="AP307" s="37"/>
      <c r="AQ307" s="37"/>
      <c r="AR307" s="37"/>
      <c r="AS307" s="37"/>
    </row>
    <row r="308" spans="1:45" ht="14.25" customHeight="1" x14ac:dyDescent="0.3">
      <c r="A308" s="34"/>
      <c r="B308" s="16"/>
      <c r="C308" s="15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5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5"/>
      <c r="AI308" s="16"/>
      <c r="AJ308" s="16"/>
      <c r="AK308" s="16"/>
      <c r="AL308" s="16"/>
      <c r="AM308" s="37"/>
      <c r="AN308" s="37"/>
      <c r="AO308" s="37"/>
      <c r="AP308" s="37"/>
      <c r="AQ308" s="37"/>
      <c r="AR308" s="37"/>
      <c r="AS308" s="37"/>
    </row>
    <row r="309" spans="1:45" ht="14.25" customHeight="1" x14ac:dyDescent="0.3">
      <c r="A309" s="34"/>
      <c r="B309" s="16"/>
      <c r="C309" s="15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5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5"/>
      <c r="AI309" s="16"/>
      <c r="AJ309" s="16"/>
      <c r="AK309" s="16"/>
      <c r="AL309" s="16"/>
      <c r="AM309" s="37"/>
      <c r="AN309" s="37"/>
      <c r="AO309" s="37"/>
      <c r="AP309" s="37"/>
      <c r="AQ309" s="37"/>
      <c r="AR309" s="37"/>
      <c r="AS309" s="37"/>
    </row>
    <row r="310" spans="1:45" ht="14.25" customHeight="1" x14ac:dyDescent="0.3">
      <c r="A310" s="34"/>
      <c r="B310" s="16"/>
      <c r="C310" s="15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5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5"/>
      <c r="AI310" s="16"/>
      <c r="AJ310" s="16"/>
      <c r="AK310" s="16"/>
      <c r="AL310" s="16"/>
      <c r="AM310" s="37"/>
      <c r="AN310" s="37"/>
      <c r="AO310" s="37"/>
      <c r="AP310" s="37"/>
      <c r="AQ310" s="37"/>
      <c r="AR310" s="37"/>
      <c r="AS310" s="37"/>
    </row>
    <row r="311" spans="1:45" ht="14.25" customHeight="1" x14ac:dyDescent="0.3">
      <c r="A311" s="34"/>
      <c r="B311" s="16"/>
      <c r="C311" s="15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5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5"/>
      <c r="AI311" s="16"/>
      <c r="AJ311" s="16"/>
      <c r="AK311" s="16"/>
      <c r="AL311" s="16"/>
      <c r="AM311" s="37"/>
      <c r="AN311" s="37"/>
      <c r="AO311" s="37"/>
      <c r="AP311" s="37"/>
      <c r="AQ311" s="37"/>
      <c r="AR311" s="37"/>
      <c r="AS311" s="37"/>
    </row>
    <row r="312" spans="1:45" ht="14.25" customHeight="1" x14ac:dyDescent="0.3">
      <c r="A312" s="34"/>
      <c r="B312" s="16"/>
      <c r="C312" s="15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5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5"/>
      <c r="AI312" s="16"/>
      <c r="AJ312" s="16"/>
      <c r="AK312" s="16"/>
      <c r="AL312" s="16"/>
      <c r="AM312" s="37"/>
      <c r="AN312" s="37"/>
      <c r="AO312" s="37"/>
      <c r="AP312" s="37"/>
      <c r="AQ312" s="37"/>
      <c r="AR312" s="37"/>
      <c r="AS312" s="37"/>
    </row>
    <row r="313" spans="1:45" ht="14.25" customHeight="1" x14ac:dyDescent="0.3">
      <c r="A313" s="34"/>
      <c r="B313" s="16"/>
      <c r="C313" s="15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5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5"/>
      <c r="AI313" s="16"/>
      <c r="AJ313" s="16"/>
      <c r="AK313" s="16"/>
      <c r="AL313" s="16"/>
      <c r="AM313" s="37"/>
      <c r="AN313" s="37"/>
      <c r="AO313" s="37"/>
      <c r="AP313" s="37"/>
      <c r="AQ313" s="37"/>
      <c r="AR313" s="37"/>
      <c r="AS313" s="37"/>
    </row>
    <row r="314" spans="1:45" ht="14.25" customHeight="1" x14ac:dyDescent="0.3">
      <c r="A314" s="34"/>
      <c r="B314" s="16"/>
      <c r="C314" s="15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5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5"/>
      <c r="AI314" s="16"/>
      <c r="AJ314" s="16"/>
      <c r="AK314" s="16"/>
      <c r="AL314" s="16"/>
      <c r="AM314" s="37"/>
      <c r="AN314" s="37"/>
      <c r="AO314" s="37"/>
      <c r="AP314" s="37"/>
      <c r="AQ314" s="37"/>
      <c r="AR314" s="37"/>
      <c r="AS314" s="37"/>
    </row>
    <row r="315" spans="1:45" ht="14.25" customHeight="1" x14ac:dyDescent="0.3">
      <c r="A315" s="34"/>
      <c r="B315" s="16"/>
      <c r="C315" s="15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5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5"/>
      <c r="AI315" s="16"/>
      <c r="AJ315" s="16"/>
      <c r="AK315" s="16"/>
      <c r="AL315" s="16"/>
      <c r="AM315" s="37"/>
      <c r="AN315" s="37"/>
      <c r="AO315" s="37"/>
      <c r="AP315" s="37"/>
      <c r="AQ315" s="37"/>
      <c r="AR315" s="37"/>
      <c r="AS315" s="37"/>
    </row>
    <row r="316" spans="1:45" ht="14.25" customHeight="1" x14ac:dyDescent="0.3">
      <c r="A316" s="34"/>
      <c r="B316" s="16"/>
      <c r="C316" s="15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5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5"/>
      <c r="AI316" s="16"/>
      <c r="AJ316" s="16"/>
      <c r="AK316" s="16"/>
      <c r="AL316" s="16"/>
      <c r="AM316" s="37"/>
      <c r="AN316" s="37"/>
      <c r="AO316" s="37"/>
      <c r="AP316" s="37"/>
      <c r="AQ316" s="37"/>
      <c r="AR316" s="37"/>
      <c r="AS316" s="37"/>
    </row>
    <row r="317" spans="1:45" ht="14.25" customHeight="1" x14ac:dyDescent="0.3">
      <c r="A317" s="34"/>
      <c r="B317" s="16"/>
      <c r="C317" s="15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5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5"/>
      <c r="AI317" s="16"/>
      <c r="AJ317" s="16"/>
      <c r="AK317" s="16"/>
      <c r="AL317" s="16"/>
      <c r="AM317" s="37"/>
      <c r="AN317" s="37"/>
      <c r="AO317" s="37"/>
      <c r="AP317" s="37"/>
      <c r="AQ317" s="37"/>
      <c r="AR317" s="37"/>
      <c r="AS317" s="37"/>
    </row>
    <row r="318" spans="1:45" ht="14.25" customHeight="1" x14ac:dyDescent="0.3">
      <c r="A318" s="34"/>
      <c r="B318" s="16"/>
      <c r="C318" s="15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5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5"/>
      <c r="AI318" s="16"/>
      <c r="AJ318" s="16"/>
      <c r="AK318" s="16"/>
      <c r="AL318" s="16"/>
      <c r="AM318" s="37"/>
      <c r="AN318" s="37"/>
      <c r="AO318" s="37"/>
      <c r="AP318" s="37"/>
      <c r="AQ318" s="37"/>
      <c r="AR318" s="37"/>
      <c r="AS318" s="37"/>
    </row>
    <row r="319" spans="1:45" ht="14.25" customHeight="1" x14ac:dyDescent="0.3">
      <c r="A319" s="34"/>
      <c r="B319" s="16"/>
      <c r="C319" s="15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5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5"/>
      <c r="AI319" s="16"/>
      <c r="AJ319" s="16"/>
      <c r="AK319" s="16"/>
      <c r="AL319" s="16"/>
      <c r="AM319" s="37"/>
      <c r="AN319" s="37"/>
      <c r="AO319" s="37"/>
      <c r="AP319" s="37"/>
      <c r="AQ319" s="37"/>
      <c r="AR319" s="37"/>
      <c r="AS319" s="37"/>
    </row>
    <row r="320" spans="1:45" ht="14.25" customHeight="1" x14ac:dyDescent="0.3">
      <c r="A320" s="34"/>
      <c r="B320" s="16"/>
      <c r="C320" s="15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5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5"/>
      <c r="AI320" s="16"/>
      <c r="AJ320" s="16"/>
      <c r="AK320" s="16"/>
      <c r="AL320" s="16"/>
      <c r="AM320" s="37"/>
      <c r="AN320" s="37"/>
      <c r="AO320" s="37"/>
      <c r="AP320" s="37"/>
      <c r="AQ320" s="37"/>
      <c r="AR320" s="37"/>
      <c r="AS320" s="37"/>
    </row>
    <row r="321" spans="1:45" ht="14.25" customHeight="1" x14ac:dyDescent="0.3">
      <c r="A321" s="34"/>
      <c r="B321" s="16"/>
      <c r="C321" s="15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5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5"/>
      <c r="AI321" s="16"/>
      <c r="AJ321" s="16"/>
      <c r="AK321" s="16"/>
      <c r="AL321" s="16"/>
      <c r="AM321" s="37"/>
      <c r="AN321" s="37"/>
      <c r="AO321" s="37"/>
      <c r="AP321" s="37"/>
      <c r="AQ321" s="37"/>
      <c r="AR321" s="37"/>
      <c r="AS321" s="37"/>
    </row>
    <row r="322" spans="1:45" ht="14.25" customHeight="1" x14ac:dyDescent="0.3">
      <c r="A322" s="34"/>
      <c r="B322" s="16"/>
      <c r="C322" s="15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5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5"/>
      <c r="AI322" s="16"/>
      <c r="AJ322" s="16"/>
      <c r="AK322" s="16"/>
      <c r="AL322" s="16"/>
      <c r="AM322" s="37"/>
      <c r="AN322" s="37"/>
      <c r="AO322" s="37"/>
      <c r="AP322" s="37"/>
      <c r="AQ322" s="37"/>
      <c r="AR322" s="37"/>
      <c r="AS322" s="37"/>
    </row>
    <row r="323" spans="1:45" ht="14.25" customHeight="1" x14ac:dyDescent="0.3">
      <c r="A323" s="34"/>
      <c r="B323" s="16"/>
      <c r="C323" s="15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5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5"/>
      <c r="AI323" s="16"/>
      <c r="AJ323" s="16"/>
      <c r="AK323" s="16"/>
      <c r="AL323" s="16"/>
      <c r="AM323" s="37"/>
      <c r="AN323" s="37"/>
      <c r="AO323" s="37"/>
      <c r="AP323" s="37"/>
      <c r="AQ323" s="37"/>
      <c r="AR323" s="37"/>
      <c r="AS323" s="37"/>
    </row>
    <row r="324" spans="1:45" ht="14.25" customHeight="1" x14ac:dyDescent="0.3">
      <c r="A324" s="34"/>
      <c r="B324" s="16"/>
      <c r="C324" s="15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5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5"/>
      <c r="AI324" s="16"/>
      <c r="AJ324" s="16"/>
      <c r="AK324" s="16"/>
      <c r="AL324" s="16"/>
      <c r="AM324" s="37"/>
      <c r="AN324" s="37"/>
      <c r="AO324" s="37"/>
      <c r="AP324" s="37"/>
      <c r="AQ324" s="37"/>
      <c r="AR324" s="37"/>
      <c r="AS324" s="37"/>
    </row>
    <row r="325" spans="1:45" ht="14.25" customHeight="1" x14ac:dyDescent="0.3">
      <c r="A325" s="34"/>
      <c r="B325" s="16"/>
      <c r="C325" s="15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5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5"/>
      <c r="AI325" s="16"/>
      <c r="AJ325" s="16"/>
      <c r="AK325" s="16"/>
      <c r="AL325" s="16"/>
      <c r="AM325" s="37"/>
      <c r="AN325" s="37"/>
      <c r="AO325" s="37"/>
      <c r="AP325" s="37"/>
      <c r="AQ325" s="37"/>
      <c r="AR325" s="37"/>
      <c r="AS325" s="37"/>
    </row>
    <row r="326" spans="1:45" ht="14.25" customHeight="1" x14ac:dyDescent="0.3">
      <c r="A326" s="34"/>
      <c r="B326" s="16"/>
      <c r="C326" s="15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5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5"/>
      <c r="AI326" s="16"/>
      <c r="AJ326" s="16"/>
      <c r="AK326" s="16"/>
      <c r="AL326" s="16"/>
      <c r="AM326" s="37"/>
      <c r="AN326" s="37"/>
      <c r="AO326" s="37"/>
      <c r="AP326" s="37"/>
      <c r="AQ326" s="37"/>
      <c r="AR326" s="37"/>
      <c r="AS326" s="37"/>
    </row>
    <row r="327" spans="1:45" ht="14.25" customHeight="1" x14ac:dyDescent="0.3">
      <c r="A327" s="34"/>
      <c r="B327" s="16"/>
      <c r="C327" s="15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5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5"/>
      <c r="AI327" s="16"/>
      <c r="AJ327" s="16"/>
      <c r="AK327" s="16"/>
      <c r="AL327" s="16"/>
      <c r="AM327" s="37"/>
      <c r="AN327" s="37"/>
      <c r="AO327" s="37"/>
      <c r="AP327" s="37"/>
      <c r="AQ327" s="37"/>
      <c r="AR327" s="37"/>
      <c r="AS327" s="37"/>
    </row>
    <row r="328" spans="1:45" ht="14.25" customHeight="1" x14ac:dyDescent="0.3">
      <c r="A328" s="34"/>
      <c r="B328" s="16"/>
      <c r="C328" s="15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5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5"/>
      <c r="AI328" s="16"/>
      <c r="AJ328" s="16"/>
      <c r="AK328" s="16"/>
      <c r="AL328" s="16"/>
      <c r="AM328" s="37"/>
      <c r="AN328" s="37"/>
      <c r="AO328" s="37"/>
      <c r="AP328" s="37"/>
      <c r="AQ328" s="37"/>
      <c r="AR328" s="37"/>
      <c r="AS328" s="37"/>
    </row>
    <row r="329" spans="1:45" ht="14.25" customHeight="1" x14ac:dyDescent="0.3">
      <c r="A329" s="34"/>
      <c r="B329" s="16"/>
      <c r="C329" s="15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5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5"/>
      <c r="AI329" s="16"/>
      <c r="AJ329" s="16"/>
      <c r="AK329" s="16"/>
      <c r="AL329" s="16"/>
      <c r="AM329" s="37"/>
      <c r="AN329" s="37"/>
      <c r="AO329" s="37"/>
      <c r="AP329" s="37"/>
      <c r="AQ329" s="37"/>
      <c r="AR329" s="37"/>
      <c r="AS329" s="37"/>
    </row>
    <row r="330" spans="1:45" ht="14.25" customHeight="1" x14ac:dyDescent="0.3">
      <c r="A330" s="34"/>
      <c r="B330" s="16"/>
      <c r="C330" s="15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5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5"/>
      <c r="AI330" s="16"/>
      <c r="AJ330" s="16"/>
      <c r="AK330" s="16"/>
      <c r="AL330" s="16"/>
      <c r="AM330" s="37"/>
      <c r="AN330" s="37"/>
      <c r="AO330" s="37"/>
      <c r="AP330" s="37"/>
      <c r="AQ330" s="37"/>
      <c r="AR330" s="37"/>
      <c r="AS330" s="37"/>
    </row>
    <row r="331" spans="1:45" ht="14.25" customHeight="1" x14ac:dyDescent="0.3">
      <c r="A331" s="34"/>
      <c r="B331" s="16"/>
      <c r="C331" s="15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5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5"/>
      <c r="AI331" s="16"/>
      <c r="AJ331" s="16"/>
      <c r="AK331" s="16"/>
      <c r="AL331" s="16"/>
      <c r="AM331" s="37"/>
      <c r="AN331" s="37"/>
      <c r="AO331" s="37"/>
      <c r="AP331" s="37"/>
      <c r="AQ331" s="37"/>
      <c r="AR331" s="37"/>
      <c r="AS331" s="37"/>
    </row>
    <row r="332" spans="1:45" ht="14.25" customHeight="1" x14ac:dyDescent="0.3">
      <c r="A332" s="34"/>
      <c r="B332" s="16"/>
      <c r="C332" s="15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5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5"/>
      <c r="AI332" s="16"/>
      <c r="AJ332" s="16"/>
      <c r="AK332" s="16"/>
      <c r="AL332" s="16"/>
      <c r="AM332" s="37"/>
      <c r="AN332" s="37"/>
      <c r="AO332" s="37"/>
      <c r="AP332" s="37"/>
      <c r="AQ332" s="37"/>
      <c r="AR332" s="37"/>
      <c r="AS332" s="37"/>
    </row>
    <row r="333" spans="1:45" ht="14.25" customHeight="1" x14ac:dyDescent="0.3">
      <c r="A333" s="34"/>
      <c r="B333" s="16"/>
      <c r="C333" s="15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5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5"/>
      <c r="AI333" s="16"/>
      <c r="AJ333" s="16"/>
      <c r="AK333" s="16"/>
      <c r="AL333" s="16"/>
      <c r="AM333" s="37"/>
      <c r="AN333" s="37"/>
      <c r="AO333" s="37"/>
      <c r="AP333" s="37"/>
      <c r="AQ333" s="37"/>
      <c r="AR333" s="37"/>
      <c r="AS333" s="37"/>
    </row>
    <row r="334" spans="1:45" ht="14.25" customHeight="1" x14ac:dyDescent="0.3">
      <c r="A334" s="34"/>
      <c r="B334" s="16"/>
      <c r="C334" s="15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5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5"/>
      <c r="AI334" s="16"/>
      <c r="AJ334" s="16"/>
      <c r="AK334" s="16"/>
      <c r="AL334" s="16"/>
      <c r="AM334" s="37"/>
      <c r="AN334" s="37"/>
      <c r="AO334" s="37"/>
      <c r="AP334" s="37"/>
      <c r="AQ334" s="37"/>
      <c r="AR334" s="37"/>
      <c r="AS334" s="37"/>
    </row>
    <row r="335" spans="1:45" ht="14.25" customHeight="1" x14ac:dyDescent="0.3">
      <c r="A335" s="34"/>
      <c r="B335" s="16"/>
      <c r="C335" s="15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5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5"/>
      <c r="AI335" s="16"/>
      <c r="AJ335" s="16"/>
      <c r="AK335" s="16"/>
      <c r="AL335" s="16"/>
      <c r="AM335" s="37"/>
      <c r="AN335" s="37"/>
      <c r="AO335" s="37"/>
      <c r="AP335" s="37"/>
      <c r="AQ335" s="37"/>
      <c r="AR335" s="37"/>
      <c r="AS335" s="37"/>
    </row>
    <row r="336" spans="1:45" ht="14.25" customHeight="1" x14ac:dyDescent="0.3">
      <c r="A336" s="34"/>
      <c r="B336" s="16"/>
      <c r="C336" s="15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5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5"/>
      <c r="AI336" s="16"/>
      <c r="AJ336" s="16"/>
      <c r="AK336" s="16"/>
      <c r="AL336" s="16"/>
      <c r="AM336" s="37"/>
      <c r="AN336" s="37"/>
      <c r="AO336" s="37"/>
      <c r="AP336" s="37"/>
      <c r="AQ336" s="37"/>
      <c r="AR336" s="37"/>
      <c r="AS336" s="37"/>
    </row>
    <row r="337" spans="1:45" ht="14.25" customHeight="1" x14ac:dyDescent="0.3">
      <c r="A337" s="34"/>
      <c r="B337" s="16"/>
      <c r="C337" s="15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5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5"/>
      <c r="AI337" s="16"/>
      <c r="AJ337" s="16"/>
      <c r="AK337" s="16"/>
      <c r="AL337" s="16"/>
      <c r="AM337" s="37"/>
      <c r="AN337" s="37"/>
      <c r="AO337" s="37"/>
      <c r="AP337" s="37"/>
      <c r="AQ337" s="37"/>
      <c r="AR337" s="37"/>
      <c r="AS337" s="37"/>
    </row>
    <row r="338" spans="1:45" ht="14.25" customHeight="1" x14ac:dyDescent="0.3">
      <c r="A338" s="34"/>
      <c r="B338" s="16"/>
      <c r="C338" s="15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5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5"/>
      <c r="AI338" s="16"/>
      <c r="AJ338" s="16"/>
      <c r="AK338" s="16"/>
      <c r="AL338" s="16"/>
      <c r="AM338" s="37"/>
      <c r="AN338" s="37"/>
      <c r="AO338" s="37"/>
      <c r="AP338" s="37"/>
      <c r="AQ338" s="37"/>
      <c r="AR338" s="37"/>
      <c r="AS338" s="37"/>
    </row>
    <row r="339" spans="1:45" ht="14.25" customHeight="1" x14ac:dyDescent="0.3">
      <c r="A339" s="34"/>
      <c r="B339" s="16"/>
      <c r="C339" s="15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5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5"/>
      <c r="AI339" s="16"/>
      <c r="AJ339" s="16"/>
      <c r="AK339" s="16"/>
      <c r="AL339" s="16"/>
      <c r="AM339" s="37"/>
      <c r="AN339" s="37"/>
      <c r="AO339" s="37"/>
      <c r="AP339" s="37"/>
      <c r="AQ339" s="37"/>
      <c r="AR339" s="37"/>
      <c r="AS339" s="37"/>
    </row>
    <row r="340" spans="1:45" ht="14.25" customHeight="1" x14ac:dyDescent="0.3">
      <c r="A340" s="34"/>
      <c r="B340" s="16"/>
      <c r="C340" s="15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5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5"/>
      <c r="AI340" s="16"/>
      <c r="AJ340" s="16"/>
      <c r="AK340" s="16"/>
      <c r="AL340" s="16"/>
      <c r="AM340" s="37"/>
      <c r="AN340" s="37"/>
      <c r="AO340" s="37"/>
      <c r="AP340" s="37"/>
      <c r="AQ340" s="37"/>
      <c r="AR340" s="37"/>
      <c r="AS340" s="37"/>
    </row>
    <row r="341" spans="1:45" ht="14.25" customHeight="1" x14ac:dyDescent="0.3">
      <c r="A341" s="34"/>
      <c r="B341" s="16"/>
      <c r="C341" s="15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5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5"/>
      <c r="AI341" s="16"/>
      <c r="AJ341" s="16"/>
      <c r="AK341" s="16"/>
      <c r="AL341" s="16"/>
      <c r="AM341" s="37"/>
      <c r="AN341" s="37"/>
      <c r="AO341" s="37"/>
      <c r="AP341" s="37"/>
      <c r="AQ341" s="37"/>
      <c r="AR341" s="37"/>
      <c r="AS341" s="37"/>
    </row>
    <row r="342" spans="1:45" ht="14.25" customHeight="1" x14ac:dyDescent="0.3">
      <c r="A342" s="34"/>
      <c r="B342" s="16"/>
      <c r="C342" s="15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5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5"/>
      <c r="AI342" s="16"/>
      <c r="AJ342" s="16"/>
      <c r="AK342" s="16"/>
      <c r="AL342" s="16"/>
      <c r="AM342" s="37"/>
      <c r="AN342" s="37"/>
      <c r="AO342" s="37"/>
      <c r="AP342" s="37"/>
      <c r="AQ342" s="37"/>
      <c r="AR342" s="37"/>
      <c r="AS342" s="37"/>
    </row>
    <row r="343" spans="1:45" ht="14.25" customHeight="1" x14ac:dyDescent="0.3">
      <c r="A343" s="34"/>
      <c r="B343" s="16"/>
      <c r="C343" s="15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5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5"/>
      <c r="AI343" s="16"/>
      <c r="AJ343" s="16"/>
      <c r="AK343" s="16"/>
      <c r="AL343" s="16"/>
      <c r="AM343" s="37"/>
      <c r="AN343" s="37"/>
      <c r="AO343" s="37"/>
      <c r="AP343" s="37"/>
      <c r="AQ343" s="37"/>
      <c r="AR343" s="37"/>
      <c r="AS343" s="37"/>
    </row>
    <row r="344" spans="1:45" ht="14.25" customHeight="1" x14ac:dyDescent="0.3">
      <c r="A344" s="34"/>
      <c r="B344" s="16"/>
      <c r="C344" s="15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5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5"/>
      <c r="AI344" s="16"/>
      <c r="AJ344" s="16"/>
      <c r="AK344" s="16"/>
      <c r="AL344" s="16"/>
      <c r="AM344" s="37"/>
      <c r="AN344" s="37"/>
      <c r="AO344" s="37"/>
      <c r="AP344" s="37"/>
      <c r="AQ344" s="37"/>
      <c r="AR344" s="37"/>
      <c r="AS344" s="37"/>
    </row>
    <row r="345" spans="1:45" ht="14.25" customHeight="1" x14ac:dyDescent="0.3">
      <c r="A345" s="34"/>
      <c r="B345" s="16"/>
      <c r="C345" s="15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5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5"/>
      <c r="AI345" s="16"/>
      <c r="AJ345" s="16"/>
      <c r="AK345" s="16"/>
      <c r="AL345" s="16"/>
      <c r="AM345" s="37"/>
      <c r="AN345" s="37"/>
      <c r="AO345" s="37"/>
      <c r="AP345" s="37"/>
      <c r="AQ345" s="37"/>
      <c r="AR345" s="37"/>
      <c r="AS345" s="37"/>
    </row>
    <row r="346" spans="1:45" ht="14.25" customHeight="1" x14ac:dyDescent="0.3">
      <c r="A346" s="34"/>
      <c r="B346" s="16"/>
      <c r="C346" s="15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5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5"/>
      <c r="AI346" s="16"/>
      <c r="AJ346" s="16"/>
      <c r="AK346" s="16"/>
      <c r="AL346" s="16"/>
      <c r="AM346" s="37"/>
      <c r="AN346" s="37"/>
      <c r="AO346" s="37"/>
      <c r="AP346" s="37"/>
      <c r="AQ346" s="37"/>
      <c r="AR346" s="37"/>
      <c r="AS346" s="37"/>
    </row>
    <row r="347" spans="1:45" ht="14.25" customHeight="1" x14ac:dyDescent="0.3">
      <c r="A347" s="34"/>
      <c r="B347" s="16"/>
      <c r="C347" s="15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5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5"/>
      <c r="AI347" s="16"/>
      <c r="AJ347" s="16"/>
      <c r="AK347" s="16"/>
      <c r="AL347" s="16"/>
      <c r="AM347" s="37"/>
      <c r="AN347" s="37"/>
      <c r="AO347" s="37"/>
      <c r="AP347" s="37"/>
      <c r="AQ347" s="37"/>
      <c r="AR347" s="37"/>
      <c r="AS347" s="37"/>
    </row>
    <row r="348" spans="1:45" ht="14.25" customHeight="1" x14ac:dyDescent="0.3">
      <c r="A348" s="34"/>
      <c r="B348" s="16"/>
      <c r="C348" s="15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5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5"/>
      <c r="AI348" s="16"/>
      <c r="AJ348" s="16"/>
      <c r="AK348" s="16"/>
      <c r="AL348" s="16"/>
      <c r="AM348" s="37"/>
      <c r="AN348" s="37"/>
      <c r="AO348" s="37"/>
      <c r="AP348" s="37"/>
      <c r="AQ348" s="37"/>
      <c r="AR348" s="37"/>
      <c r="AS348" s="37"/>
    </row>
    <row r="349" spans="1:45" ht="14.25" customHeight="1" x14ac:dyDescent="0.3">
      <c r="A349" s="34"/>
      <c r="B349" s="16"/>
      <c r="C349" s="15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5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5"/>
      <c r="AI349" s="16"/>
      <c r="AJ349" s="16"/>
      <c r="AK349" s="16"/>
      <c r="AL349" s="16"/>
      <c r="AM349" s="37"/>
      <c r="AN349" s="37"/>
      <c r="AO349" s="37"/>
      <c r="AP349" s="37"/>
      <c r="AQ349" s="37"/>
      <c r="AR349" s="37"/>
      <c r="AS349" s="37"/>
    </row>
    <row r="350" spans="1:45" ht="14.25" customHeight="1" x14ac:dyDescent="0.3">
      <c r="A350" s="34"/>
      <c r="B350" s="16"/>
      <c r="C350" s="15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5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5"/>
      <c r="AI350" s="16"/>
      <c r="AJ350" s="16"/>
      <c r="AK350" s="16"/>
      <c r="AL350" s="16"/>
      <c r="AM350" s="37"/>
      <c r="AN350" s="37"/>
      <c r="AO350" s="37"/>
      <c r="AP350" s="37"/>
      <c r="AQ350" s="37"/>
      <c r="AR350" s="37"/>
      <c r="AS350" s="37"/>
    </row>
    <row r="351" spans="1:45" ht="14.25" customHeight="1" x14ac:dyDescent="0.3">
      <c r="A351" s="34"/>
      <c r="B351" s="16"/>
      <c r="C351" s="15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5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5"/>
      <c r="AI351" s="16"/>
      <c r="AJ351" s="16"/>
      <c r="AK351" s="16"/>
      <c r="AL351" s="16"/>
      <c r="AM351" s="37"/>
      <c r="AN351" s="37"/>
      <c r="AO351" s="37"/>
      <c r="AP351" s="37"/>
      <c r="AQ351" s="37"/>
      <c r="AR351" s="37"/>
      <c r="AS351" s="37"/>
    </row>
    <row r="352" spans="1:45" ht="14.25" customHeight="1" x14ac:dyDescent="0.3">
      <c r="A352" s="34"/>
      <c r="B352" s="16"/>
      <c r="C352" s="15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5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5"/>
      <c r="AI352" s="16"/>
      <c r="AJ352" s="16"/>
      <c r="AK352" s="16"/>
      <c r="AL352" s="16"/>
      <c r="AM352" s="37"/>
      <c r="AN352" s="37"/>
      <c r="AO352" s="37"/>
      <c r="AP352" s="37"/>
      <c r="AQ352" s="37"/>
      <c r="AR352" s="37"/>
      <c r="AS352" s="37"/>
    </row>
    <row r="353" spans="1:45" ht="14.25" customHeight="1" x14ac:dyDescent="0.3">
      <c r="A353" s="34"/>
      <c r="B353" s="16"/>
      <c r="C353" s="15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5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5"/>
      <c r="AI353" s="16"/>
      <c r="AJ353" s="16"/>
      <c r="AK353" s="16"/>
      <c r="AL353" s="16"/>
      <c r="AM353" s="37"/>
      <c r="AN353" s="37"/>
      <c r="AO353" s="37"/>
      <c r="AP353" s="37"/>
      <c r="AQ353" s="37"/>
      <c r="AR353" s="37"/>
      <c r="AS353" s="37"/>
    </row>
    <row r="354" spans="1:45" ht="14.25" customHeight="1" x14ac:dyDescent="0.3">
      <c r="A354" s="34"/>
      <c r="B354" s="16"/>
      <c r="C354" s="15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5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5"/>
      <c r="AI354" s="16"/>
      <c r="AJ354" s="16"/>
      <c r="AK354" s="16"/>
      <c r="AL354" s="16"/>
      <c r="AM354" s="37"/>
      <c r="AN354" s="37"/>
      <c r="AO354" s="37"/>
      <c r="AP354" s="37"/>
      <c r="AQ354" s="37"/>
      <c r="AR354" s="37"/>
      <c r="AS354" s="37"/>
    </row>
    <row r="355" spans="1:45" ht="14.25" customHeight="1" x14ac:dyDescent="0.3">
      <c r="A355" s="34"/>
      <c r="B355" s="16"/>
      <c r="C355" s="15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5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5"/>
      <c r="AI355" s="16"/>
      <c r="AJ355" s="16"/>
      <c r="AK355" s="16"/>
      <c r="AL355" s="16"/>
      <c r="AM355" s="37"/>
      <c r="AN355" s="37"/>
      <c r="AO355" s="37"/>
      <c r="AP355" s="37"/>
      <c r="AQ355" s="37"/>
      <c r="AR355" s="37"/>
      <c r="AS355" s="37"/>
    </row>
    <row r="356" spans="1:45" ht="14.25" customHeight="1" x14ac:dyDescent="0.3">
      <c r="A356" s="34"/>
      <c r="B356" s="16"/>
      <c r="C356" s="15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5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5"/>
      <c r="AI356" s="16"/>
      <c r="AJ356" s="16"/>
      <c r="AK356" s="16"/>
      <c r="AL356" s="16"/>
      <c r="AM356" s="37"/>
      <c r="AN356" s="37"/>
      <c r="AO356" s="37"/>
      <c r="AP356" s="37"/>
      <c r="AQ356" s="37"/>
      <c r="AR356" s="37"/>
      <c r="AS356" s="37"/>
    </row>
    <row r="357" spans="1:45" ht="14.25" customHeight="1" x14ac:dyDescent="0.3">
      <c r="A357" s="34"/>
      <c r="B357" s="16"/>
      <c r="C357" s="15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5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5"/>
      <c r="AI357" s="16"/>
      <c r="AJ357" s="16"/>
      <c r="AK357" s="16"/>
      <c r="AL357" s="16"/>
      <c r="AM357" s="37"/>
      <c r="AN357" s="37"/>
      <c r="AO357" s="37"/>
      <c r="AP357" s="37"/>
      <c r="AQ357" s="37"/>
      <c r="AR357" s="37"/>
      <c r="AS357" s="37"/>
    </row>
    <row r="358" spans="1:45" ht="14.25" customHeight="1" x14ac:dyDescent="0.3">
      <c r="A358" s="34"/>
      <c r="B358" s="16"/>
      <c r="C358" s="15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5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5"/>
      <c r="AI358" s="16"/>
      <c r="AJ358" s="16"/>
      <c r="AK358" s="16"/>
      <c r="AL358" s="16"/>
      <c r="AM358" s="37"/>
      <c r="AN358" s="37"/>
      <c r="AO358" s="37"/>
      <c r="AP358" s="37"/>
      <c r="AQ358" s="37"/>
      <c r="AR358" s="37"/>
      <c r="AS358" s="37"/>
    </row>
    <row r="359" spans="1:45" ht="14.25" customHeight="1" x14ac:dyDescent="0.3">
      <c r="A359" s="34"/>
      <c r="B359" s="16"/>
      <c r="C359" s="15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5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5"/>
      <c r="AI359" s="16"/>
      <c r="AJ359" s="16"/>
      <c r="AK359" s="16"/>
      <c r="AL359" s="16"/>
      <c r="AM359" s="37"/>
      <c r="AN359" s="37"/>
      <c r="AO359" s="37"/>
      <c r="AP359" s="37"/>
      <c r="AQ359" s="37"/>
      <c r="AR359" s="37"/>
      <c r="AS359" s="37"/>
    </row>
    <row r="360" spans="1:45" ht="14.25" customHeight="1" x14ac:dyDescent="0.3">
      <c r="A360" s="34"/>
      <c r="B360" s="16"/>
      <c r="C360" s="15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5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5"/>
      <c r="AI360" s="16"/>
      <c r="AJ360" s="16"/>
      <c r="AK360" s="16"/>
      <c r="AL360" s="16"/>
      <c r="AM360" s="37"/>
      <c r="AN360" s="37"/>
      <c r="AO360" s="37"/>
      <c r="AP360" s="37"/>
      <c r="AQ360" s="37"/>
      <c r="AR360" s="37"/>
      <c r="AS360" s="37"/>
    </row>
    <row r="361" spans="1:45" ht="14.25" customHeight="1" x14ac:dyDescent="0.3">
      <c r="A361" s="34"/>
      <c r="B361" s="16"/>
      <c r="C361" s="15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5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5"/>
      <c r="AI361" s="16"/>
      <c r="AJ361" s="16"/>
      <c r="AK361" s="16"/>
      <c r="AL361" s="16"/>
      <c r="AM361" s="37"/>
      <c r="AN361" s="37"/>
      <c r="AO361" s="37"/>
      <c r="AP361" s="37"/>
      <c r="AQ361" s="37"/>
      <c r="AR361" s="37"/>
      <c r="AS361" s="37"/>
    </row>
    <row r="362" spans="1:45" ht="14.25" customHeight="1" x14ac:dyDescent="0.3">
      <c r="A362" s="34"/>
      <c r="B362" s="16"/>
      <c r="C362" s="15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5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5"/>
      <c r="AI362" s="16"/>
      <c r="AJ362" s="16"/>
      <c r="AK362" s="16"/>
      <c r="AL362" s="16"/>
      <c r="AM362" s="37"/>
      <c r="AN362" s="37"/>
      <c r="AO362" s="37"/>
      <c r="AP362" s="37"/>
      <c r="AQ362" s="37"/>
      <c r="AR362" s="37"/>
      <c r="AS362" s="37"/>
    </row>
    <row r="363" spans="1:45" ht="14.25" customHeight="1" x14ac:dyDescent="0.3">
      <c r="A363" s="34"/>
      <c r="B363" s="16"/>
      <c r="C363" s="15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5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5"/>
      <c r="AI363" s="16"/>
      <c r="AJ363" s="16"/>
      <c r="AK363" s="16"/>
      <c r="AL363" s="16"/>
      <c r="AM363" s="37"/>
      <c r="AN363" s="37"/>
      <c r="AO363" s="37"/>
      <c r="AP363" s="37"/>
      <c r="AQ363" s="37"/>
      <c r="AR363" s="37"/>
      <c r="AS363" s="37"/>
    </row>
    <row r="364" spans="1:45" ht="14.25" customHeight="1" x14ac:dyDescent="0.3">
      <c r="A364" s="34"/>
      <c r="B364" s="16"/>
      <c r="C364" s="15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5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5"/>
      <c r="AI364" s="16"/>
      <c r="AJ364" s="16"/>
      <c r="AK364" s="16"/>
      <c r="AL364" s="16"/>
      <c r="AM364" s="37"/>
      <c r="AN364" s="37"/>
      <c r="AO364" s="37"/>
      <c r="AP364" s="37"/>
      <c r="AQ364" s="37"/>
      <c r="AR364" s="37"/>
      <c r="AS364" s="37"/>
    </row>
    <row r="365" spans="1:45" ht="14.25" customHeight="1" x14ac:dyDescent="0.3">
      <c r="A365" s="34"/>
      <c r="B365" s="16"/>
      <c r="C365" s="15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5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5"/>
      <c r="AI365" s="16"/>
      <c r="AJ365" s="16"/>
      <c r="AK365" s="16"/>
      <c r="AL365" s="16"/>
      <c r="AM365" s="37"/>
      <c r="AN365" s="37"/>
      <c r="AO365" s="37"/>
      <c r="AP365" s="37"/>
      <c r="AQ365" s="37"/>
      <c r="AR365" s="37"/>
      <c r="AS365" s="37"/>
    </row>
    <row r="366" spans="1:45" ht="14.25" customHeight="1" x14ac:dyDescent="0.3">
      <c r="A366" s="34"/>
      <c r="B366" s="16"/>
      <c r="C366" s="15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5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5"/>
      <c r="AI366" s="16"/>
      <c r="AJ366" s="16"/>
      <c r="AK366" s="16"/>
      <c r="AL366" s="16"/>
      <c r="AM366" s="37"/>
      <c r="AN366" s="37"/>
      <c r="AO366" s="37"/>
      <c r="AP366" s="37"/>
      <c r="AQ366" s="37"/>
      <c r="AR366" s="37"/>
      <c r="AS366" s="37"/>
    </row>
    <row r="367" spans="1:45" ht="14.25" customHeight="1" x14ac:dyDescent="0.3">
      <c r="A367" s="34"/>
      <c r="B367" s="16"/>
      <c r="C367" s="15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5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5"/>
      <c r="AI367" s="16"/>
      <c r="AJ367" s="16"/>
      <c r="AK367" s="16"/>
      <c r="AL367" s="16"/>
      <c r="AM367" s="37"/>
      <c r="AN367" s="37"/>
      <c r="AO367" s="37"/>
      <c r="AP367" s="37"/>
      <c r="AQ367" s="37"/>
      <c r="AR367" s="37"/>
      <c r="AS367" s="37"/>
    </row>
    <row r="368" spans="1:45" ht="14.25" customHeight="1" x14ac:dyDescent="0.3">
      <c r="A368" s="34"/>
      <c r="B368" s="16"/>
      <c r="C368" s="15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5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5"/>
      <c r="AI368" s="16"/>
      <c r="AJ368" s="16"/>
      <c r="AK368" s="16"/>
      <c r="AL368" s="16"/>
      <c r="AM368" s="37"/>
      <c r="AN368" s="37"/>
      <c r="AO368" s="37"/>
      <c r="AP368" s="37"/>
      <c r="AQ368" s="37"/>
      <c r="AR368" s="37"/>
      <c r="AS368" s="37"/>
    </row>
    <row r="369" spans="1:45" ht="14.25" customHeight="1" x14ac:dyDescent="0.3">
      <c r="A369" s="34"/>
      <c r="B369" s="16"/>
      <c r="C369" s="15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5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5"/>
      <c r="AI369" s="16"/>
      <c r="AJ369" s="16"/>
      <c r="AK369" s="16"/>
      <c r="AL369" s="16"/>
      <c r="AM369" s="37"/>
      <c r="AN369" s="37"/>
      <c r="AO369" s="37"/>
      <c r="AP369" s="37"/>
      <c r="AQ369" s="37"/>
      <c r="AR369" s="37"/>
      <c r="AS369" s="37"/>
    </row>
    <row r="370" spans="1:45" ht="14.25" customHeight="1" x14ac:dyDescent="0.3">
      <c r="A370" s="34"/>
      <c r="B370" s="16"/>
      <c r="C370" s="15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5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5"/>
      <c r="AI370" s="16"/>
      <c r="AJ370" s="16"/>
      <c r="AK370" s="16"/>
      <c r="AL370" s="16"/>
      <c r="AM370" s="37"/>
      <c r="AN370" s="37"/>
      <c r="AO370" s="37"/>
      <c r="AP370" s="37"/>
      <c r="AQ370" s="37"/>
      <c r="AR370" s="37"/>
      <c r="AS370" s="37"/>
    </row>
    <row r="371" spans="1:45" ht="14.25" customHeight="1" x14ac:dyDescent="0.3">
      <c r="A371" s="34"/>
      <c r="B371" s="16"/>
      <c r="C371" s="15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5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5"/>
      <c r="AI371" s="16"/>
      <c r="AJ371" s="16"/>
      <c r="AK371" s="16"/>
      <c r="AL371" s="16"/>
      <c r="AM371" s="37"/>
      <c r="AN371" s="37"/>
      <c r="AO371" s="37"/>
      <c r="AP371" s="37"/>
      <c r="AQ371" s="37"/>
      <c r="AR371" s="37"/>
      <c r="AS371" s="37"/>
    </row>
    <row r="372" spans="1:45" ht="14.25" customHeight="1" x14ac:dyDescent="0.3">
      <c r="A372" s="34"/>
      <c r="B372" s="16"/>
      <c r="C372" s="15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5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5"/>
      <c r="AI372" s="16"/>
      <c r="AJ372" s="16"/>
      <c r="AK372" s="16"/>
      <c r="AL372" s="16"/>
      <c r="AM372" s="37"/>
      <c r="AN372" s="37"/>
      <c r="AO372" s="37"/>
      <c r="AP372" s="37"/>
      <c r="AQ372" s="37"/>
      <c r="AR372" s="37"/>
      <c r="AS372" s="37"/>
    </row>
    <row r="373" spans="1:45" ht="14.25" customHeight="1" x14ac:dyDescent="0.3">
      <c r="A373" s="34"/>
      <c r="B373" s="16"/>
      <c r="C373" s="15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5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5"/>
      <c r="AI373" s="16"/>
      <c r="AJ373" s="16"/>
      <c r="AK373" s="16"/>
      <c r="AL373" s="16"/>
      <c r="AM373" s="37"/>
      <c r="AN373" s="37"/>
      <c r="AO373" s="37"/>
      <c r="AP373" s="37"/>
      <c r="AQ373" s="37"/>
      <c r="AR373" s="37"/>
      <c r="AS373" s="37"/>
    </row>
    <row r="374" spans="1:45" ht="14.25" customHeight="1" x14ac:dyDescent="0.3">
      <c r="A374" s="34"/>
      <c r="B374" s="16"/>
      <c r="C374" s="15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5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5"/>
      <c r="AI374" s="16"/>
      <c r="AJ374" s="16"/>
      <c r="AK374" s="16"/>
      <c r="AL374" s="16"/>
      <c r="AM374" s="37"/>
      <c r="AN374" s="37"/>
      <c r="AO374" s="37"/>
      <c r="AP374" s="37"/>
      <c r="AQ374" s="37"/>
      <c r="AR374" s="37"/>
      <c r="AS374" s="37"/>
    </row>
    <row r="375" spans="1:45" ht="14.25" customHeight="1" x14ac:dyDescent="0.3">
      <c r="A375" s="34"/>
      <c r="B375" s="16"/>
      <c r="C375" s="15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5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5"/>
      <c r="AI375" s="16"/>
      <c r="AJ375" s="16"/>
      <c r="AK375" s="16"/>
      <c r="AL375" s="16"/>
      <c r="AM375" s="37"/>
      <c r="AN375" s="37"/>
      <c r="AO375" s="37"/>
      <c r="AP375" s="37"/>
      <c r="AQ375" s="37"/>
      <c r="AR375" s="37"/>
      <c r="AS375" s="37"/>
    </row>
    <row r="376" spans="1:45" ht="14.25" customHeight="1" x14ac:dyDescent="0.3">
      <c r="A376" s="34"/>
      <c r="B376" s="16"/>
      <c r="C376" s="15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5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5"/>
      <c r="AI376" s="16"/>
      <c r="AJ376" s="16"/>
      <c r="AK376" s="16"/>
      <c r="AL376" s="16"/>
      <c r="AM376" s="37"/>
      <c r="AN376" s="37"/>
      <c r="AO376" s="37"/>
      <c r="AP376" s="37"/>
      <c r="AQ376" s="37"/>
      <c r="AR376" s="37"/>
      <c r="AS376" s="37"/>
    </row>
    <row r="377" spans="1:45" ht="14.25" customHeight="1" x14ac:dyDescent="0.3">
      <c r="A377" s="34"/>
      <c r="B377" s="16"/>
      <c r="C377" s="15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5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5"/>
      <c r="AI377" s="16"/>
      <c r="AJ377" s="16"/>
      <c r="AK377" s="16"/>
      <c r="AL377" s="16"/>
      <c r="AM377" s="37"/>
      <c r="AN377" s="37"/>
      <c r="AO377" s="37"/>
      <c r="AP377" s="37"/>
      <c r="AQ377" s="37"/>
      <c r="AR377" s="37"/>
      <c r="AS377" s="37"/>
    </row>
    <row r="378" spans="1:45" ht="14.25" customHeight="1" x14ac:dyDescent="0.3">
      <c r="A378" s="34"/>
      <c r="B378" s="16"/>
      <c r="C378" s="15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5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5"/>
      <c r="AI378" s="16"/>
      <c r="AJ378" s="16"/>
      <c r="AK378" s="16"/>
      <c r="AL378" s="16"/>
      <c r="AM378" s="37"/>
      <c r="AN378" s="37"/>
      <c r="AO378" s="37"/>
      <c r="AP378" s="37"/>
      <c r="AQ378" s="37"/>
      <c r="AR378" s="37"/>
      <c r="AS378" s="37"/>
    </row>
    <row r="379" spans="1:45" ht="14.25" customHeight="1" x14ac:dyDescent="0.3">
      <c r="A379" s="34"/>
      <c r="B379" s="16"/>
      <c r="C379" s="15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5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5"/>
      <c r="AI379" s="16"/>
      <c r="AJ379" s="16"/>
      <c r="AK379" s="16"/>
      <c r="AL379" s="16"/>
      <c r="AM379" s="37"/>
      <c r="AN379" s="37"/>
      <c r="AO379" s="37"/>
      <c r="AP379" s="37"/>
      <c r="AQ379" s="37"/>
      <c r="AR379" s="37"/>
      <c r="AS379" s="37"/>
    </row>
    <row r="380" spans="1:45" ht="14.25" customHeight="1" x14ac:dyDescent="0.3">
      <c r="A380" s="34"/>
      <c r="B380" s="16"/>
      <c r="C380" s="15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5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5"/>
      <c r="AI380" s="16"/>
      <c r="AJ380" s="16"/>
      <c r="AK380" s="16"/>
      <c r="AL380" s="16"/>
      <c r="AM380" s="37"/>
      <c r="AN380" s="37"/>
      <c r="AO380" s="37"/>
      <c r="AP380" s="37"/>
      <c r="AQ380" s="37"/>
      <c r="AR380" s="37"/>
      <c r="AS380" s="37"/>
    </row>
    <row r="381" spans="1:45" ht="14.25" customHeight="1" x14ac:dyDescent="0.3">
      <c r="A381" s="34"/>
      <c r="B381" s="16"/>
      <c r="C381" s="15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5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5"/>
      <c r="AI381" s="16"/>
      <c r="AJ381" s="16"/>
      <c r="AK381" s="16"/>
      <c r="AL381" s="16"/>
      <c r="AM381" s="37"/>
      <c r="AN381" s="37"/>
      <c r="AO381" s="37"/>
      <c r="AP381" s="37"/>
      <c r="AQ381" s="37"/>
      <c r="AR381" s="37"/>
      <c r="AS381" s="37"/>
    </row>
    <row r="382" spans="1:45" ht="14.25" customHeight="1" x14ac:dyDescent="0.3">
      <c r="A382" s="34"/>
      <c r="B382" s="16"/>
      <c r="C382" s="15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5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5"/>
      <c r="AI382" s="16"/>
      <c r="AJ382" s="16"/>
      <c r="AK382" s="16"/>
      <c r="AL382" s="16"/>
      <c r="AM382" s="37"/>
      <c r="AN382" s="37"/>
      <c r="AO382" s="37"/>
      <c r="AP382" s="37"/>
      <c r="AQ382" s="37"/>
      <c r="AR382" s="37"/>
      <c r="AS382" s="37"/>
    </row>
    <row r="383" spans="1:45" ht="14.25" customHeight="1" x14ac:dyDescent="0.3">
      <c r="A383" s="34"/>
      <c r="B383" s="16"/>
      <c r="C383" s="15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5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5"/>
      <c r="AI383" s="16"/>
      <c r="AJ383" s="16"/>
      <c r="AK383" s="16"/>
      <c r="AL383" s="16"/>
      <c r="AM383" s="37"/>
      <c r="AN383" s="37"/>
      <c r="AO383" s="37"/>
      <c r="AP383" s="37"/>
      <c r="AQ383" s="37"/>
      <c r="AR383" s="37"/>
      <c r="AS383" s="37"/>
    </row>
    <row r="384" spans="1:45" ht="14.25" customHeight="1" x14ac:dyDescent="0.3">
      <c r="A384" s="34"/>
      <c r="B384" s="16"/>
      <c r="C384" s="15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5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5"/>
      <c r="AI384" s="16"/>
      <c r="AJ384" s="16"/>
      <c r="AK384" s="16"/>
      <c r="AL384" s="16"/>
      <c r="AM384" s="37"/>
      <c r="AN384" s="37"/>
      <c r="AO384" s="37"/>
      <c r="AP384" s="37"/>
      <c r="AQ384" s="37"/>
      <c r="AR384" s="37"/>
      <c r="AS384" s="37"/>
    </row>
    <row r="385" spans="1:45" ht="14.25" customHeight="1" x14ac:dyDescent="0.3">
      <c r="A385" s="34"/>
      <c r="B385" s="16"/>
      <c r="C385" s="15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5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5"/>
      <c r="AI385" s="16"/>
      <c r="AJ385" s="16"/>
      <c r="AK385" s="16"/>
      <c r="AL385" s="16"/>
      <c r="AM385" s="37"/>
      <c r="AN385" s="37"/>
      <c r="AO385" s="37"/>
      <c r="AP385" s="37"/>
      <c r="AQ385" s="37"/>
      <c r="AR385" s="37"/>
      <c r="AS385" s="37"/>
    </row>
    <row r="386" spans="1:45" ht="14.25" customHeight="1" x14ac:dyDescent="0.3">
      <c r="A386" s="34"/>
      <c r="B386" s="16"/>
      <c r="C386" s="15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5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5"/>
      <c r="AI386" s="16"/>
      <c r="AJ386" s="16"/>
      <c r="AK386" s="16"/>
      <c r="AL386" s="16"/>
      <c r="AM386" s="37"/>
      <c r="AN386" s="37"/>
      <c r="AO386" s="37"/>
      <c r="AP386" s="37"/>
      <c r="AQ386" s="37"/>
      <c r="AR386" s="37"/>
      <c r="AS386" s="37"/>
    </row>
    <row r="387" spans="1:45" ht="14.25" customHeight="1" x14ac:dyDescent="0.3">
      <c r="A387" s="34"/>
      <c r="B387" s="16"/>
      <c r="C387" s="15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5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5"/>
      <c r="AI387" s="16"/>
      <c r="AJ387" s="16"/>
      <c r="AK387" s="16"/>
      <c r="AL387" s="16"/>
      <c r="AM387" s="37"/>
      <c r="AN387" s="37"/>
      <c r="AO387" s="37"/>
      <c r="AP387" s="37"/>
      <c r="AQ387" s="37"/>
      <c r="AR387" s="37"/>
      <c r="AS387" s="37"/>
    </row>
    <row r="388" spans="1:45" ht="14.25" customHeight="1" x14ac:dyDescent="0.3">
      <c r="A388" s="34"/>
      <c r="B388" s="16"/>
      <c r="C388" s="15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5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5"/>
      <c r="AI388" s="16"/>
      <c r="AJ388" s="16"/>
      <c r="AK388" s="16"/>
      <c r="AL388" s="16"/>
      <c r="AM388" s="37"/>
      <c r="AN388" s="37"/>
      <c r="AO388" s="37"/>
      <c r="AP388" s="37"/>
      <c r="AQ388" s="37"/>
      <c r="AR388" s="37"/>
      <c r="AS388" s="37"/>
    </row>
    <row r="389" spans="1:45" ht="14.25" customHeight="1" x14ac:dyDescent="0.3">
      <c r="A389" s="34"/>
      <c r="B389" s="16"/>
      <c r="C389" s="15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5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5"/>
      <c r="AI389" s="16"/>
      <c r="AJ389" s="16"/>
      <c r="AK389" s="16"/>
      <c r="AL389" s="16"/>
      <c r="AM389" s="37"/>
      <c r="AN389" s="37"/>
      <c r="AO389" s="37"/>
      <c r="AP389" s="37"/>
      <c r="AQ389" s="37"/>
      <c r="AR389" s="37"/>
      <c r="AS389" s="37"/>
    </row>
    <row r="390" spans="1:45" ht="14.25" customHeight="1" x14ac:dyDescent="0.3">
      <c r="A390" s="34"/>
      <c r="B390" s="16"/>
      <c r="C390" s="15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5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5"/>
      <c r="AI390" s="16"/>
      <c r="AJ390" s="16"/>
      <c r="AK390" s="16"/>
      <c r="AL390" s="16"/>
      <c r="AM390" s="37"/>
      <c r="AN390" s="37"/>
      <c r="AO390" s="37"/>
      <c r="AP390" s="37"/>
      <c r="AQ390" s="37"/>
      <c r="AR390" s="37"/>
      <c r="AS390" s="37"/>
    </row>
    <row r="391" spans="1:45" ht="14.25" customHeight="1" x14ac:dyDescent="0.3">
      <c r="A391" s="34"/>
      <c r="B391" s="16"/>
      <c r="C391" s="15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5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5"/>
      <c r="AI391" s="16"/>
      <c r="AJ391" s="16"/>
      <c r="AK391" s="16"/>
      <c r="AL391" s="16"/>
      <c r="AM391" s="37"/>
      <c r="AN391" s="37"/>
      <c r="AO391" s="37"/>
      <c r="AP391" s="37"/>
      <c r="AQ391" s="37"/>
      <c r="AR391" s="37"/>
      <c r="AS391" s="37"/>
    </row>
    <row r="392" spans="1:45" ht="14.25" customHeight="1" x14ac:dyDescent="0.3">
      <c r="A392" s="34"/>
      <c r="B392" s="16"/>
      <c r="C392" s="15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5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5"/>
      <c r="AI392" s="16"/>
      <c r="AJ392" s="16"/>
      <c r="AK392" s="16"/>
      <c r="AL392" s="16"/>
      <c r="AM392" s="37"/>
      <c r="AN392" s="37"/>
      <c r="AO392" s="37"/>
      <c r="AP392" s="37"/>
      <c r="AQ392" s="37"/>
      <c r="AR392" s="37"/>
      <c r="AS392" s="37"/>
    </row>
    <row r="393" spans="1:45" ht="14.25" customHeight="1" x14ac:dyDescent="0.3">
      <c r="A393" s="34"/>
      <c r="B393" s="16"/>
      <c r="C393" s="15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5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5"/>
      <c r="AI393" s="16"/>
      <c r="AJ393" s="16"/>
      <c r="AK393" s="16"/>
      <c r="AL393" s="16"/>
      <c r="AM393" s="37"/>
      <c r="AN393" s="37"/>
      <c r="AO393" s="37"/>
      <c r="AP393" s="37"/>
      <c r="AQ393" s="37"/>
      <c r="AR393" s="37"/>
      <c r="AS393" s="37"/>
    </row>
    <row r="394" spans="1:45" ht="14.25" customHeight="1" x14ac:dyDescent="0.3">
      <c r="A394" s="34"/>
      <c r="B394" s="16"/>
      <c r="C394" s="15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5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5"/>
      <c r="AI394" s="16"/>
      <c r="AJ394" s="16"/>
      <c r="AK394" s="16"/>
      <c r="AL394" s="16"/>
      <c r="AM394" s="37"/>
      <c r="AN394" s="37"/>
      <c r="AO394" s="37"/>
      <c r="AP394" s="37"/>
      <c r="AQ394" s="37"/>
      <c r="AR394" s="37"/>
      <c r="AS394" s="37"/>
    </row>
    <row r="395" spans="1:45" ht="14.25" customHeight="1" x14ac:dyDescent="0.3">
      <c r="A395" s="34"/>
      <c r="B395" s="16"/>
      <c r="C395" s="15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5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5"/>
      <c r="AI395" s="16"/>
      <c r="AJ395" s="16"/>
      <c r="AK395" s="16"/>
      <c r="AL395" s="16"/>
      <c r="AM395" s="37"/>
      <c r="AN395" s="37"/>
      <c r="AO395" s="37"/>
      <c r="AP395" s="37"/>
      <c r="AQ395" s="37"/>
      <c r="AR395" s="37"/>
      <c r="AS395" s="37"/>
    </row>
    <row r="396" spans="1:45" ht="14.25" customHeight="1" x14ac:dyDescent="0.3">
      <c r="A396" s="34"/>
      <c r="B396" s="16"/>
      <c r="C396" s="15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5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5"/>
      <c r="AI396" s="16"/>
      <c r="AJ396" s="16"/>
      <c r="AK396" s="16"/>
      <c r="AL396" s="16"/>
      <c r="AM396" s="37"/>
      <c r="AN396" s="37"/>
      <c r="AO396" s="37"/>
      <c r="AP396" s="37"/>
      <c r="AQ396" s="37"/>
      <c r="AR396" s="37"/>
      <c r="AS396" s="37"/>
    </row>
    <row r="397" spans="1:45" ht="14.25" customHeight="1" x14ac:dyDescent="0.3">
      <c r="A397" s="34"/>
      <c r="B397" s="16"/>
      <c r="C397" s="15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5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5"/>
      <c r="AI397" s="16"/>
      <c r="AJ397" s="16"/>
      <c r="AK397" s="16"/>
      <c r="AL397" s="16"/>
      <c r="AM397" s="37"/>
      <c r="AN397" s="37"/>
      <c r="AO397" s="37"/>
      <c r="AP397" s="37"/>
      <c r="AQ397" s="37"/>
      <c r="AR397" s="37"/>
      <c r="AS397" s="37"/>
    </row>
    <row r="398" spans="1:45" ht="14.25" customHeight="1" x14ac:dyDescent="0.3">
      <c r="A398" s="34"/>
      <c r="B398" s="16"/>
      <c r="C398" s="15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5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5"/>
      <c r="AI398" s="16"/>
      <c r="AJ398" s="16"/>
      <c r="AK398" s="16"/>
      <c r="AL398" s="16"/>
      <c r="AM398" s="37"/>
      <c r="AN398" s="37"/>
      <c r="AO398" s="37"/>
      <c r="AP398" s="37"/>
      <c r="AQ398" s="37"/>
      <c r="AR398" s="37"/>
      <c r="AS398" s="37"/>
    </row>
    <row r="399" spans="1:45" ht="14.25" customHeight="1" x14ac:dyDescent="0.3">
      <c r="A399" s="34"/>
      <c r="B399" s="16"/>
      <c r="C399" s="15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5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5"/>
      <c r="AI399" s="16"/>
      <c r="AJ399" s="16"/>
      <c r="AK399" s="16"/>
      <c r="AL399" s="16"/>
      <c r="AM399" s="37"/>
      <c r="AN399" s="37"/>
      <c r="AO399" s="37"/>
      <c r="AP399" s="37"/>
      <c r="AQ399" s="37"/>
      <c r="AR399" s="37"/>
      <c r="AS399" s="37"/>
    </row>
    <row r="400" spans="1:45" ht="14.25" customHeight="1" x14ac:dyDescent="0.3">
      <c r="A400" s="34"/>
      <c r="B400" s="16"/>
      <c r="C400" s="15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5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5"/>
      <c r="AI400" s="16"/>
      <c r="AJ400" s="16"/>
      <c r="AK400" s="16"/>
      <c r="AL400" s="16"/>
      <c r="AM400" s="37"/>
      <c r="AN400" s="37"/>
      <c r="AO400" s="37"/>
      <c r="AP400" s="37"/>
      <c r="AQ400" s="37"/>
      <c r="AR400" s="37"/>
      <c r="AS400" s="37"/>
    </row>
    <row r="401" spans="1:45" ht="14.25" customHeight="1" x14ac:dyDescent="0.3">
      <c r="A401" s="34"/>
      <c r="B401" s="16"/>
      <c r="C401" s="15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5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5"/>
      <c r="AI401" s="16"/>
      <c r="AJ401" s="16"/>
      <c r="AK401" s="16"/>
      <c r="AL401" s="16"/>
      <c r="AM401" s="37"/>
      <c r="AN401" s="37"/>
      <c r="AO401" s="37"/>
      <c r="AP401" s="37"/>
      <c r="AQ401" s="37"/>
      <c r="AR401" s="37"/>
      <c r="AS401" s="37"/>
    </row>
    <row r="402" spans="1:45" ht="14.25" customHeight="1" x14ac:dyDescent="0.3">
      <c r="A402" s="34"/>
      <c r="B402" s="16"/>
      <c r="C402" s="15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5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5"/>
      <c r="AI402" s="16"/>
      <c r="AJ402" s="16"/>
      <c r="AK402" s="16"/>
      <c r="AL402" s="16"/>
      <c r="AM402" s="37"/>
      <c r="AN402" s="37"/>
      <c r="AO402" s="37"/>
      <c r="AP402" s="37"/>
      <c r="AQ402" s="37"/>
      <c r="AR402" s="37"/>
      <c r="AS402" s="37"/>
    </row>
    <row r="403" spans="1:45" ht="14.25" customHeight="1" x14ac:dyDescent="0.3">
      <c r="A403" s="34"/>
      <c r="B403" s="16"/>
      <c r="C403" s="15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5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5"/>
      <c r="AI403" s="16"/>
      <c r="AJ403" s="16"/>
      <c r="AK403" s="16"/>
      <c r="AL403" s="16"/>
      <c r="AM403" s="37"/>
      <c r="AN403" s="37"/>
      <c r="AO403" s="37"/>
      <c r="AP403" s="37"/>
      <c r="AQ403" s="37"/>
      <c r="AR403" s="37"/>
      <c r="AS403" s="37"/>
    </row>
    <row r="404" spans="1:45" ht="14.25" customHeight="1" x14ac:dyDescent="0.3">
      <c r="A404" s="34"/>
      <c r="B404" s="16"/>
      <c r="C404" s="15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5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5"/>
      <c r="AI404" s="16"/>
      <c r="AJ404" s="16"/>
      <c r="AK404" s="16"/>
      <c r="AL404" s="16"/>
      <c r="AM404" s="37"/>
      <c r="AN404" s="37"/>
      <c r="AO404" s="37"/>
      <c r="AP404" s="37"/>
      <c r="AQ404" s="37"/>
      <c r="AR404" s="37"/>
      <c r="AS404" s="37"/>
    </row>
    <row r="405" spans="1:45" ht="14.25" customHeight="1" x14ac:dyDescent="0.3">
      <c r="A405" s="34"/>
      <c r="B405" s="16"/>
      <c r="C405" s="15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5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5"/>
      <c r="AI405" s="16"/>
      <c r="AJ405" s="16"/>
      <c r="AK405" s="16"/>
      <c r="AL405" s="16"/>
      <c r="AM405" s="37"/>
      <c r="AN405" s="37"/>
      <c r="AO405" s="37"/>
      <c r="AP405" s="37"/>
      <c r="AQ405" s="37"/>
      <c r="AR405" s="37"/>
      <c r="AS405" s="37"/>
    </row>
    <row r="406" spans="1:45" ht="14.25" customHeight="1" x14ac:dyDescent="0.3">
      <c r="A406" s="34"/>
      <c r="B406" s="16"/>
      <c r="C406" s="15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5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5"/>
      <c r="AI406" s="16"/>
      <c r="AJ406" s="16"/>
      <c r="AK406" s="16"/>
      <c r="AL406" s="16"/>
      <c r="AM406" s="37"/>
      <c r="AN406" s="37"/>
      <c r="AO406" s="37"/>
      <c r="AP406" s="37"/>
      <c r="AQ406" s="37"/>
      <c r="AR406" s="37"/>
      <c r="AS406" s="37"/>
    </row>
    <row r="407" spans="1:45" ht="14.25" customHeight="1" x14ac:dyDescent="0.3">
      <c r="A407" s="34"/>
      <c r="B407" s="16"/>
      <c r="C407" s="15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5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5"/>
      <c r="AI407" s="16"/>
      <c r="AJ407" s="16"/>
      <c r="AK407" s="16"/>
      <c r="AL407" s="16"/>
      <c r="AM407" s="37"/>
      <c r="AN407" s="37"/>
      <c r="AO407" s="37"/>
      <c r="AP407" s="37"/>
      <c r="AQ407" s="37"/>
      <c r="AR407" s="37"/>
      <c r="AS407" s="37"/>
    </row>
    <row r="408" spans="1:45" ht="14.25" customHeight="1" x14ac:dyDescent="0.3">
      <c r="A408" s="34"/>
      <c r="B408" s="16"/>
      <c r="C408" s="15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5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5"/>
      <c r="AI408" s="16"/>
      <c r="AJ408" s="16"/>
      <c r="AK408" s="16"/>
      <c r="AL408" s="16"/>
      <c r="AM408" s="37"/>
      <c r="AN408" s="37"/>
      <c r="AO408" s="37"/>
      <c r="AP408" s="37"/>
      <c r="AQ408" s="37"/>
      <c r="AR408" s="37"/>
      <c r="AS408" s="37"/>
    </row>
    <row r="409" spans="1:45" ht="14.25" customHeight="1" x14ac:dyDescent="0.3">
      <c r="A409" s="34"/>
      <c r="B409" s="16"/>
      <c r="C409" s="15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5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5"/>
      <c r="AI409" s="16"/>
      <c r="AJ409" s="16"/>
      <c r="AK409" s="16"/>
      <c r="AL409" s="16"/>
      <c r="AM409" s="37"/>
      <c r="AN409" s="37"/>
      <c r="AO409" s="37"/>
      <c r="AP409" s="37"/>
      <c r="AQ409" s="37"/>
      <c r="AR409" s="37"/>
      <c r="AS409" s="37"/>
    </row>
    <row r="410" spans="1:45" ht="14.25" customHeight="1" x14ac:dyDescent="0.3">
      <c r="A410" s="34"/>
      <c r="B410" s="16"/>
      <c r="C410" s="15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5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5"/>
      <c r="AI410" s="16"/>
      <c r="AJ410" s="16"/>
      <c r="AK410" s="16"/>
      <c r="AL410" s="16"/>
      <c r="AM410" s="37"/>
      <c r="AN410" s="37"/>
      <c r="AO410" s="37"/>
      <c r="AP410" s="37"/>
      <c r="AQ410" s="37"/>
      <c r="AR410" s="37"/>
      <c r="AS410" s="37"/>
    </row>
    <row r="411" spans="1:45" ht="14.25" customHeight="1" x14ac:dyDescent="0.3">
      <c r="A411" s="34"/>
      <c r="B411" s="16"/>
      <c r="C411" s="15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5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5"/>
      <c r="AI411" s="16"/>
      <c r="AJ411" s="16"/>
      <c r="AK411" s="16"/>
      <c r="AL411" s="16"/>
      <c r="AM411" s="37"/>
      <c r="AN411" s="37"/>
      <c r="AO411" s="37"/>
      <c r="AP411" s="37"/>
      <c r="AQ411" s="37"/>
      <c r="AR411" s="37"/>
      <c r="AS411" s="37"/>
    </row>
    <row r="412" spans="1:45" ht="14.25" customHeight="1" x14ac:dyDescent="0.3">
      <c r="A412" s="34"/>
      <c r="B412" s="16"/>
      <c r="C412" s="15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5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5"/>
      <c r="AI412" s="16"/>
      <c r="AJ412" s="16"/>
      <c r="AK412" s="16"/>
      <c r="AL412" s="16"/>
      <c r="AM412" s="37"/>
      <c r="AN412" s="37"/>
      <c r="AO412" s="37"/>
      <c r="AP412" s="37"/>
      <c r="AQ412" s="37"/>
      <c r="AR412" s="37"/>
      <c r="AS412" s="37"/>
    </row>
    <row r="413" spans="1:45" ht="14.25" customHeight="1" x14ac:dyDescent="0.3">
      <c r="A413" s="34"/>
      <c r="B413" s="16"/>
      <c r="C413" s="15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5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5"/>
      <c r="AI413" s="16"/>
      <c r="AJ413" s="16"/>
      <c r="AK413" s="16"/>
      <c r="AL413" s="16"/>
      <c r="AM413" s="37"/>
      <c r="AN413" s="37"/>
      <c r="AO413" s="37"/>
      <c r="AP413" s="37"/>
      <c r="AQ413" s="37"/>
      <c r="AR413" s="37"/>
      <c r="AS413" s="37"/>
    </row>
    <row r="414" spans="1:45" ht="14.25" customHeight="1" x14ac:dyDescent="0.3">
      <c r="A414" s="34"/>
      <c r="B414" s="16"/>
      <c r="C414" s="15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5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5"/>
      <c r="AI414" s="16"/>
      <c r="AJ414" s="16"/>
      <c r="AK414" s="16"/>
      <c r="AL414" s="16"/>
      <c r="AM414" s="37"/>
      <c r="AN414" s="37"/>
      <c r="AO414" s="37"/>
      <c r="AP414" s="37"/>
      <c r="AQ414" s="37"/>
      <c r="AR414" s="37"/>
      <c r="AS414" s="37"/>
    </row>
    <row r="415" spans="1:45" ht="14.25" customHeight="1" x14ac:dyDescent="0.3">
      <c r="A415" s="34"/>
      <c r="B415" s="16"/>
      <c r="C415" s="15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5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5"/>
      <c r="AI415" s="16"/>
      <c r="AJ415" s="16"/>
      <c r="AK415" s="16"/>
      <c r="AL415" s="16"/>
      <c r="AM415" s="37"/>
      <c r="AN415" s="37"/>
      <c r="AO415" s="37"/>
      <c r="AP415" s="37"/>
      <c r="AQ415" s="37"/>
      <c r="AR415" s="37"/>
      <c r="AS415" s="37"/>
    </row>
    <row r="416" spans="1:45" ht="14.25" customHeight="1" x14ac:dyDescent="0.3">
      <c r="A416" s="34"/>
      <c r="B416" s="16"/>
      <c r="C416" s="15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5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5"/>
      <c r="AI416" s="16"/>
      <c r="AJ416" s="16"/>
      <c r="AK416" s="16"/>
      <c r="AL416" s="16"/>
      <c r="AM416" s="37"/>
      <c r="AN416" s="37"/>
      <c r="AO416" s="37"/>
      <c r="AP416" s="37"/>
      <c r="AQ416" s="37"/>
      <c r="AR416" s="37"/>
      <c r="AS416" s="37"/>
    </row>
    <row r="417" spans="1:45" ht="14.25" customHeight="1" x14ac:dyDescent="0.3">
      <c r="A417" s="34"/>
      <c r="B417" s="16"/>
      <c r="C417" s="15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5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5"/>
      <c r="AI417" s="16"/>
      <c r="AJ417" s="16"/>
      <c r="AK417" s="16"/>
      <c r="AL417" s="16"/>
      <c r="AM417" s="37"/>
      <c r="AN417" s="37"/>
      <c r="AO417" s="37"/>
      <c r="AP417" s="37"/>
      <c r="AQ417" s="37"/>
      <c r="AR417" s="37"/>
      <c r="AS417" s="37"/>
    </row>
    <row r="418" spans="1:45" ht="14.25" customHeight="1" x14ac:dyDescent="0.3">
      <c r="A418" s="34"/>
      <c r="B418" s="16"/>
      <c r="C418" s="15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5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5"/>
      <c r="AI418" s="16"/>
      <c r="AJ418" s="16"/>
      <c r="AK418" s="16"/>
      <c r="AL418" s="16"/>
      <c r="AM418" s="37"/>
      <c r="AN418" s="37"/>
      <c r="AO418" s="37"/>
      <c r="AP418" s="37"/>
      <c r="AQ418" s="37"/>
      <c r="AR418" s="37"/>
      <c r="AS418" s="37"/>
    </row>
    <row r="419" spans="1:45" ht="14.25" customHeight="1" x14ac:dyDescent="0.3">
      <c r="A419" s="34"/>
      <c r="B419" s="16"/>
      <c r="C419" s="15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5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5"/>
      <c r="AI419" s="16"/>
      <c r="AJ419" s="16"/>
      <c r="AK419" s="16"/>
      <c r="AL419" s="16"/>
      <c r="AM419" s="37"/>
      <c r="AN419" s="37"/>
      <c r="AO419" s="37"/>
      <c r="AP419" s="37"/>
      <c r="AQ419" s="37"/>
      <c r="AR419" s="37"/>
      <c r="AS419" s="37"/>
    </row>
    <row r="420" spans="1:45" ht="14.25" customHeight="1" x14ac:dyDescent="0.3">
      <c r="A420" s="34"/>
      <c r="B420" s="16"/>
      <c r="C420" s="15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5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5"/>
      <c r="AI420" s="16"/>
      <c r="AJ420" s="16"/>
      <c r="AK420" s="16"/>
      <c r="AL420" s="16"/>
      <c r="AM420" s="37"/>
      <c r="AN420" s="37"/>
      <c r="AO420" s="37"/>
      <c r="AP420" s="37"/>
      <c r="AQ420" s="37"/>
      <c r="AR420" s="37"/>
      <c r="AS420" s="37"/>
    </row>
    <row r="421" spans="1:45" ht="14.25" customHeight="1" x14ac:dyDescent="0.3">
      <c r="A421" s="34"/>
      <c r="B421" s="16"/>
      <c r="C421" s="15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5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5"/>
      <c r="AI421" s="16"/>
      <c r="AJ421" s="16"/>
      <c r="AK421" s="16"/>
      <c r="AL421" s="16"/>
      <c r="AM421" s="37"/>
      <c r="AN421" s="37"/>
      <c r="AO421" s="37"/>
      <c r="AP421" s="37"/>
      <c r="AQ421" s="37"/>
      <c r="AR421" s="37"/>
      <c r="AS421" s="37"/>
    </row>
    <row r="422" spans="1:45" ht="14.25" customHeight="1" x14ac:dyDescent="0.3">
      <c r="A422" s="34"/>
      <c r="B422" s="16"/>
      <c r="C422" s="15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5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5"/>
      <c r="AI422" s="16"/>
      <c r="AJ422" s="16"/>
      <c r="AK422" s="16"/>
      <c r="AL422" s="16"/>
      <c r="AM422" s="37"/>
      <c r="AN422" s="37"/>
      <c r="AO422" s="37"/>
      <c r="AP422" s="37"/>
      <c r="AQ422" s="37"/>
      <c r="AR422" s="37"/>
      <c r="AS422" s="37"/>
    </row>
    <row r="423" spans="1:45" ht="14.25" customHeight="1" x14ac:dyDescent="0.3">
      <c r="A423" s="34"/>
      <c r="B423" s="16"/>
      <c r="C423" s="15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5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5"/>
      <c r="AI423" s="16"/>
      <c r="AJ423" s="16"/>
      <c r="AK423" s="16"/>
      <c r="AL423" s="16"/>
      <c r="AM423" s="37"/>
      <c r="AN423" s="37"/>
      <c r="AO423" s="37"/>
      <c r="AP423" s="37"/>
      <c r="AQ423" s="37"/>
      <c r="AR423" s="37"/>
      <c r="AS423" s="37"/>
    </row>
    <row r="424" spans="1:45" ht="14.25" customHeight="1" x14ac:dyDescent="0.3">
      <c r="A424" s="34"/>
      <c r="B424" s="16"/>
      <c r="C424" s="15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5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5"/>
      <c r="AI424" s="16"/>
      <c r="AJ424" s="16"/>
      <c r="AK424" s="16"/>
      <c r="AL424" s="16"/>
      <c r="AM424" s="37"/>
      <c r="AN424" s="37"/>
      <c r="AO424" s="37"/>
      <c r="AP424" s="37"/>
      <c r="AQ424" s="37"/>
      <c r="AR424" s="37"/>
      <c r="AS424" s="37"/>
    </row>
    <row r="425" spans="1:45" ht="14.25" customHeight="1" x14ac:dyDescent="0.3">
      <c r="A425" s="34"/>
      <c r="B425" s="16"/>
      <c r="C425" s="15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5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5"/>
      <c r="AI425" s="16"/>
      <c r="AJ425" s="16"/>
      <c r="AK425" s="16"/>
      <c r="AL425" s="16"/>
      <c r="AM425" s="37"/>
      <c r="AN425" s="37"/>
      <c r="AO425" s="37"/>
      <c r="AP425" s="37"/>
      <c r="AQ425" s="37"/>
      <c r="AR425" s="37"/>
      <c r="AS425" s="37"/>
    </row>
    <row r="426" spans="1:45" ht="14.25" customHeight="1" x14ac:dyDescent="0.3">
      <c r="A426" s="34"/>
      <c r="B426" s="16"/>
      <c r="C426" s="15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5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5"/>
      <c r="AI426" s="16"/>
      <c r="AJ426" s="16"/>
      <c r="AK426" s="16"/>
      <c r="AL426" s="16"/>
      <c r="AM426" s="37"/>
      <c r="AN426" s="37"/>
      <c r="AO426" s="37"/>
      <c r="AP426" s="37"/>
      <c r="AQ426" s="37"/>
      <c r="AR426" s="37"/>
      <c r="AS426" s="37"/>
    </row>
    <row r="427" spans="1:45" ht="14.25" customHeight="1" x14ac:dyDescent="0.3">
      <c r="A427" s="34"/>
      <c r="B427" s="16"/>
      <c r="C427" s="15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5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5"/>
      <c r="AI427" s="16"/>
      <c r="AJ427" s="16"/>
      <c r="AK427" s="16"/>
      <c r="AL427" s="16"/>
      <c r="AM427" s="37"/>
      <c r="AN427" s="37"/>
      <c r="AO427" s="37"/>
      <c r="AP427" s="37"/>
      <c r="AQ427" s="37"/>
      <c r="AR427" s="37"/>
      <c r="AS427" s="37"/>
    </row>
    <row r="428" spans="1:45" ht="14.25" customHeight="1" x14ac:dyDescent="0.3">
      <c r="A428" s="34"/>
      <c r="B428" s="16"/>
      <c r="C428" s="15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5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5"/>
      <c r="AI428" s="16"/>
      <c r="AJ428" s="16"/>
      <c r="AK428" s="16"/>
      <c r="AL428" s="16"/>
      <c r="AM428" s="37"/>
      <c r="AN428" s="37"/>
      <c r="AO428" s="37"/>
      <c r="AP428" s="37"/>
      <c r="AQ428" s="37"/>
      <c r="AR428" s="37"/>
      <c r="AS428" s="37"/>
    </row>
    <row r="429" spans="1:45" ht="14.25" customHeight="1" x14ac:dyDescent="0.3">
      <c r="A429" s="34"/>
      <c r="B429" s="16"/>
      <c r="C429" s="15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5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5"/>
      <c r="AI429" s="16"/>
      <c r="AJ429" s="16"/>
      <c r="AK429" s="16"/>
      <c r="AL429" s="16"/>
      <c r="AM429" s="37"/>
      <c r="AN429" s="37"/>
      <c r="AO429" s="37"/>
      <c r="AP429" s="37"/>
      <c r="AQ429" s="37"/>
      <c r="AR429" s="37"/>
      <c r="AS429" s="37"/>
    </row>
    <row r="430" spans="1:45" ht="14.25" customHeight="1" x14ac:dyDescent="0.3">
      <c r="A430" s="34"/>
      <c r="B430" s="16"/>
      <c r="C430" s="15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5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5"/>
      <c r="AI430" s="16"/>
      <c r="AJ430" s="16"/>
      <c r="AK430" s="16"/>
      <c r="AL430" s="16"/>
      <c r="AM430" s="37"/>
      <c r="AN430" s="37"/>
      <c r="AO430" s="37"/>
      <c r="AP430" s="37"/>
      <c r="AQ430" s="37"/>
      <c r="AR430" s="37"/>
      <c r="AS430" s="37"/>
    </row>
    <row r="431" spans="1:45" ht="14.25" customHeight="1" x14ac:dyDescent="0.3">
      <c r="A431" s="34"/>
      <c r="B431" s="16"/>
      <c r="C431" s="15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5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5"/>
      <c r="AI431" s="16"/>
      <c r="AJ431" s="16"/>
      <c r="AK431" s="16"/>
      <c r="AL431" s="16"/>
      <c r="AM431" s="37"/>
      <c r="AN431" s="37"/>
      <c r="AO431" s="37"/>
      <c r="AP431" s="37"/>
      <c r="AQ431" s="37"/>
      <c r="AR431" s="37"/>
      <c r="AS431" s="37"/>
    </row>
    <row r="432" spans="1:45" ht="14.25" customHeight="1" x14ac:dyDescent="0.3">
      <c r="A432" s="34"/>
      <c r="B432" s="16"/>
      <c r="C432" s="15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5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5"/>
      <c r="AI432" s="16"/>
      <c r="AJ432" s="16"/>
      <c r="AK432" s="16"/>
      <c r="AL432" s="16"/>
      <c r="AM432" s="37"/>
      <c r="AN432" s="37"/>
      <c r="AO432" s="37"/>
      <c r="AP432" s="37"/>
      <c r="AQ432" s="37"/>
      <c r="AR432" s="37"/>
      <c r="AS432" s="37"/>
    </row>
    <row r="433" spans="1:45" ht="14.25" customHeight="1" x14ac:dyDescent="0.3">
      <c r="A433" s="34"/>
      <c r="B433" s="16"/>
      <c r="C433" s="15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5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5"/>
      <c r="AI433" s="16"/>
      <c r="AJ433" s="16"/>
      <c r="AK433" s="16"/>
      <c r="AL433" s="16"/>
      <c r="AM433" s="37"/>
      <c r="AN433" s="37"/>
      <c r="AO433" s="37"/>
      <c r="AP433" s="37"/>
      <c r="AQ433" s="37"/>
      <c r="AR433" s="37"/>
      <c r="AS433" s="37"/>
    </row>
    <row r="434" spans="1:45" ht="14.25" customHeight="1" x14ac:dyDescent="0.3">
      <c r="A434" s="34"/>
      <c r="B434" s="16"/>
      <c r="C434" s="15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5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5"/>
      <c r="AI434" s="16"/>
      <c r="AJ434" s="16"/>
      <c r="AK434" s="16"/>
      <c r="AL434" s="16"/>
      <c r="AM434" s="37"/>
      <c r="AN434" s="37"/>
      <c r="AO434" s="37"/>
      <c r="AP434" s="37"/>
      <c r="AQ434" s="37"/>
      <c r="AR434" s="37"/>
      <c r="AS434" s="37"/>
    </row>
    <row r="435" spans="1:45" ht="14.25" customHeight="1" x14ac:dyDescent="0.3">
      <c r="A435" s="34"/>
      <c r="B435" s="16"/>
      <c r="C435" s="15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5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5"/>
      <c r="AI435" s="16"/>
      <c r="AJ435" s="16"/>
      <c r="AK435" s="16"/>
      <c r="AL435" s="16"/>
      <c r="AM435" s="37"/>
      <c r="AN435" s="37"/>
      <c r="AO435" s="37"/>
      <c r="AP435" s="37"/>
      <c r="AQ435" s="37"/>
      <c r="AR435" s="37"/>
      <c r="AS435" s="37"/>
    </row>
    <row r="436" spans="1:45" ht="14.25" customHeight="1" x14ac:dyDescent="0.3">
      <c r="A436" s="34"/>
      <c r="B436" s="16"/>
      <c r="C436" s="15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5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5"/>
      <c r="AI436" s="16"/>
      <c r="AJ436" s="16"/>
      <c r="AK436" s="16"/>
      <c r="AL436" s="16"/>
      <c r="AM436" s="37"/>
      <c r="AN436" s="37"/>
      <c r="AO436" s="37"/>
      <c r="AP436" s="37"/>
      <c r="AQ436" s="37"/>
      <c r="AR436" s="37"/>
      <c r="AS436" s="37"/>
    </row>
    <row r="437" spans="1:45" ht="14.25" customHeight="1" x14ac:dyDescent="0.3">
      <c r="A437" s="34"/>
      <c r="B437" s="16"/>
      <c r="C437" s="15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5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5"/>
      <c r="AI437" s="16"/>
      <c r="AJ437" s="16"/>
      <c r="AK437" s="16"/>
      <c r="AL437" s="16"/>
      <c r="AM437" s="37"/>
      <c r="AN437" s="37"/>
      <c r="AO437" s="37"/>
      <c r="AP437" s="37"/>
      <c r="AQ437" s="37"/>
      <c r="AR437" s="37"/>
      <c r="AS437" s="37"/>
    </row>
    <row r="438" spans="1:45" ht="14.25" customHeight="1" x14ac:dyDescent="0.3">
      <c r="A438" s="34"/>
      <c r="B438" s="16"/>
      <c r="C438" s="15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5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5"/>
      <c r="AI438" s="16"/>
      <c r="AJ438" s="16"/>
      <c r="AK438" s="16"/>
      <c r="AL438" s="16"/>
      <c r="AM438" s="37"/>
      <c r="AN438" s="37"/>
      <c r="AO438" s="37"/>
      <c r="AP438" s="37"/>
      <c r="AQ438" s="37"/>
      <c r="AR438" s="37"/>
      <c r="AS438" s="37"/>
    </row>
    <row r="439" spans="1:45" ht="14.25" customHeight="1" x14ac:dyDescent="0.3">
      <c r="A439" s="34"/>
      <c r="B439" s="16"/>
      <c r="C439" s="15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5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5"/>
      <c r="AI439" s="16"/>
      <c r="AJ439" s="16"/>
      <c r="AK439" s="16"/>
      <c r="AL439" s="16"/>
      <c r="AM439" s="37"/>
      <c r="AN439" s="37"/>
      <c r="AO439" s="37"/>
      <c r="AP439" s="37"/>
      <c r="AQ439" s="37"/>
      <c r="AR439" s="37"/>
      <c r="AS439" s="37"/>
    </row>
    <row r="440" spans="1:45" ht="14.25" customHeight="1" x14ac:dyDescent="0.3">
      <c r="A440" s="34"/>
      <c r="B440" s="16"/>
      <c r="C440" s="15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5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5"/>
      <c r="AI440" s="16"/>
      <c r="AJ440" s="16"/>
      <c r="AK440" s="16"/>
      <c r="AL440" s="16"/>
      <c r="AM440" s="37"/>
      <c r="AN440" s="37"/>
      <c r="AO440" s="37"/>
      <c r="AP440" s="37"/>
      <c r="AQ440" s="37"/>
      <c r="AR440" s="37"/>
      <c r="AS440" s="37"/>
    </row>
    <row r="441" spans="1:45" ht="14.25" customHeight="1" x14ac:dyDescent="0.3">
      <c r="A441" s="34"/>
      <c r="B441" s="16"/>
      <c r="C441" s="15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5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5"/>
      <c r="AI441" s="16"/>
      <c r="AJ441" s="16"/>
      <c r="AK441" s="16"/>
      <c r="AL441" s="16"/>
      <c r="AM441" s="37"/>
      <c r="AN441" s="37"/>
      <c r="AO441" s="37"/>
      <c r="AP441" s="37"/>
      <c r="AQ441" s="37"/>
      <c r="AR441" s="37"/>
      <c r="AS441" s="37"/>
    </row>
    <row r="442" spans="1:45" ht="14.25" customHeight="1" x14ac:dyDescent="0.3">
      <c r="A442" s="34"/>
      <c r="B442" s="16"/>
      <c r="C442" s="15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5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5"/>
      <c r="AI442" s="16"/>
      <c r="AJ442" s="16"/>
      <c r="AK442" s="16"/>
      <c r="AL442" s="16"/>
      <c r="AM442" s="37"/>
      <c r="AN442" s="37"/>
      <c r="AO442" s="37"/>
      <c r="AP442" s="37"/>
      <c r="AQ442" s="37"/>
      <c r="AR442" s="37"/>
      <c r="AS442" s="37"/>
    </row>
    <row r="443" spans="1:45" ht="14.25" customHeight="1" x14ac:dyDescent="0.3">
      <c r="A443" s="34"/>
      <c r="B443" s="16"/>
      <c r="C443" s="15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5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5"/>
      <c r="AI443" s="16"/>
      <c r="AJ443" s="16"/>
      <c r="AK443" s="16"/>
      <c r="AL443" s="16"/>
      <c r="AM443" s="37"/>
      <c r="AN443" s="37"/>
      <c r="AO443" s="37"/>
      <c r="AP443" s="37"/>
      <c r="AQ443" s="37"/>
      <c r="AR443" s="37"/>
      <c r="AS443" s="37"/>
    </row>
    <row r="444" spans="1:45" ht="14.25" customHeight="1" x14ac:dyDescent="0.3">
      <c r="A444" s="34"/>
      <c r="B444" s="16"/>
      <c r="C444" s="15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5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5"/>
      <c r="AI444" s="16"/>
      <c r="AJ444" s="16"/>
      <c r="AK444" s="16"/>
      <c r="AL444" s="16"/>
      <c r="AM444" s="37"/>
      <c r="AN444" s="37"/>
      <c r="AO444" s="37"/>
      <c r="AP444" s="37"/>
      <c r="AQ444" s="37"/>
      <c r="AR444" s="37"/>
      <c r="AS444" s="37"/>
    </row>
    <row r="445" spans="1:45" ht="14.25" customHeight="1" x14ac:dyDescent="0.3">
      <c r="A445" s="34"/>
      <c r="B445" s="16"/>
      <c r="C445" s="15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5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5"/>
      <c r="AI445" s="16"/>
      <c r="AJ445" s="16"/>
      <c r="AK445" s="16"/>
      <c r="AL445" s="16"/>
      <c r="AM445" s="37"/>
      <c r="AN445" s="37"/>
      <c r="AO445" s="37"/>
      <c r="AP445" s="37"/>
      <c r="AQ445" s="37"/>
      <c r="AR445" s="37"/>
      <c r="AS445" s="37"/>
    </row>
    <row r="446" spans="1:45" ht="14.25" customHeight="1" x14ac:dyDescent="0.3">
      <c r="A446" s="34"/>
      <c r="B446" s="16"/>
      <c r="C446" s="15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5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5"/>
      <c r="AI446" s="16"/>
      <c r="AJ446" s="16"/>
      <c r="AK446" s="16"/>
      <c r="AL446" s="16"/>
      <c r="AM446" s="37"/>
      <c r="AN446" s="37"/>
      <c r="AO446" s="37"/>
      <c r="AP446" s="37"/>
      <c r="AQ446" s="37"/>
      <c r="AR446" s="37"/>
      <c r="AS446" s="37"/>
    </row>
    <row r="447" spans="1:45" ht="14.25" customHeight="1" x14ac:dyDescent="0.3">
      <c r="A447" s="34"/>
      <c r="B447" s="16"/>
      <c r="C447" s="15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5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5"/>
      <c r="AI447" s="16"/>
      <c r="AJ447" s="16"/>
      <c r="AK447" s="16"/>
      <c r="AL447" s="16"/>
      <c r="AM447" s="37"/>
      <c r="AN447" s="37"/>
      <c r="AO447" s="37"/>
      <c r="AP447" s="37"/>
      <c r="AQ447" s="37"/>
      <c r="AR447" s="37"/>
      <c r="AS447" s="37"/>
    </row>
    <row r="448" spans="1:45" ht="14.25" customHeight="1" x14ac:dyDescent="0.3">
      <c r="A448" s="34"/>
      <c r="B448" s="16"/>
      <c r="C448" s="15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5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5"/>
      <c r="AI448" s="16"/>
      <c r="AJ448" s="16"/>
      <c r="AK448" s="16"/>
      <c r="AL448" s="16"/>
      <c r="AM448" s="37"/>
      <c r="AN448" s="37"/>
      <c r="AO448" s="37"/>
      <c r="AP448" s="37"/>
      <c r="AQ448" s="37"/>
      <c r="AR448" s="37"/>
      <c r="AS448" s="37"/>
    </row>
    <row r="449" spans="1:45" ht="14.25" customHeight="1" x14ac:dyDescent="0.3">
      <c r="A449" s="34"/>
      <c r="B449" s="16"/>
      <c r="C449" s="15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5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5"/>
      <c r="AI449" s="16"/>
      <c r="AJ449" s="16"/>
      <c r="AK449" s="16"/>
      <c r="AL449" s="16"/>
      <c r="AM449" s="37"/>
      <c r="AN449" s="37"/>
      <c r="AO449" s="37"/>
      <c r="AP449" s="37"/>
      <c r="AQ449" s="37"/>
      <c r="AR449" s="37"/>
      <c r="AS449" s="37"/>
    </row>
    <row r="450" spans="1:45" ht="14.25" customHeight="1" x14ac:dyDescent="0.3">
      <c r="A450" s="34"/>
      <c r="B450" s="16"/>
      <c r="C450" s="15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5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5"/>
      <c r="AI450" s="16"/>
      <c r="AJ450" s="16"/>
      <c r="AK450" s="16"/>
      <c r="AL450" s="16"/>
      <c r="AM450" s="37"/>
      <c r="AN450" s="37"/>
      <c r="AO450" s="37"/>
      <c r="AP450" s="37"/>
      <c r="AQ450" s="37"/>
      <c r="AR450" s="37"/>
      <c r="AS450" s="37"/>
    </row>
    <row r="451" spans="1:45" ht="14.25" customHeight="1" x14ac:dyDescent="0.3">
      <c r="A451" s="34"/>
      <c r="B451" s="16"/>
      <c r="C451" s="15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5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5"/>
      <c r="AI451" s="16"/>
      <c r="AJ451" s="16"/>
      <c r="AK451" s="16"/>
      <c r="AL451" s="16"/>
      <c r="AM451" s="37"/>
      <c r="AN451" s="37"/>
      <c r="AO451" s="37"/>
      <c r="AP451" s="37"/>
      <c r="AQ451" s="37"/>
      <c r="AR451" s="37"/>
      <c r="AS451" s="37"/>
    </row>
    <row r="452" spans="1:45" ht="14.25" customHeight="1" x14ac:dyDescent="0.3">
      <c r="A452" s="34"/>
      <c r="B452" s="16"/>
      <c r="C452" s="15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5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5"/>
      <c r="AI452" s="16"/>
      <c r="AJ452" s="16"/>
      <c r="AK452" s="16"/>
      <c r="AL452" s="16"/>
      <c r="AM452" s="37"/>
      <c r="AN452" s="37"/>
      <c r="AO452" s="37"/>
      <c r="AP452" s="37"/>
      <c r="AQ452" s="37"/>
      <c r="AR452" s="37"/>
      <c r="AS452" s="37"/>
    </row>
    <row r="453" spans="1:45" ht="14.25" customHeight="1" x14ac:dyDescent="0.3">
      <c r="A453" s="34"/>
      <c r="B453" s="16"/>
      <c r="C453" s="15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5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5"/>
      <c r="AI453" s="16"/>
      <c r="AJ453" s="16"/>
      <c r="AK453" s="16"/>
      <c r="AL453" s="16"/>
      <c r="AM453" s="37"/>
      <c r="AN453" s="37"/>
      <c r="AO453" s="37"/>
      <c r="AP453" s="37"/>
      <c r="AQ453" s="37"/>
      <c r="AR453" s="37"/>
      <c r="AS453" s="37"/>
    </row>
    <row r="454" spans="1:45" ht="14.25" customHeight="1" x14ac:dyDescent="0.3">
      <c r="A454" s="34"/>
      <c r="B454" s="16"/>
      <c r="C454" s="15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5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5"/>
      <c r="AI454" s="16"/>
      <c r="AJ454" s="16"/>
      <c r="AK454" s="16"/>
      <c r="AL454" s="16"/>
      <c r="AM454" s="37"/>
      <c r="AN454" s="37"/>
      <c r="AO454" s="37"/>
      <c r="AP454" s="37"/>
      <c r="AQ454" s="37"/>
      <c r="AR454" s="37"/>
      <c r="AS454" s="37"/>
    </row>
    <row r="455" spans="1:45" ht="14.25" customHeight="1" x14ac:dyDescent="0.3">
      <c r="A455" s="34"/>
      <c r="B455" s="16"/>
      <c r="C455" s="15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5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5"/>
      <c r="AI455" s="16"/>
      <c r="AJ455" s="16"/>
      <c r="AK455" s="16"/>
      <c r="AL455" s="16"/>
      <c r="AM455" s="37"/>
      <c r="AN455" s="37"/>
      <c r="AO455" s="37"/>
      <c r="AP455" s="37"/>
      <c r="AQ455" s="37"/>
      <c r="AR455" s="37"/>
      <c r="AS455" s="37"/>
    </row>
    <row r="456" spans="1:45" ht="14.25" customHeight="1" x14ac:dyDescent="0.3">
      <c r="A456" s="34"/>
      <c r="B456" s="16"/>
      <c r="C456" s="15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5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5"/>
      <c r="AI456" s="16"/>
      <c r="AJ456" s="16"/>
      <c r="AK456" s="16"/>
      <c r="AL456" s="16"/>
      <c r="AM456" s="37"/>
      <c r="AN456" s="37"/>
      <c r="AO456" s="37"/>
      <c r="AP456" s="37"/>
      <c r="AQ456" s="37"/>
      <c r="AR456" s="37"/>
      <c r="AS456" s="37"/>
    </row>
    <row r="457" spans="1:45" ht="14.25" customHeight="1" x14ac:dyDescent="0.3">
      <c r="A457" s="34"/>
      <c r="B457" s="16"/>
      <c r="C457" s="15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5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5"/>
      <c r="AI457" s="16"/>
      <c r="AJ457" s="16"/>
      <c r="AK457" s="16"/>
      <c r="AL457" s="16"/>
      <c r="AM457" s="37"/>
      <c r="AN457" s="37"/>
      <c r="AO457" s="37"/>
      <c r="AP457" s="37"/>
      <c r="AQ457" s="37"/>
      <c r="AR457" s="37"/>
      <c r="AS457" s="37"/>
    </row>
    <row r="458" spans="1:45" ht="14.25" customHeight="1" x14ac:dyDescent="0.3">
      <c r="A458" s="34"/>
      <c r="B458" s="16"/>
      <c r="C458" s="15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5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5"/>
      <c r="AI458" s="16"/>
      <c r="AJ458" s="16"/>
      <c r="AK458" s="16"/>
      <c r="AL458" s="16"/>
      <c r="AM458" s="37"/>
      <c r="AN458" s="37"/>
      <c r="AO458" s="37"/>
      <c r="AP458" s="37"/>
      <c r="AQ458" s="37"/>
      <c r="AR458" s="37"/>
      <c r="AS458" s="37"/>
    </row>
    <row r="459" spans="1:45" ht="14.25" customHeight="1" x14ac:dyDescent="0.3">
      <c r="A459" s="34"/>
      <c r="B459" s="16"/>
      <c r="C459" s="15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5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5"/>
      <c r="AI459" s="16"/>
      <c r="AJ459" s="16"/>
      <c r="AK459" s="16"/>
      <c r="AL459" s="16"/>
      <c r="AM459" s="37"/>
      <c r="AN459" s="37"/>
      <c r="AO459" s="37"/>
      <c r="AP459" s="37"/>
      <c r="AQ459" s="37"/>
      <c r="AR459" s="37"/>
      <c r="AS459" s="37"/>
    </row>
    <row r="460" spans="1:45" ht="14.25" customHeight="1" x14ac:dyDescent="0.3">
      <c r="A460" s="34"/>
      <c r="B460" s="16"/>
      <c r="C460" s="15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5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5"/>
      <c r="AI460" s="16"/>
      <c r="AJ460" s="16"/>
      <c r="AK460" s="16"/>
      <c r="AL460" s="16"/>
      <c r="AM460" s="37"/>
      <c r="AN460" s="37"/>
      <c r="AO460" s="37"/>
      <c r="AP460" s="37"/>
      <c r="AQ460" s="37"/>
      <c r="AR460" s="37"/>
      <c r="AS460" s="37"/>
    </row>
    <row r="461" spans="1:45" ht="14.25" customHeight="1" x14ac:dyDescent="0.3">
      <c r="A461" s="34"/>
      <c r="B461" s="16"/>
      <c r="C461" s="15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5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5"/>
      <c r="AI461" s="16"/>
      <c r="AJ461" s="16"/>
      <c r="AK461" s="16"/>
      <c r="AL461" s="16"/>
      <c r="AM461" s="37"/>
      <c r="AN461" s="37"/>
      <c r="AO461" s="37"/>
      <c r="AP461" s="37"/>
      <c r="AQ461" s="37"/>
      <c r="AR461" s="37"/>
      <c r="AS461" s="37"/>
    </row>
    <row r="462" spans="1:45" ht="14.25" customHeight="1" x14ac:dyDescent="0.3">
      <c r="A462" s="34"/>
      <c r="B462" s="16"/>
      <c r="C462" s="15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5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5"/>
      <c r="AI462" s="16"/>
      <c r="AJ462" s="16"/>
      <c r="AK462" s="16"/>
      <c r="AL462" s="16"/>
      <c r="AM462" s="37"/>
      <c r="AN462" s="37"/>
      <c r="AO462" s="37"/>
      <c r="AP462" s="37"/>
      <c r="AQ462" s="37"/>
      <c r="AR462" s="37"/>
      <c r="AS462" s="37"/>
    </row>
    <row r="463" spans="1:45" ht="14.25" customHeight="1" x14ac:dyDescent="0.3">
      <c r="A463" s="34"/>
      <c r="B463" s="16"/>
      <c r="C463" s="15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5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5"/>
      <c r="AI463" s="16"/>
      <c r="AJ463" s="16"/>
      <c r="AK463" s="16"/>
      <c r="AL463" s="16"/>
      <c r="AM463" s="37"/>
      <c r="AN463" s="37"/>
      <c r="AO463" s="37"/>
      <c r="AP463" s="37"/>
      <c r="AQ463" s="37"/>
      <c r="AR463" s="37"/>
      <c r="AS463" s="37"/>
    </row>
    <row r="464" spans="1:45" ht="14.25" customHeight="1" x14ac:dyDescent="0.3">
      <c r="A464" s="34"/>
      <c r="B464" s="16"/>
      <c r="C464" s="15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5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5"/>
      <c r="AI464" s="16"/>
      <c r="AJ464" s="16"/>
      <c r="AK464" s="16"/>
      <c r="AL464" s="16"/>
      <c r="AM464" s="37"/>
      <c r="AN464" s="37"/>
      <c r="AO464" s="37"/>
      <c r="AP464" s="37"/>
      <c r="AQ464" s="37"/>
      <c r="AR464" s="37"/>
      <c r="AS464" s="37"/>
    </row>
    <row r="465" spans="1:45" ht="14.25" customHeight="1" x14ac:dyDescent="0.3">
      <c r="A465" s="34"/>
      <c r="B465" s="16"/>
      <c r="C465" s="15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5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5"/>
      <c r="AI465" s="16"/>
      <c r="AJ465" s="16"/>
      <c r="AK465" s="16"/>
      <c r="AL465" s="16"/>
      <c r="AM465" s="37"/>
      <c r="AN465" s="37"/>
      <c r="AO465" s="37"/>
      <c r="AP465" s="37"/>
      <c r="AQ465" s="37"/>
      <c r="AR465" s="37"/>
      <c r="AS465" s="37"/>
    </row>
    <row r="466" spans="1:45" ht="14.25" customHeight="1" x14ac:dyDescent="0.3">
      <c r="A466" s="34"/>
      <c r="B466" s="16"/>
      <c r="C466" s="15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5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5"/>
      <c r="AI466" s="16"/>
      <c r="AJ466" s="16"/>
      <c r="AK466" s="16"/>
      <c r="AL466" s="16"/>
      <c r="AM466" s="37"/>
      <c r="AN466" s="37"/>
      <c r="AO466" s="37"/>
      <c r="AP466" s="37"/>
      <c r="AQ466" s="37"/>
      <c r="AR466" s="37"/>
      <c r="AS466" s="37"/>
    </row>
    <row r="467" spans="1:45" ht="14.25" customHeight="1" x14ac:dyDescent="0.3">
      <c r="A467" s="34"/>
      <c r="B467" s="16"/>
      <c r="C467" s="15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5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5"/>
      <c r="AI467" s="16"/>
      <c r="AJ467" s="16"/>
      <c r="AK467" s="16"/>
      <c r="AL467" s="16"/>
      <c r="AM467" s="37"/>
      <c r="AN467" s="37"/>
      <c r="AO467" s="37"/>
      <c r="AP467" s="37"/>
      <c r="AQ467" s="37"/>
      <c r="AR467" s="37"/>
      <c r="AS467" s="37"/>
    </row>
    <row r="468" spans="1:45" ht="14.25" customHeight="1" x14ac:dyDescent="0.3">
      <c r="A468" s="34"/>
      <c r="B468" s="16"/>
      <c r="C468" s="15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5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5"/>
      <c r="AI468" s="16"/>
      <c r="AJ468" s="16"/>
      <c r="AK468" s="16"/>
      <c r="AL468" s="16"/>
      <c r="AM468" s="37"/>
      <c r="AN468" s="37"/>
      <c r="AO468" s="37"/>
      <c r="AP468" s="37"/>
      <c r="AQ468" s="37"/>
      <c r="AR468" s="37"/>
      <c r="AS468" s="37"/>
    </row>
    <row r="469" spans="1:45" ht="14.25" customHeight="1" x14ac:dyDescent="0.3">
      <c r="A469" s="34"/>
      <c r="B469" s="16"/>
      <c r="C469" s="15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5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5"/>
      <c r="AI469" s="16"/>
      <c r="AJ469" s="16"/>
      <c r="AK469" s="16"/>
      <c r="AL469" s="16"/>
      <c r="AM469" s="37"/>
      <c r="AN469" s="37"/>
      <c r="AO469" s="37"/>
      <c r="AP469" s="37"/>
      <c r="AQ469" s="37"/>
      <c r="AR469" s="37"/>
      <c r="AS469" s="37"/>
    </row>
    <row r="470" spans="1:45" ht="14.25" customHeight="1" x14ac:dyDescent="0.3">
      <c r="A470" s="34"/>
      <c r="B470" s="16"/>
      <c r="C470" s="15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5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5"/>
      <c r="AI470" s="16"/>
      <c r="AJ470" s="16"/>
      <c r="AK470" s="16"/>
      <c r="AL470" s="16"/>
      <c r="AM470" s="37"/>
      <c r="AN470" s="37"/>
      <c r="AO470" s="37"/>
      <c r="AP470" s="37"/>
      <c r="AQ470" s="37"/>
      <c r="AR470" s="37"/>
      <c r="AS470" s="37"/>
    </row>
    <row r="471" spans="1:45" ht="14.25" customHeight="1" x14ac:dyDescent="0.3">
      <c r="A471" s="34"/>
      <c r="B471" s="16"/>
      <c r="C471" s="15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5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5"/>
      <c r="AI471" s="16"/>
      <c r="AJ471" s="16"/>
      <c r="AK471" s="16"/>
      <c r="AL471" s="16"/>
      <c r="AM471" s="37"/>
      <c r="AN471" s="37"/>
      <c r="AO471" s="37"/>
      <c r="AP471" s="37"/>
      <c r="AQ471" s="37"/>
      <c r="AR471" s="37"/>
      <c r="AS471" s="37"/>
    </row>
    <row r="472" spans="1:45" ht="14.25" customHeight="1" x14ac:dyDescent="0.3">
      <c r="A472" s="34"/>
      <c r="B472" s="16"/>
      <c r="C472" s="15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5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5"/>
      <c r="AI472" s="16"/>
      <c r="AJ472" s="16"/>
      <c r="AK472" s="16"/>
      <c r="AL472" s="16"/>
      <c r="AM472" s="37"/>
      <c r="AN472" s="37"/>
      <c r="AO472" s="37"/>
      <c r="AP472" s="37"/>
      <c r="AQ472" s="37"/>
      <c r="AR472" s="37"/>
      <c r="AS472" s="37"/>
    </row>
    <row r="473" spans="1:45" ht="14.25" customHeight="1" x14ac:dyDescent="0.3">
      <c r="A473" s="34"/>
      <c r="B473" s="16"/>
      <c r="C473" s="15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5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5"/>
      <c r="AI473" s="16"/>
      <c r="AJ473" s="16"/>
      <c r="AK473" s="16"/>
      <c r="AL473" s="16"/>
      <c r="AM473" s="37"/>
      <c r="AN473" s="37"/>
      <c r="AO473" s="37"/>
      <c r="AP473" s="37"/>
      <c r="AQ473" s="37"/>
      <c r="AR473" s="37"/>
      <c r="AS473" s="37"/>
    </row>
    <row r="474" spans="1:45" ht="14.25" customHeight="1" x14ac:dyDescent="0.3">
      <c r="A474" s="34"/>
      <c r="B474" s="16"/>
      <c r="C474" s="15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5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5"/>
      <c r="AI474" s="16"/>
      <c r="AJ474" s="16"/>
      <c r="AK474" s="16"/>
      <c r="AL474" s="16"/>
      <c r="AM474" s="37"/>
      <c r="AN474" s="37"/>
      <c r="AO474" s="37"/>
      <c r="AP474" s="37"/>
      <c r="AQ474" s="37"/>
      <c r="AR474" s="37"/>
      <c r="AS474" s="37"/>
    </row>
    <row r="475" spans="1:45" ht="14.25" customHeight="1" x14ac:dyDescent="0.3">
      <c r="A475" s="34"/>
      <c r="B475" s="16"/>
      <c r="C475" s="15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5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5"/>
      <c r="AI475" s="16"/>
      <c r="AJ475" s="16"/>
      <c r="AK475" s="16"/>
      <c r="AL475" s="16"/>
      <c r="AM475" s="37"/>
      <c r="AN475" s="37"/>
      <c r="AO475" s="37"/>
      <c r="AP475" s="37"/>
      <c r="AQ475" s="37"/>
      <c r="AR475" s="37"/>
      <c r="AS475" s="37"/>
    </row>
    <row r="476" spans="1:45" ht="14.25" customHeight="1" x14ac:dyDescent="0.3">
      <c r="A476" s="34"/>
      <c r="B476" s="16"/>
      <c r="C476" s="15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5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5"/>
      <c r="AI476" s="16"/>
      <c r="AJ476" s="16"/>
      <c r="AK476" s="16"/>
      <c r="AL476" s="16"/>
      <c r="AM476" s="37"/>
      <c r="AN476" s="37"/>
      <c r="AO476" s="37"/>
      <c r="AP476" s="37"/>
      <c r="AQ476" s="37"/>
      <c r="AR476" s="37"/>
      <c r="AS476" s="37"/>
    </row>
    <row r="477" spans="1:45" ht="14.25" customHeight="1" x14ac:dyDescent="0.3">
      <c r="A477" s="34"/>
      <c r="B477" s="16"/>
      <c r="C477" s="15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5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5"/>
      <c r="AI477" s="16"/>
      <c r="AJ477" s="16"/>
      <c r="AK477" s="16"/>
      <c r="AL477" s="16"/>
      <c r="AM477" s="37"/>
      <c r="AN477" s="37"/>
      <c r="AO477" s="37"/>
      <c r="AP477" s="37"/>
      <c r="AQ477" s="37"/>
      <c r="AR477" s="37"/>
      <c r="AS477" s="37"/>
    </row>
    <row r="478" spans="1:45" ht="14.25" customHeight="1" x14ac:dyDescent="0.3">
      <c r="A478" s="34"/>
      <c r="B478" s="16"/>
      <c r="C478" s="15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5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5"/>
      <c r="AI478" s="16"/>
      <c r="AJ478" s="16"/>
      <c r="AK478" s="16"/>
      <c r="AL478" s="16"/>
      <c r="AM478" s="37"/>
      <c r="AN478" s="37"/>
      <c r="AO478" s="37"/>
      <c r="AP478" s="37"/>
      <c r="AQ478" s="37"/>
      <c r="AR478" s="37"/>
      <c r="AS478" s="37"/>
    </row>
    <row r="479" spans="1:45" ht="14.25" customHeight="1" x14ac:dyDescent="0.3">
      <c r="A479" s="34"/>
      <c r="B479" s="16"/>
      <c r="C479" s="15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5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5"/>
      <c r="AI479" s="16"/>
      <c r="AJ479" s="16"/>
      <c r="AK479" s="16"/>
      <c r="AL479" s="16"/>
      <c r="AM479" s="37"/>
      <c r="AN479" s="37"/>
      <c r="AO479" s="37"/>
      <c r="AP479" s="37"/>
      <c r="AQ479" s="37"/>
      <c r="AR479" s="37"/>
      <c r="AS479" s="37"/>
    </row>
    <row r="480" spans="1:45" ht="14.25" customHeight="1" x14ac:dyDescent="0.3">
      <c r="A480" s="34"/>
      <c r="B480" s="16"/>
      <c r="C480" s="15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5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5"/>
      <c r="AI480" s="16"/>
      <c r="AJ480" s="16"/>
      <c r="AK480" s="16"/>
      <c r="AL480" s="16"/>
      <c r="AM480" s="37"/>
      <c r="AN480" s="37"/>
      <c r="AO480" s="37"/>
      <c r="AP480" s="37"/>
      <c r="AQ480" s="37"/>
      <c r="AR480" s="37"/>
      <c r="AS480" s="37"/>
    </row>
    <row r="481" spans="1:45" ht="14.25" customHeight="1" x14ac:dyDescent="0.3">
      <c r="A481" s="34"/>
      <c r="B481" s="16"/>
      <c r="C481" s="15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5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5"/>
      <c r="AI481" s="16"/>
      <c r="AJ481" s="16"/>
      <c r="AK481" s="16"/>
      <c r="AL481" s="16"/>
      <c r="AM481" s="37"/>
      <c r="AN481" s="37"/>
      <c r="AO481" s="37"/>
      <c r="AP481" s="37"/>
      <c r="AQ481" s="37"/>
      <c r="AR481" s="37"/>
      <c r="AS481" s="37"/>
    </row>
    <row r="482" spans="1:45" ht="14.25" customHeight="1" x14ac:dyDescent="0.3">
      <c r="A482" s="34"/>
      <c r="B482" s="16"/>
      <c r="C482" s="15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5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5"/>
      <c r="AI482" s="16"/>
      <c r="AJ482" s="16"/>
      <c r="AK482" s="16"/>
      <c r="AL482" s="16"/>
      <c r="AM482" s="37"/>
      <c r="AN482" s="37"/>
      <c r="AO482" s="37"/>
      <c r="AP482" s="37"/>
      <c r="AQ482" s="37"/>
      <c r="AR482" s="37"/>
      <c r="AS482" s="37"/>
    </row>
    <row r="483" spans="1:45" ht="14.25" customHeight="1" x14ac:dyDescent="0.3">
      <c r="A483" s="34"/>
      <c r="B483" s="16"/>
      <c r="C483" s="15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5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5"/>
      <c r="AI483" s="16"/>
      <c r="AJ483" s="16"/>
      <c r="AK483" s="16"/>
      <c r="AL483" s="16"/>
      <c r="AM483" s="37"/>
      <c r="AN483" s="37"/>
      <c r="AO483" s="37"/>
      <c r="AP483" s="37"/>
      <c r="AQ483" s="37"/>
      <c r="AR483" s="37"/>
      <c r="AS483" s="37"/>
    </row>
    <row r="484" spans="1:45" ht="14.25" customHeight="1" x14ac:dyDescent="0.3">
      <c r="A484" s="34"/>
      <c r="B484" s="16"/>
      <c r="C484" s="15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5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5"/>
      <c r="AI484" s="16"/>
      <c r="AJ484" s="16"/>
      <c r="AK484" s="16"/>
      <c r="AL484" s="16"/>
      <c r="AM484" s="37"/>
      <c r="AN484" s="37"/>
      <c r="AO484" s="37"/>
      <c r="AP484" s="37"/>
      <c r="AQ484" s="37"/>
      <c r="AR484" s="37"/>
      <c r="AS484" s="37"/>
    </row>
    <row r="485" spans="1:45" ht="14.25" customHeight="1" x14ac:dyDescent="0.3">
      <c r="A485" s="34"/>
      <c r="B485" s="16"/>
      <c r="C485" s="15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5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5"/>
      <c r="AI485" s="16"/>
      <c r="AJ485" s="16"/>
      <c r="AK485" s="16"/>
      <c r="AL485" s="16"/>
      <c r="AM485" s="37"/>
      <c r="AN485" s="37"/>
      <c r="AO485" s="37"/>
      <c r="AP485" s="37"/>
      <c r="AQ485" s="37"/>
      <c r="AR485" s="37"/>
      <c r="AS485" s="37"/>
    </row>
    <row r="486" spans="1:45" ht="14.25" customHeight="1" x14ac:dyDescent="0.3">
      <c r="A486" s="34"/>
      <c r="B486" s="16"/>
      <c r="C486" s="15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5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5"/>
      <c r="AI486" s="16"/>
      <c r="AJ486" s="16"/>
      <c r="AK486" s="16"/>
      <c r="AL486" s="16"/>
      <c r="AM486" s="37"/>
      <c r="AN486" s="37"/>
      <c r="AO486" s="37"/>
      <c r="AP486" s="37"/>
      <c r="AQ486" s="37"/>
      <c r="AR486" s="37"/>
      <c r="AS486" s="37"/>
    </row>
    <row r="487" spans="1:45" ht="14.25" customHeight="1" x14ac:dyDescent="0.3">
      <c r="A487" s="34"/>
      <c r="B487" s="16"/>
      <c r="C487" s="15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5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5"/>
      <c r="AI487" s="16"/>
      <c r="AJ487" s="16"/>
      <c r="AK487" s="16"/>
      <c r="AL487" s="16"/>
      <c r="AM487" s="37"/>
      <c r="AN487" s="37"/>
      <c r="AO487" s="37"/>
      <c r="AP487" s="37"/>
      <c r="AQ487" s="37"/>
      <c r="AR487" s="37"/>
      <c r="AS487" s="37"/>
    </row>
    <row r="488" spans="1:45" ht="14.25" customHeight="1" x14ac:dyDescent="0.3">
      <c r="A488" s="34"/>
      <c r="B488" s="16"/>
      <c r="C488" s="15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5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5"/>
      <c r="AI488" s="16"/>
      <c r="AJ488" s="16"/>
      <c r="AK488" s="16"/>
      <c r="AL488" s="16"/>
      <c r="AM488" s="37"/>
      <c r="AN488" s="37"/>
      <c r="AO488" s="37"/>
      <c r="AP488" s="37"/>
      <c r="AQ488" s="37"/>
      <c r="AR488" s="37"/>
      <c r="AS488" s="37"/>
    </row>
    <row r="489" spans="1:45" ht="14.25" customHeight="1" x14ac:dyDescent="0.3">
      <c r="A489" s="34"/>
      <c r="B489" s="16"/>
      <c r="C489" s="15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5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5"/>
      <c r="AI489" s="16"/>
      <c r="AJ489" s="16"/>
      <c r="AK489" s="16"/>
      <c r="AL489" s="16"/>
      <c r="AM489" s="37"/>
      <c r="AN489" s="37"/>
      <c r="AO489" s="37"/>
      <c r="AP489" s="37"/>
      <c r="AQ489" s="37"/>
      <c r="AR489" s="37"/>
      <c r="AS489" s="37"/>
    </row>
    <row r="490" spans="1:45" ht="14.25" customHeight="1" x14ac:dyDescent="0.3">
      <c r="A490" s="34"/>
      <c r="B490" s="16"/>
      <c r="C490" s="15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5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5"/>
      <c r="AI490" s="16"/>
      <c r="AJ490" s="16"/>
      <c r="AK490" s="16"/>
      <c r="AL490" s="16"/>
      <c r="AM490" s="37"/>
      <c r="AN490" s="37"/>
      <c r="AO490" s="37"/>
      <c r="AP490" s="37"/>
      <c r="AQ490" s="37"/>
      <c r="AR490" s="37"/>
      <c r="AS490" s="37"/>
    </row>
    <row r="491" spans="1:45" ht="14.25" customHeight="1" x14ac:dyDescent="0.3">
      <c r="A491" s="34"/>
      <c r="B491" s="16"/>
      <c r="C491" s="15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5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5"/>
      <c r="AI491" s="16"/>
      <c r="AJ491" s="16"/>
      <c r="AK491" s="16"/>
      <c r="AL491" s="16"/>
      <c r="AM491" s="37"/>
      <c r="AN491" s="37"/>
      <c r="AO491" s="37"/>
      <c r="AP491" s="37"/>
      <c r="AQ491" s="37"/>
      <c r="AR491" s="37"/>
      <c r="AS491" s="37"/>
    </row>
    <row r="492" spans="1:45" ht="14.25" customHeight="1" x14ac:dyDescent="0.3">
      <c r="A492" s="34"/>
      <c r="B492" s="16"/>
      <c r="C492" s="15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5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5"/>
      <c r="AI492" s="16"/>
      <c r="AJ492" s="16"/>
      <c r="AK492" s="16"/>
      <c r="AL492" s="16"/>
      <c r="AM492" s="37"/>
      <c r="AN492" s="37"/>
      <c r="AO492" s="37"/>
      <c r="AP492" s="37"/>
      <c r="AQ492" s="37"/>
      <c r="AR492" s="37"/>
      <c r="AS492" s="37"/>
    </row>
    <row r="493" spans="1:45" ht="14.25" customHeight="1" x14ac:dyDescent="0.3">
      <c r="A493" s="34"/>
      <c r="B493" s="16"/>
      <c r="C493" s="15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5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5"/>
      <c r="AI493" s="16"/>
      <c r="AJ493" s="16"/>
      <c r="AK493" s="16"/>
      <c r="AL493" s="16"/>
      <c r="AM493" s="37"/>
      <c r="AN493" s="37"/>
      <c r="AO493" s="37"/>
      <c r="AP493" s="37"/>
      <c r="AQ493" s="37"/>
      <c r="AR493" s="37"/>
      <c r="AS493" s="37"/>
    </row>
    <row r="494" spans="1:45" ht="14.25" customHeight="1" x14ac:dyDescent="0.3">
      <c r="A494" s="34"/>
      <c r="B494" s="16"/>
      <c r="C494" s="15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5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5"/>
      <c r="AI494" s="16"/>
      <c r="AJ494" s="16"/>
      <c r="AK494" s="16"/>
      <c r="AL494" s="16"/>
      <c r="AM494" s="37"/>
      <c r="AN494" s="37"/>
      <c r="AO494" s="37"/>
      <c r="AP494" s="37"/>
      <c r="AQ494" s="37"/>
      <c r="AR494" s="37"/>
      <c r="AS494" s="37"/>
    </row>
    <row r="495" spans="1:45" ht="14.25" customHeight="1" x14ac:dyDescent="0.3">
      <c r="A495" s="34"/>
      <c r="B495" s="16"/>
      <c r="C495" s="15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5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5"/>
      <c r="AI495" s="16"/>
      <c r="AJ495" s="16"/>
      <c r="AK495" s="16"/>
      <c r="AL495" s="16"/>
      <c r="AM495" s="37"/>
      <c r="AN495" s="37"/>
      <c r="AO495" s="37"/>
      <c r="AP495" s="37"/>
      <c r="AQ495" s="37"/>
      <c r="AR495" s="37"/>
      <c r="AS495" s="37"/>
    </row>
    <row r="496" spans="1:45" ht="14.25" customHeight="1" x14ac:dyDescent="0.3">
      <c r="A496" s="34"/>
      <c r="B496" s="16"/>
      <c r="C496" s="15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5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5"/>
      <c r="AI496" s="16"/>
      <c r="AJ496" s="16"/>
      <c r="AK496" s="16"/>
      <c r="AL496" s="16"/>
      <c r="AM496" s="37"/>
      <c r="AN496" s="37"/>
      <c r="AO496" s="37"/>
      <c r="AP496" s="37"/>
      <c r="AQ496" s="37"/>
      <c r="AR496" s="37"/>
      <c r="AS496" s="37"/>
    </row>
    <row r="497" spans="1:45" ht="14.25" customHeight="1" x14ac:dyDescent="0.3">
      <c r="A497" s="34"/>
      <c r="B497" s="16"/>
      <c r="C497" s="15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5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5"/>
      <c r="AI497" s="16"/>
      <c r="AJ497" s="16"/>
      <c r="AK497" s="16"/>
      <c r="AL497" s="16"/>
      <c r="AM497" s="37"/>
      <c r="AN497" s="37"/>
      <c r="AO497" s="37"/>
      <c r="AP497" s="37"/>
      <c r="AQ497" s="37"/>
      <c r="AR497" s="37"/>
      <c r="AS497" s="37"/>
    </row>
    <row r="498" spans="1:45" ht="14.25" customHeight="1" x14ac:dyDescent="0.3">
      <c r="A498" s="34"/>
      <c r="B498" s="16"/>
      <c r="C498" s="15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5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5"/>
      <c r="AI498" s="16"/>
      <c r="AJ498" s="16"/>
      <c r="AK498" s="16"/>
      <c r="AL498" s="16"/>
      <c r="AM498" s="37"/>
      <c r="AN498" s="37"/>
      <c r="AO498" s="37"/>
      <c r="AP498" s="37"/>
      <c r="AQ498" s="37"/>
      <c r="AR498" s="37"/>
      <c r="AS498" s="37"/>
    </row>
    <row r="499" spans="1:45" ht="14.25" customHeight="1" x14ac:dyDescent="0.3">
      <c r="A499" s="34"/>
      <c r="B499" s="16"/>
      <c r="C499" s="15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5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5"/>
      <c r="AI499" s="16"/>
      <c r="AJ499" s="16"/>
      <c r="AK499" s="16"/>
      <c r="AL499" s="16"/>
      <c r="AM499" s="37"/>
      <c r="AN499" s="37"/>
      <c r="AO499" s="37"/>
      <c r="AP499" s="37"/>
      <c r="AQ499" s="37"/>
      <c r="AR499" s="37"/>
      <c r="AS499" s="37"/>
    </row>
    <row r="500" spans="1:45" ht="14.25" customHeight="1" x14ac:dyDescent="0.3">
      <c r="A500" s="34"/>
      <c r="B500" s="16"/>
      <c r="C500" s="15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5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5"/>
      <c r="AI500" s="16"/>
      <c r="AJ500" s="16"/>
      <c r="AK500" s="16"/>
      <c r="AL500" s="16"/>
      <c r="AM500" s="37"/>
      <c r="AN500" s="37"/>
      <c r="AO500" s="37"/>
      <c r="AP500" s="37"/>
      <c r="AQ500" s="37"/>
      <c r="AR500" s="37"/>
      <c r="AS500" s="37"/>
    </row>
    <row r="501" spans="1:45" ht="14.25" customHeight="1" x14ac:dyDescent="0.3">
      <c r="A501" s="34"/>
      <c r="B501" s="16"/>
      <c r="C501" s="15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5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5"/>
      <c r="AI501" s="16"/>
      <c r="AJ501" s="16"/>
      <c r="AK501" s="16"/>
      <c r="AL501" s="16"/>
      <c r="AM501" s="37"/>
      <c r="AN501" s="37"/>
      <c r="AO501" s="37"/>
      <c r="AP501" s="37"/>
      <c r="AQ501" s="37"/>
      <c r="AR501" s="37"/>
      <c r="AS501" s="37"/>
    </row>
    <row r="502" spans="1:45" ht="14.25" customHeight="1" x14ac:dyDescent="0.3">
      <c r="A502" s="34"/>
      <c r="B502" s="16"/>
      <c r="C502" s="15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5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5"/>
      <c r="AI502" s="16"/>
      <c r="AJ502" s="16"/>
      <c r="AK502" s="16"/>
      <c r="AL502" s="16"/>
      <c r="AM502" s="37"/>
      <c r="AN502" s="37"/>
      <c r="AO502" s="37"/>
      <c r="AP502" s="37"/>
      <c r="AQ502" s="37"/>
      <c r="AR502" s="37"/>
      <c r="AS502" s="37"/>
    </row>
    <row r="503" spans="1:45" ht="14.25" customHeight="1" x14ac:dyDescent="0.3">
      <c r="A503" s="34"/>
      <c r="B503" s="16"/>
      <c r="C503" s="15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5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5"/>
      <c r="AI503" s="16"/>
      <c r="AJ503" s="16"/>
      <c r="AK503" s="16"/>
      <c r="AL503" s="16"/>
      <c r="AM503" s="37"/>
      <c r="AN503" s="37"/>
      <c r="AO503" s="37"/>
      <c r="AP503" s="37"/>
      <c r="AQ503" s="37"/>
      <c r="AR503" s="37"/>
      <c r="AS503" s="37"/>
    </row>
    <row r="504" spans="1:45" ht="14.25" customHeight="1" x14ac:dyDescent="0.3">
      <c r="A504" s="34"/>
      <c r="B504" s="16"/>
      <c r="C504" s="15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5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5"/>
      <c r="AI504" s="16"/>
      <c r="AJ504" s="16"/>
      <c r="AK504" s="16"/>
      <c r="AL504" s="16"/>
      <c r="AM504" s="37"/>
      <c r="AN504" s="37"/>
      <c r="AO504" s="37"/>
      <c r="AP504" s="37"/>
      <c r="AQ504" s="37"/>
      <c r="AR504" s="37"/>
      <c r="AS504" s="37"/>
    </row>
    <row r="505" spans="1:45" ht="14.25" customHeight="1" x14ac:dyDescent="0.3">
      <c r="A505" s="34"/>
      <c r="B505" s="16"/>
      <c r="C505" s="15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5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5"/>
      <c r="AI505" s="16"/>
      <c r="AJ505" s="16"/>
      <c r="AK505" s="16"/>
      <c r="AL505" s="16"/>
      <c r="AM505" s="37"/>
      <c r="AN505" s="37"/>
      <c r="AO505" s="37"/>
      <c r="AP505" s="37"/>
      <c r="AQ505" s="37"/>
      <c r="AR505" s="37"/>
      <c r="AS505" s="37"/>
    </row>
    <row r="506" spans="1:45" ht="14.25" customHeight="1" x14ac:dyDescent="0.3">
      <c r="A506" s="34"/>
      <c r="B506" s="16"/>
      <c r="C506" s="15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5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5"/>
      <c r="AI506" s="16"/>
      <c r="AJ506" s="16"/>
      <c r="AK506" s="16"/>
      <c r="AL506" s="16"/>
      <c r="AM506" s="37"/>
      <c r="AN506" s="37"/>
      <c r="AO506" s="37"/>
      <c r="AP506" s="37"/>
      <c r="AQ506" s="37"/>
      <c r="AR506" s="37"/>
      <c r="AS506" s="37"/>
    </row>
    <row r="507" spans="1:45" ht="14.25" customHeight="1" x14ac:dyDescent="0.3">
      <c r="A507" s="34"/>
      <c r="B507" s="16"/>
      <c r="C507" s="15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5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5"/>
      <c r="AI507" s="16"/>
      <c r="AJ507" s="16"/>
      <c r="AK507" s="16"/>
      <c r="AL507" s="16"/>
      <c r="AM507" s="37"/>
      <c r="AN507" s="37"/>
      <c r="AO507" s="37"/>
      <c r="AP507" s="37"/>
      <c r="AQ507" s="37"/>
      <c r="AR507" s="37"/>
      <c r="AS507" s="37"/>
    </row>
    <row r="508" spans="1:45" ht="14.25" customHeight="1" x14ac:dyDescent="0.3">
      <c r="A508" s="34"/>
      <c r="B508" s="16"/>
      <c r="C508" s="15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5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5"/>
      <c r="AI508" s="16"/>
      <c r="AJ508" s="16"/>
      <c r="AK508" s="16"/>
      <c r="AL508" s="16"/>
      <c r="AM508" s="37"/>
      <c r="AN508" s="37"/>
      <c r="AO508" s="37"/>
      <c r="AP508" s="37"/>
      <c r="AQ508" s="37"/>
      <c r="AR508" s="37"/>
      <c r="AS508" s="37"/>
    </row>
    <row r="509" spans="1:45" ht="14.25" customHeight="1" x14ac:dyDescent="0.3">
      <c r="A509" s="34"/>
      <c r="B509" s="16"/>
      <c r="C509" s="15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5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5"/>
      <c r="AI509" s="16"/>
      <c r="AJ509" s="16"/>
      <c r="AK509" s="16"/>
      <c r="AL509" s="16"/>
      <c r="AM509" s="37"/>
      <c r="AN509" s="37"/>
      <c r="AO509" s="37"/>
      <c r="AP509" s="37"/>
      <c r="AQ509" s="37"/>
      <c r="AR509" s="37"/>
      <c r="AS509" s="37"/>
    </row>
    <row r="510" spans="1:45" ht="14.25" customHeight="1" x14ac:dyDescent="0.3">
      <c r="A510" s="34"/>
      <c r="B510" s="16"/>
      <c r="C510" s="15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5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5"/>
      <c r="AI510" s="16"/>
      <c r="AJ510" s="16"/>
      <c r="AK510" s="16"/>
      <c r="AL510" s="16"/>
      <c r="AM510" s="37"/>
      <c r="AN510" s="37"/>
      <c r="AO510" s="37"/>
      <c r="AP510" s="37"/>
      <c r="AQ510" s="37"/>
      <c r="AR510" s="37"/>
      <c r="AS510" s="37"/>
    </row>
    <row r="511" spans="1:45" ht="14.25" customHeight="1" x14ac:dyDescent="0.3">
      <c r="A511" s="34"/>
      <c r="B511" s="16"/>
      <c r="C511" s="15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5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5"/>
      <c r="AI511" s="16"/>
      <c r="AJ511" s="16"/>
      <c r="AK511" s="16"/>
      <c r="AL511" s="16"/>
      <c r="AM511" s="37"/>
      <c r="AN511" s="37"/>
      <c r="AO511" s="37"/>
      <c r="AP511" s="37"/>
      <c r="AQ511" s="37"/>
      <c r="AR511" s="37"/>
      <c r="AS511" s="37"/>
    </row>
    <row r="512" spans="1:45" ht="14.25" customHeight="1" x14ac:dyDescent="0.3">
      <c r="A512" s="34"/>
      <c r="B512" s="16"/>
      <c r="C512" s="15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5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5"/>
      <c r="AI512" s="16"/>
      <c r="AJ512" s="16"/>
      <c r="AK512" s="16"/>
      <c r="AL512" s="16"/>
      <c r="AM512" s="37"/>
      <c r="AN512" s="37"/>
      <c r="AO512" s="37"/>
      <c r="AP512" s="37"/>
      <c r="AQ512" s="37"/>
      <c r="AR512" s="37"/>
      <c r="AS512" s="37"/>
    </row>
    <row r="513" spans="1:45" ht="14.25" customHeight="1" x14ac:dyDescent="0.3">
      <c r="A513" s="34"/>
      <c r="B513" s="16"/>
      <c r="C513" s="15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5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5"/>
      <c r="AI513" s="16"/>
      <c r="AJ513" s="16"/>
      <c r="AK513" s="16"/>
      <c r="AL513" s="16"/>
      <c r="AM513" s="37"/>
      <c r="AN513" s="37"/>
      <c r="AO513" s="37"/>
      <c r="AP513" s="37"/>
      <c r="AQ513" s="37"/>
      <c r="AR513" s="37"/>
      <c r="AS513" s="37"/>
    </row>
    <row r="514" spans="1:45" ht="14.25" customHeight="1" x14ac:dyDescent="0.3">
      <c r="A514" s="34"/>
      <c r="B514" s="16"/>
      <c r="C514" s="15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5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5"/>
      <c r="AI514" s="16"/>
      <c r="AJ514" s="16"/>
      <c r="AK514" s="16"/>
      <c r="AL514" s="16"/>
      <c r="AM514" s="37"/>
      <c r="AN514" s="37"/>
      <c r="AO514" s="37"/>
      <c r="AP514" s="37"/>
      <c r="AQ514" s="37"/>
      <c r="AR514" s="37"/>
      <c r="AS514" s="37"/>
    </row>
    <row r="515" spans="1:45" ht="14.25" customHeight="1" x14ac:dyDescent="0.3">
      <c r="A515" s="34"/>
      <c r="B515" s="16"/>
      <c r="C515" s="15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5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5"/>
      <c r="AI515" s="16"/>
      <c r="AJ515" s="16"/>
      <c r="AK515" s="16"/>
      <c r="AL515" s="16"/>
      <c r="AM515" s="37"/>
      <c r="AN515" s="37"/>
      <c r="AO515" s="37"/>
      <c r="AP515" s="37"/>
      <c r="AQ515" s="37"/>
      <c r="AR515" s="37"/>
      <c r="AS515" s="37"/>
    </row>
    <row r="516" spans="1:45" ht="14.25" customHeight="1" x14ac:dyDescent="0.3">
      <c r="A516" s="34"/>
      <c r="B516" s="16"/>
      <c r="C516" s="15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5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5"/>
      <c r="AI516" s="16"/>
      <c r="AJ516" s="16"/>
      <c r="AK516" s="16"/>
      <c r="AL516" s="16"/>
      <c r="AM516" s="37"/>
      <c r="AN516" s="37"/>
      <c r="AO516" s="37"/>
      <c r="AP516" s="37"/>
      <c r="AQ516" s="37"/>
      <c r="AR516" s="37"/>
      <c r="AS516" s="37"/>
    </row>
    <row r="517" spans="1:45" ht="14.25" customHeight="1" x14ac:dyDescent="0.3">
      <c r="A517" s="34"/>
      <c r="B517" s="16"/>
      <c r="C517" s="15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5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5"/>
      <c r="AI517" s="16"/>
      <c r="AJ517" s="16"/>
      <c r="AK517" s="16"/>
      <c r="AL517" s="16"/>
      <c r="AM517" s="37"/>
      <c r="AN517" s="37"/>
      <c r="AO517" s="37"/>
      <c r="AP517" s="37"/>
      <c r="AQ517" s="37"/>
      <c r="AR517" s="37"/>
      <c r="AS517" s="37"/>
    </row>
    <row r="518" spans="1:45" ht="14.25" customHeight="1" x14ac:dyDescent="0.3">
      <c r="A518" s="34"/>
      <c r="B518" s="16"/>
      <c r="C518" s="15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5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5"/>
      <c r="AI518" s="16"/>
      <c r="AJ518" s="16"/>
      <c r="AK518" s="16"/>
      <c r="AL518" s="16"/>
      <c r="AM518" s="37"/>
      <c r="AN518" s="37"/>
      <c r="AO518" s="37"/>
      <c r="AP518" s="37"/>
      <c r="AQ518" s="37"/>
      <c r="AR518" s="37"/>
      <c r="AS518" s="37"/>
    </row>
    <row r="519" spans="1:45" ht="14.25" customHeight="1" x14ac:dyDescent="0.3">
      <c r="A519" s="34"/>
      <c r="B519" s="16"/>
      <c r="C519" s="15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5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5"/>
      <c r="AI519" s="16"/>
      <c r="AJ519" s="16"/>
      <c r="AK519" s="16"/>
      <c r="AL519" s="16"/>
      <c r="AM519" s="37"/>
      <c r="AN519" s="37"/>
      <c r="AO519" s="37"/>
      <c r="AP519" s="37"/>
      <c r="AQ519" s="37"/>
      <c r="AR519" s="37"/>
      <c r="AS519" s="37"/>
    </row>
    <row r="520" spans="1:45" ht="14.25" customHeight="1" x14ac:dyDescent="0.3">
      <c r="A520" s="34"/>
      <c r="B520" s="16"/>
      <c r="C520" s="15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5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5"/>
      <c r="AI520" s="16"/>
      <c r="AJ520" s="16"/>
      <c r="AK520" s="16"/>
      <c r="AL520" s="16"/>
      <c r="AM520" s="37"/>
      <c r="AN520" s="37"/>
      <c r="AO520" s="37"/>
      <c r="AP520" s="37"/>
      <c r="AQ520" s="37"/>
      <c r="AR520" s="37"/>
      <c r="AS520" s="37"/>
    </row>
    <row r="521" spans="1:45" ht="14.25" customHeight="1" x14ac:dyDescent="0.3">
      <c r="A521" s="34"/>
      <c r="B521" s="16"/>
      <c r="C521" s="15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5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5"/>
      <c r="AI521" s="16"/>
      <c r="AJ521" s="16"/>
      <c r="AK521" s="16"/>
      <c r="AL521" s="16"/>
      <c r="AM521" s="37"/>
      <c r="AN521" s="37"/>
      <c r="AO521" s="37"/>
      <c r="AP521" s="37"/>
      <c r="AQ521" s="37"/>
      <c r="AR521" s="37"/>
      <c r="AS521" s="37"/>
    </row>
    <row r="522" spans="1:45" ht="14.25" customHeight="1" x14ac:dyDescent="0.3">
      <c r="A522" s="34"/>
      <c r="B522" s="16"/>
      <c r="C522" s="15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5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5"/>
      <c r="AI522" s="16"/>
      <c r="AJ522" s="16"/>
      <c r="AK522" s="16"/>
      <c r="AL522" s="16"/>
      <c r="AM522" s="37"/>
      <c r="AN522" s="37"/>
      <c r="AO522" s="37"/>
      <c r="AP522" s="37"/>
      <c r="AQ522" s="37"/>
      <c r="AR522" s="37"/>
      <c r="AS522" s="37"/>
    </row>
    <row r="523" spans="1:45" ht="14.25" customHeight="1" x14ac:dyDescent="0.3">
      <c r="A523" s="34"/>
      <c r="B523" s="16"/>
      <c r="C523" s="15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5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5"/>
      <c r="AI523" s="16"/>
      <c r="AJ523" s="16"/>
      <c r="AK523" s="16"/>
      <c r="AL523" s="16"/>
      <c r="AM523" s="37"/>
      <c r="AN523" s="37"/>
      <c r="AO523" s="37"/>
      <c r="AP523" s="37"/>
      <c r="AQ523" s="37"/>
      <c r="AR523" s="37"/>
      <c r="AS523" s="37"/>
    </row>
    <row r="524" spans="1:45" ht="14.25" customHeight="1" x14ac:dyDescent="0.3">
      <c r="A524" s="34"/>
      <c r="B524" s="16"/>
      <c r="C524" s="15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5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5"/>
      <c r="AI524" s="16"/>
      <c r="AJ524" s="16"/>
      <c r="AK524" s="16"/>
      <c r="AL524" s="16"/>
      <c r="AM524" s="37"/>
      <c r="AN524" s="37"/>
      <c r="AO524" s="37"/>
      <c r="AP524" s="37"/>
      <c r="AQ524" s="37"/>
      <c r="AR524" s="37"/>
      <c r="AS524" s="37"/>
    </row>
    <row r="525" spans="1:45" ht="14.25" customHeight="1" x14ac:dyDescent="0.3">
      <c r="A525" s="34"/>
      <c r="B525" s="16"/>
      <c r="C525" s="15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5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5"/>
      <c r="AI525" s="16"/>
      <c r="AJ525" s="16"/>
      <c r="AK525" s="16"/>
      <c r="AL525" s="16"/>
      <c r="AM525" s="37"/>
      <c r="AN525" s="37"/>
      <c r="AO525" s="37"/>
      <c r="AP525" s="37"/>
      <c r="AQ525" s="37"/>
      <c r="AR525" s="37"/>
      <c r="AS525" s="37"/>
    </row>
    <row r="526" spans="1:45" ht="14.25" customHeight="1" x14ac:dyDescent="0.3">
      <c r="A526" s="34"/>
      <c r="B526" s="16"/>
      <c r="C526" s="15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5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5"/>
      <c r="AI526" s="16"/>
      <c r="AJ526" s="16"/>
      <c r="AK526" s="16"/>
      <c r="AL526" s="16"/>
      <c r="AM526" s="37"/>
      <c r="AN526" s="37"/>
      <c r="AO526" s="37"/>
      <c r="AP526" s="37"/>
      <c r="AQ526" s="37"/>
      <c r="AR526" s="37"/>
      <c r="AS526" s="37"/>
    </row>
    <row r="527" spans="1:45" ht="14.25" customHeight="1" x14ac:dyDescent="0.3">
      <c r="A527" s="34"/>
      <c r="B527" s="16"/>
      <c r="C527" s="15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5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5"/>
      <c r="AI527" s="16"/>
      <c r="AJ527" s="16"/>
      <c r="AK527" s="16"/>
      <c r="AL527" s="16"/>
      <c r="AM527" s="37"/>
      <c r="AN527" s="37"/>
      <c r="AO527" s="37"/>
      <c r="AP527" s="37"/>
      <c r="AQ527" s="37"/>
      <c r="AR527" s="37"/>
      <c r="AS527" s="37"/>
    </row>
    <row r="528" spans="1:45" ht="14.25" customHeight="1" x14ac:dyDescent="0.3">
      <c r="A528" s="34"/>
      <c r="B528" s="16"/>
      <c r="C528" s="15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5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5"/>
      <c r="AI528" s="16"/>
      <c r="AJ528" s="16"/>
      <c r="AK528" s="16"/>
      <c r="AL528" s="16"/>
      <c r="AM528" s="37"/>
      <c r="AN528" s="37"/>
      <c r="AO528" s="37"/>
      <c r="AP528" s="37"/>
      <c r="AQ528" s="37"/>
      <c r="AR528" s="37"/>
      <c r="AS528" s="37"/>
    </row>
    <row r="529" spans="1:45" ht="14.25" customHeight="1" x14ac:dyDescent="0.3">
      <c r="A529" s="34"/>
      <c r="B529" s="16"/>
      <c r="C529" s="15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5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5"/>
      <c r="AI529" s="16"/>
      <c r="AJ529" s="16"/>
      <c r="AK529" s="16"/>
      <c r="AL529" s="16"/>
      <c r="AM529" s="37"/>
      <c r="AN529" s="37"/>
      <c r="AO529" s="37"/>
      <c r="AP529" s="37"/>
      <c r="AQ529" s="37"/>
      <c r="AR529" s="37"/>
      <c r="AS529" s="37"/>
    </row>
    <row r="530" spans="1:45" ht="14.25" customHeight="1" x14ac:dyDescent="0.3">
      <c r="A530" s="34"/>
      <c r="B530" s="16"/>
      <c r="C530" s="15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5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5"/>
      <c r="AI530" s="16"/>
      <c r="AJ530" s="16"/>
      <c r="AK530" s="16"/>
      <c r="AL530" s="16"/>
      <c r="AM530" s="37"/>
      <c r="AN530" s="37"/>
      <c r="AO530" s="37"/>
      <c r="AP530" s="37"/>
      <c r="AQ530" s="37"/>
      <c r="AR530" s="37"/>
      <c r="AS530" s="37"/>
    </row>
    <row r="531" spans="1:45" ht="14.25" customHeight="1" x14ac:dyDescent="0.3">
      <c r="A531" s="34"/>
      <c r="B531" s="16"/>
      <c r="C531" s="15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5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5"/>
      <c r="AI531" s="16"/>
      <c r="AJ531" s="16"/>
      <c r="AK531" s="16"/>
      <c r="AL531" s="16"/>
      <c r="AM531" s="37"/>
      <c r="AN531" s="37"/>
      <c r="AO531" s="37"/>
      <c r="AP531" s="37"/>
      <c r="AQ531" s="37"/>
      <c r="AR531" s="37"/>
      <c r="AS531" s="37"/>
    </row>
    <row r="532" spans="1:45" ht="14.25" customHeight="1" x14ac:dyDescent="0.3">
      <c r="A532" s="34"/>
      <c r="B532" s="16"/>
      <c r="C532" s="15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5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5"/>
      <c r="AI532" s="16"/>
      <c r="AJ532" s="16"/>
      <c r="AK532" s="16"/>
      <c r="AL532" s="16"/>
      <c r="AM532" s="37"/>
      <c r="AN532" s="37"/>
      <c r="AO532" s="37"/>
      <c r="AP532" s="37"/>
      <c r="AQ532" s="37"/>
      <c r="AR532" s="37"/>
      <c r="AS532" s="37"/>
    </row>
    <row r="533" spans="1:45" ht="14.25" customHeight="1" x14ac:dyDescent="0.3">
      <c r="A533" s="34"/>
      <c r="B533" s="16"/>
      <c r="C533" s="15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5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5"/>
      <c r="AI533" s="16"/>
      <c r="AJ533" s="16"/>
      <c r="AK533" s="16"/>
      <c r="AL533" s="16"/>
      <c r="AM533" s="37"/>
      <c r="AN533" s="37"/>
      <c r="AO533" s="37"/>
      <c r="AP533" s="37"/>
      <c r="AQ533" s="37"/>
      <c r="AR533" s="37"/>
      <c r="AS533" s="37"/>
    </row>
    <row r="534" spans="1:45" ht="14.25" customHeight="1" x14ac:dyDescent="0.3">
      <c r="A534" s="34"/>
      <c r="B534" s="16"/>
      <c r="C534" s="15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5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5"/>
      <c r="AI534" s="16"/>
      <c r="AJ534" s="16"/>
      <c r="AK534" s="16"/>
      <c r="AL534" s="16"/>
      <c r="AM534" s="37"/>
      <c r="AN534" s="37"/>
      <c r="AO534" s="37"/>
      <c r="AP534" s="37"/>
      <c r="AQ534" s="37"/>
      <c r="AR534" s="37"/>
      <c r="AS534" s="37"/>
    </row>
    <row r="535" spans="1:45" ht="14.25" customHeight="1" x14ac:dyDescent="0.3">
      <c r="A535" s="34"/>
      <c r="B535" s="16"/>
      <c r="C535" s="15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5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5"/>
      <c r="AI535" s="16"/>
      <c r="AJ535" s="16"/>
      <c r="AK535" s="16"/>
      <c r="AL535" s="16"/>
      <c r="AM535" s="37"/>
      <c r="AN535" s="37"/>
      <c r="AO535" s="37"/>
      <c r="AP535" s="37"/>
      <c r="AQ535" s="37"/>
      <c r="AR535" s="37"/>
      <c r="AS535" s="37"/>
    </row>
    <row r="536" spans="1:45" ht="14.25" customHeight="1" x14ac:dyDescent="0.3">
      <c r="A536" s="34"/>
      <c r="B536" s="16"/>
      <c r="C536" s="15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5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5"/>
      <c r="AI536" s="16"/>
      <c r="AJ536" s="16"/>
      <c r="AK536" s="16"/>
      <c r="AL536" s="16"/>
      <c r="AM536" s="37"/>
      <c r="AN536" s="37"/>
      <c r="AO536" s="37"/>
      <c r="AP536" s="37"/>
      <c r="AQ536" s="37"/>
      <c r="AR536" s="37"/>
      <c r="AS536" s="37"/>
    </row>
    <row r="537" spans="1:45" ht="14.25" customHeight="1" x14ac:dyDescent="0.3">
      <c r="A537" s="34"/>
      <c r="B537" s="16"/>
      <c r="C537" s="15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5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5"/>
      <c r="AI537" s="16"/>
      <c r="AJ537" s="16"/>
      <c r="AK537" s="16"/>
      <c r="AL537" s="16"/>
      <c r="AM537" s="37"/>
      <c r="AN537" s="37"/>
      <c r="AO537" s="37"/>
      <c r="AP537" s="37"/>
      <c r="AQ537" s="37"/>
      <c r="AR537" s="37"/>
      <c r="AS537" s="37"/>
    </row>
    <row r="538" spans="1:45" ht="14.25" customHeight="1" x14ac:dyDescent="0.3">
      <c r="A538" s="34"/>
      <c r="B538" s="16"/>
      <c r="C538" s="15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5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5"/>
      <c r="AI538" s="16"/>
      <c r="AJ538" s="16"/>
      <c r="AK538" s="16"/>
      <c r="AL538" s="16"/>
      <c r="AM538" s="37"/>
      <c r="AN538" s="37"/>
      <c r="AO538" s="37"/>
      <c r="AP538" s="37"/>
      <c r="AQ538" s="37"/>
      <c r="AR538" s="37"/>
      <c r="AS538" s="37"/>
    </row>
    <row r="539" spans="1:45" ht="14.25" customHeight="1" x14ac:dyDescent="0.3">
      <c r="A539" s="34"/>
      <c r="B539" s="16"/>
      <c r="C539" s="15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5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5"/>
      <c r="AI539" s="16"/>
      <c r="AJ539" s="16"/>
      <c r="AK539" s="16"/>
      <c r="AL539" s="16"/>
      <c r="AM539" s="37"/>
      <c r="AN539" s="37"/>
      <c r="AO539" s="37"/>
      <c r="AP539" s="37"/>
      <c r="AQ539" s="37"/>
      <c r="AR539" s="37"/>
      <c r="AS539" s="37"/>
    </row>
    <row r="540" spans="1:45" ht="14.25" customHeight="1" x14ac:dyDescent="0.3">
      <c r="A540" s="34"/>
      <c r="B540" s="16"/>
      <c r="C540" s="15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5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5"/>
      <c r="AI540" s="16"/>
      <c r="AJ540" s="16"/>
      <c r="AK540" s="16"/>
      <c r="AL540" s="16"/>
      <c r="AM540" s="37"/>
      <c r="AN540" s="37"/>
      <c r="AO540" s="37"/>
      <c r="AP540" s="37"/>
      <c r="AQ540" s="37"/>
      <c r="AR540" s="37"/>
      <c r="AS540" s="37"/>
    </row>
    <row r="541" spans="1:45" ht="14.25" customHeight="1" x14ac:dyDescent="0.3">
      <c r="A541" s="34"/>
      <c r="B541" s="16"/>
      <c r="C541" s="15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5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5"/>
      <c r="AI541" s="16"/>
      <c r="AJ541" s="16"/>
      <c r="AK541" s="16"/>
      <c r="AL541" s="16"/>
      <c r="AM541" s="37"/>
      <c r="AN541" s="37"/>
      <c r="AO541" s="37"/>
      <c r="AP541" s="37"/>
      <c r="AQ541" s="37"/>
      <c r="AR541" s="37"/>
      <c r="AS541" s="37"/>
    </row>
    <row r="542" spans="1:45" ht="14.25" customHeight="1" x14ac:dyDescent="0.3">
      <c r="A542" s="34"/>
      <c r="B542" s="16"/>
      <c r="C542" s="15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5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5"/>
      <c r="AI542" s="16"/>
      <c r="AJ542" s="16"/>
      <c r="AK542" s="16"/>
      <c r="AL542" s="16"/>
      <c r="AM542" s="37"/>
      <c r="AN542" s="37"/>
      <c r="AO542" s="37"/>
      <c r="AP542" s="37"/>
      <c r="AQ542" s="37"/>
      <c r="AR542" s="37"/>
      <c r="AS542" s="37"/>
    </row>
    <row r="543" spans="1:45" ht="14.25" customHeight="1" x14ac:dyDescent="0.3">
      <c r="A543" s="34"/>
      <c r="B543" s="16"/>
      <c r="C543" s="15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5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5"/>
      <c r="AI543" s="16"/>
      <c r="AJ543" s="16"/>
      <c r="AK543" s="16"/>
      <c r="AL543" s="16"/>
      <c r="AM543" s="37"/>
      <c r="AN543" s="37"/>
      <c r="AO543" s="37"/>
      <c r="AP543" s="37"/>
      <c r="AQ543" s="37"/>
      <c r="AR543" s="37"/>
      <c r="AS543" s="37"/>
    </row>
    <row r="544" spans="1:45" ht="14.25" customHeight="1" x14ac:dyDescent="0.3">
      <c r="A544" s="34"/>
      <c r="B544" s="16"/>
      <c r="C544" s="15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5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5"/>
      <c r="AI544" s="16"/>
      <c r="AJ544" s="16"/>
      <c r="AK544" s="16"/>
      <c r="AL544" s="16"/>
      <c r="AM544" s="37"/>
      <c r="AN544" s="37"/>
      <c r="AO544" s="37"/>
      <c r="AP544" s="37"/>
      <c r="AQ544" s="37"/>
      <c r="AR544" s="37"/>
      <c r="AS544" s="37"/>
    </row>
    <row r="545" spans="1:45" ht="14.25" customHeight="1" x14ac:dyDescent="0.3">
      <c r="A545" s="34"/>
      <c r="B545" s="16"/>
      <c r="C545" s="15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5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5"/>
      <c r="AI545" s="16"/>
      <c r="AJ545" s="16"/>
      <c r="AK545" s="16"/>
      <c r="AL545" s="16"/>
      <c r="AM545" s="37"/>
      <c r="AN545" s="37"/>
      <c r="AO545" s="37"/>
      <c r="AP545" s="37"/>
      <c r="AQ545" s="37"/>
      <c r="AR545" s="37"/>
      <c r="AS545" s="37"/>
    </row>
    <row r="546" spans="1:45" ht="14.25" customHeight="1" x14ac:dyDescent="0.3">
      <c r="A546" s="34"/>
      <c r="B546" s="16"/>
      <c r="C546" s="15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5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5"/>
      <c r="AI546" s="16"/>
      <c r="AJ546" s="16"/>
      <c r="AK546" s="16"/>
      <c r="AL546" s="16"/>
      <c r="AM546" s="37"/>
      <c r="AN546" s="37"/>
      <c r="AO546" s="37"/>
      <c r="AP546" s="37"/>
      <c r="AQ546" s="37"/>
      <c r="AR546" s="37"/>
      <c r="AS546" s="37"/>
    </row>
    <row r="547" spans="1:45" ht="14.25" customHeight="1" x14ac:dyDescent="0.3">
      <c r="A547" s="34"/>
      <c r="B547" s="16"/>
      <c r="C547" s="15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5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5"/>
      <c r="AI547" s="16"/>
      <c r="AJ547" s="16"/>
      <c r="AK547" s="16"/>
      <c r="AL547" s="16"/>
      <c r="AM547" s="37"/>
      <c r="AN547" s="37"/>
      <c r="AO547" s="37"/>
      <c r="AP547" s="37"/>
      <c r="AQ547" s="37"/>
      <c r="AR547" s="37"/>
      <c r="AS547" s="37"/>
    </row>
    <row r="548" spans="1:45" ht="14.25" customHeight="1" x14ac:dyDescent="0.3">
      <c r="A548" s="34"/>
      <c r="B548" s="16"/>
      <c r="C548" s="15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5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5"/>
      <c r="AI548" s="16"/>
      <c r="AJ548" s="16"/>
      <c r="AK548" s="16"/>
      <c r="AL548" s="16"/>
      <c r="AM548" s="37"/>
      <c r="AN548" s="37"/>
      <c r="AO548" s="37"/>
      <c r="AP548" s="37"/>
      <c r="AQ548" s="37"/>
      <c r="AR548" s="37"/>
      <c r="AS548" s="37"/>
    </row>
    <row r="549" spans="1:45" ht="14.25" customHeight="1" x14ac:dyDescent="0.3">
      <c r="A549" s="34"/>
      <c r="B549" s="16"/>
      <c r="C549" s="15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5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5"/>
      <c r="AI549" s="16"/>
      <c r="AJ549" s="16"/>
      <c r="AK549" s="16"/>
      <c r="AL549" s="16"/>
      <c r="AM549" s="37"/>
      <c r="AN549" s="37"/>
      <c r="AO549" s="37"/>
      <c r="AP549" s="37"/>
      <c r="AQ549" s="37"/>
      <c r="AR549" s="37"/>
      <c r="AS549" s="37"/>
    </row>
    <row r="550" spans="1:45" ht="14.25" customHeight="1" x14ac:dyDescent="0.3">
      <c r="A550" s="34"/>
      <c r="B550" s="16"/>
      <c r="C550" s="15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5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5"/>
      <c r="AI550" s="16"/>
      <c r="AJ550" s="16"/>
      <c r="AK550" s="16"/>
      <c r="AL550" s="16"/>
      <c r="AM550" s="37"/>
      <c r="AN550" s="37"/>
      <c r="AO550" s="37"/>
      <c r="AP550" s="37"/>
      <c r="AQ550" s="37"/>
      <c r="AR550" s="37"/>
      <c r="AS550" s="37"/>
    </row>
    <row r="551" spans="1:45" ht="14.25" customHeight="1" x14ac:dyDescent="0.3">
      <c r="A551" s="34"/>
      <c r="B551" s="16"/>
      <c r="C551" s="15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5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5"/>
      <c r="AI551" s="16"/>
      <c r="AJ551" s="16"/>
      <c r="AK551" s="16"/>
      <c r="AL551" s="16"/>
      <c r="AM551" s="37"/>
      <c r="AN551" s="37"/>
      <c r="AO551" s="37"/>
      <c r="AP551" s="37"/>
      <c r="AQ551" s="37"/>
      <c r="AR551" s="37"/>
      <c r="AS551" s="37"/>
    </row>
    <row r="552" spans="1:45" ht="14.25" customHeight="1" x14ac:dyDescent="0.3">
      <c r="A552" s="34"/>
      <c r="B552" s="16"/>
      <c r="C552" s="15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5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5"/>
      <c r="AI552" s="16"/>
      <c r="AJ552" s="16"/>
      <c r="AK552" s="16"/>
      <c r="AL552" s="16"/>
      <c r="AM552" s="37"/>
      <c r="AN552" s="37"/>
      <c r="AO552" s="37"/>
      <c r="AP552" s="37"/>
      <c r="AQ552" s="37"/>
      <c r="AR552" s="37"/>
      <c r="AS552" s="37"/>
    </row>
    <row r="553" spans="1:45" ht="14.25" customHeight="1" x14ac:dyDescent="0.3">
      <c r="A553" s="34"/>
      <c r="B553" s="16"/>
      <c r="C553" s="15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5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5"/>
      <c r="AI553" s="16"/>
      <c r="AJ553" s="16"/>
      <c r="AK553" s="16"/>
      <c r="AL553" s="16"/>
      <c r="AM553" s="37"/>
      <c r="AN553" s="37"/>
      <c r="AO553" s="37"/>
      <c r="AP553" s="37"/>
      <c r="AQ553" s="37"/>
      <c r="AR553" s="37"/>
      <c r="AS553" s="37"/>
    </row>
    <row r="554" spans="1:45" ht="14.25" customHeight="1" x14ac:dyDescent="0.3">
      <c r="A554" s="34"/>
      <c r="B554" s="16"/>
      <c r="C554" s="15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5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5"/>
      <c r="AI554" s="16"/>
      <c r="AJ554" s="16"/>
      <c r="AK554" s="16"/>
      <c r="AL554" s="16"/>
      <c r="AM554" s="37"/>
      <c r="AN554" s="37"/>
      <c r="AO554" s="37"/>
      <c r="AP554" s="37"/>
      <c r="AQ554" s="37"/>
      <c r="AR554" s="37"/>
      <c r="AS554" s="37"/>
    </row>
    <row r="555" spans="1:45" ht="14.25" customHeight="1" x14ac:dyDescent="0.3">
      <c r="A555" s="34"/>
      <c r="B555" s="16"/>
      <c r="C555" s="15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5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5"/>
      <c r="AI555" s="16"/>
      <c r="AJ555" s="16"/>
      <c r="AK555" s="16"/>
      <c r="AL555" s="16"/>
      <c r="AM555" s="37"/>
      <c r="AN555" s="37"/>
      <c r="AO555" s="37"/>
      <c r="AP555" s="37"/>
      <c r="AQ555" s="37"/>
      <c r="AR555" s="37"/>
      <c r="AS555" s="37"/>
    </row>
    <row r="556" spans="1:45" ht="14.25" customHeight="1" x14ac:dyDescent="0.3">
      <c r="A556" s="34"/>
      <c r="B556" s="16"/>
      <c r="C556" s="15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5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5"/>
      <c r="AI556" s="16"/>
      <c r="AJ556" s="16"/>
      <c r="AK556" s="16"/>
      <c r="AL556" s="16"/>
      <c r="AM556" s="37"/>
      <c r="AN556" s="37"/>
      <c r="AO556" s="37"/>
      <c r="AP556" s="37"/>
      <c r="AQ556" s="37"/>
      <c r="AR556" s="37"/>
      <c r="AS556" s="37"/>
    </row>
    <row r="557" spans="1:45" ht="14.25" customHeight="1" x14ac:dyDescent="0.3">
      <c r="A557" s="34"/>
      <c r="B557" s="16"/>
      <c r="C557" s="15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5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5"/>
      <c r="AI557" s="16"/>
      <c r="AJ557" s="16"/>
      <c r="AK557" s="16"/>
      <c r="AL557" s="16"/>
      <c r="AM557" s="37"/>
      <c r="AN557" s="37"/>
      <c r="AO557" s="37"/>
      <c r="AP557" s="37"/>
      <c r="AQ557" s="37"/>
      <c r="AR557" s="37"/>
      <c r="AS557" s="37"/>
    </row>
    <row r="558" spans="1:45" ht="14.25" customHeight="1" x14ac:dyDescent="0.3">
      <c r="A558" s="34"/>
      <c r="B558" s="16"/>
      <c r="C558" s="15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5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5"/>
      <c r="AI558" s="16"/>
      <c r="AJ558" s="16"/>
      <c r="AK558" s="16"/>
      <c r="AL558" s="16"/>
      <c r="AM558" s="37"/>
      <c r="AN558" s="37"/>
      <c r="AO558" s="37"/>
      <c r="AP558" s="37"/>
      <c r="AQ558" s="37"/>
      <c r="AR558" s="37"/>
      <c r="AS558" s="37"/>
    </row>
    <row r="559" spans="1:45" ht="14.25" customHeight="1" x14ac:dyDescent="0.3">
      <c r="A559" s="34"/>
      <c r="B559" s="16"/>
      <c r="C559" s="15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5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5"/>
      <c r="AI559" s="16"/>
      <c r="AJ559" s="16"/>
      <c r="AK559" s="16"/>
      <c r="AL559" s="16"/>
      <c r="AM559" s="37"/>
      <c r="AN559" s="37"/>
      <c r="AO559" s="37"/>
      <c r="AP559" s="37"/>
      <c r="AQ559" s="37"/>
      <c r="AR559" s="37"/>
      <c r="AS559" s="37"/>
    </row>
    <row r="560" spans="1:45" ht="14.25" customHeight="1" x14ac:dyDescent="0.3">
      <c r="A560" s="34"/>
      <c r="B560" s="16"/>
      <c r="C560" s="15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5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5"/>
      <c r="AI560" s="16"/>
      <c r="AJ560" s="16"/>
      <c r="AK560" s="16"/>
      <c r="AL560" s="16"/>
      <c r="AM560" s="37"/>
      <c r="AN560" s="37"/>
      <c r="AO560" s="37"/>
      <c r="AP560" s="37"/>
      <c r="AQ560" s="37"/>
      <c r="AR560" s="37"/>
      <c r="AS560" s="37"/>
    </row>
    <row r="561" spans="1:45" ht="14.25" customHeight="1" x14ac:dyDescent="0.3">
      <c r="A561" s="34"/>
      <c r="B561" s="16"/>
      <c r="C561" s="15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5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5"/>
      <c r="AI561" s="16"/>
      <c r="AJ561" s="16"/>
      <c r="AK561" s="16"/>
      <c r="AL561" s="16"/>
      <c r="AM561" s="37"/>
      <c r="AN561" s="37"/>
      <c r="AO561" s="37"/>
      <c r="AP561" s="37"/>
      <c r="AQ561" s="37"/>
      <c r="AR561" s="37"/>
      <c r="AS561" s="37"/>
    </row>
    <row r="562" spans="1:45" ht="14.25" customHeight="1" x14ac:dyDescent="0.3">
      <c r="A562" s="34"/>
      <c r="B562" s="16"/>
      <c r="C562" s="15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5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5"/>
      <c r="AI562" s="16"/>
      <c r="AJ562" s="16"/>
      <c r="AK562" s="16"/>
      <c r="AL562" s="16"/>
      <c r="AM562" s="37"/>
      <c r="AN562" s="37"/>
      <c r="AO562" s="37"/>
      <c r="AP562" s="37"/>
      <c r="AQ562" s="37"/>
      <c r="AR562" s="37"/>
      <c r="AS562" s="37"/>
    </row>
    <row r="563" spans="1:45" ht="14.25" customHeight="1" x14ac:dyDescent="0.3">
      <c r="A563" s="34"/>
      <c r="B563" s="16"/>
      <c r="C563" s="15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5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5"/>
      <c r="AI563" s="16"/>
      <c r="AJ563" s="16"/>
      <c r="AK563" s="16"/>
      <c r="AL563" s="16"/>
      <c r="AM563" s="37"/>
      <c r="AN563" s="37"/>
      <c r="AO563" s="37"/>
      <c r="AP563" s="37"/>
      <c r="AQ563" s="37"/>
      <c r="AR563" s="37"/>
      <c r="AS563" s="37"/>
    </row>
    <row r="564" spans="1:45" ht="14.25" customHeight="1" x14ac:dyDescent="0.3">
      <c r="A564" s="34"/>
      <c r="B564" s="16"/>
      <c r="C564" s="15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5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5"/>
      <c r="AI564" s="16"/>
      <c r="AJ564" s="16"/>
      <c r="AK564" s="16"/>
      <c r="AL564" s="16"/>
      <c r="AM564" s="37"/>
      <c r="AN564" s="37"/>
      <c r="AO564" s="37"/>
      <c r="AP564" s="37"/>
      <c r="AQ564" s="37"/>
      <c r="AR564" s="37"/>
      <c r="AS564" s="37"/>
    </row>
    <row r="565" spans="1:45" ht="14.25" customHeight="1" x14ac:dyDescent="0.3">
      <c r="A565" s="34"/>
      <c r="B565" s="16"/>
      <c r="C565" s="15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5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5"/>
      <c r="AI565" s="16"/>
      <c r="AJ565" s="16"/>
      <c r="AK565" s="16"/>
      <c r="AL565" s="16"/>
      <c r="AM565" s="37"/>
      <c r="AN565" s="37"/>
      <c r="AO565" s="37"/>
      <c r="AP565" s="37"/>
      <c r="AQ565" s="37"/>
      <c r="AR565" s="37"/>
      <c r="AS565" s="37"/>
    </row>
    <row r="566" spans="1:45" ht="14.25" customHeight="1" x14ac:dyDescent="0.3">
      <c r="A566" s="34"/>
      <c r="B566" s="16"/>
      <c r="C566" s="15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5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5"/>
      <c r="AI566" s="16"/>
      <c r="AJ566" s="16"/>
      <c r="AK566" s="16"/>
      <c r="AL566" s="16"/>
      <c r="AM566" s="37"/>
      <c r="AN566" s="37"/>
      <c r="AO566" s="37"/>
      <c r="AP566" s="37"/>
      <c r="AQ566" s="37"/>
      <c r="AR566" s="37"/>
      <c r="AS566" s="37"/>
    </row>
    <row r="567" spans="1:45" ht="14.25" customHeight="1" x14ac:dyDescent="0.3">
      <c r="A567" s="34"/>
      <c r="B567" s="16"/>
      <c r="C567" s="15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5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5"/>
      <c r="AI567" s="16"/>
      <c r="AJ567" s="16"/>
      <c r="AK567" s="16"/>
      <c r="AL567" s="16"/>
      <c r="AM567" s="37"/>
      <c r="AN567" s="37"/>
      <c r="AO567" s="37"/>
      <c r="AP567" s="37"/>
      <c r="AQ567" s="37"/>
      <c r="AR567" s="37"/>
      <c r="AS567" s="37"/>
    </row>
    <row r="568" spans="1:45" ht="14.25" customHeight="1" x14ac:dyDescent="0.3">
      <c r="A568" s="34"/>
      <c r="B568" s="16"/>
      <c r="C568" s="15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5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5"/>
      <c r="AI568" s="16"/>
      <c r="AJ568" s="16"/>
      <c r="AK568" s="16"/>
      <c r="AL568" s="16"/>
      <c r="AM568" s="37"/>
      <c r="AN568" s="37"/>
      <c r="AO568" s="37"/>
      <c r="AP568" s="37"/>
      <c r="AQ568" s="37"/>
      <c r="AR568" s="37"/>
      <c r="AS568" s="37"/>
    </row>
    <row r="569" spans="1:45" ht="14.25" customHeight="1" x14ac:dyDescent="0.3">
      <c r="A569" s="34"/>
      <c r="B569" s="16"/>
      <c r="C569" s="15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5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5"/>
      <c r="AI569" s="16"/>
      <c r="AJ569" s="16"/>
      <c r="AK569" s="16"/>
      <c r="AL569" s="16"/>
      <c r="AM569" s="37"/>
      <c r="AN569" s="37"/>
      <c r="AO569" s="37"/>
      <c r="AP569" s="37"/>
      <c r="AQ569" s="37"/>
      <c r="AR569" s="37"/>
      <c r="AS569" s="37"/>
    </row>
    <row r="570" spans="1:45" ht="14.25" customHeight="1" x14ac:dyDescent="0.3">
      <c r="A570" s="34"/>
      <c r="B570" s="16"/>
      <c r="C570" s="15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5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5"/>
      <c r="AI570" s="16"/>
      <c r="AJ570" s="16"/>
      <c r="AK570" s="16"/>
      <c r="AL570" s="16"/>
      <c r="AM570" s="37"/>
      <c r="AN570" s="37"/>
      <c r="AO570" s="37"/>
      <c r="AP570" s="37"/>
      <c r="AQ570" s="37"/>
      <c r="AR570" s="37"/>
      <c r="AS570" s="37"/>
    </row>
    <row r="571" spans="1:45" ht="14.25" customHeight="1" x14ac:dyDescent="0.3">
      <c r="A571" s="34"/>
      <c r="B571" s="16"/>
      <c r="C571" s="15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5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5"/>
      <c r="AI571" s="16"/>
      <c r="AJ571" s="16"/>
      <c r="AK571" s="16"/>
      <c r="AL571" s="16"/>
      <c r="AM571" s="37"/>
      <c r="AN571" s="37"/>
      <c r="AO571" s="37"/>
      <c r="AP571" s="37"/>
      <c r="AQ571" s="37"/>
      <c r="AR571" s="37"/>
      <c r="AS571" s="37"/>
    </row>
    <row r="572" spans="1:45" ht="14.25" customHeight="1" x14ac:dyDescent="0.3">
      <c r="A572" s="34"/>
      <c r="B572" s="16"/>
      <c r="C572" s="15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5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5"/>
      <c r="AI572" s="16"/>
      <c r="AJ572" s="16"/>
      <c r="AK572" s="16"/>
      <c r="AL572" s="16"/>
      <c r="AM572" s="37"/>
      <c r="AN572" s="37"/>
      <c r="AO572" s="37"/>
      <c r="AP572" s="37"/>
      <c r="AQ572" s="37"/>
      <c r="AR572" s="37"/>
      <c r="AS572" s="37"/>
    </row>
    <row r="573" spans="1:45" ht="14.25" customHeight="1" x14ac:dyDescent="0.3">
      <c r="A573" s="34"/>
      <c r="B573" s="16"/>
      <c r="C573" s="15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5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5"/>
      <c r="AI573" s="16"/>
      <c r="AJ573" s="16"/>
      <c r="AK573" s="16"/>
      <c r="AL573" s="16"/>
      <c r="AM573" s="37"/>
      <c r="AN573" s="37"/>
      <c r="AO573" s="37"/>
      <c r="AP573" s="37"/>
      <c r="AQ573" s="37"/>
      <c r="AR573" s="37"/>
      <c r="AS573" s="37"/>
    </row>
    <row r="574" spans="1:45" ht="14.25" customHeight="1" x14ac:dyDescent="0.3">
      <c r="A574" s="34"/>
      <c r="B574" s="16"/>
      <c r="C574" s="15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5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5"/>
      <c r="AI574" s="16"/>
      <c r="AJ574" s="16"/>
      <c r="AK574" s="16"/>
      <c r="AL574" s="16"/>
      <c r="AM574" s="37"/>
      <c r="AN574" s="37"/>
      <c r="AO574" s="37"/>
      <c r="AP574" s="37"/>
      <c r="AQ574" s="37"/>
      <c r="AR574" s="37"/>
      <c r="AS574" s="37"/>
    </row>
    <row r="575" spans="1:45" ht="14.25" customHeight="1" x14ac:dyDescent="0.3">
      <c r="A575" s="34"/>
      <c r="B575" s="16"/>
      <c r="C575" s="15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5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5"/>
      <c r="AI575" s="16"/>
      <c r="AJ575" s="16"/>
      <c r="AK575" s="16"/>
      <c r="AL575" s="16"/>
      <c r="AM575" s="37"/>
      <c r="AN575" s="37"/>
      <c r="AO575" s="37"/>
      <c r="AP575" s="37"/>
      <c r="AQ575" s="37"/>
      <c r="AR575" s="37"/>
      <c r="AS575" s="37"/>
    </row>
    <row r="576" spans="1:45" ht="14.25" customHeight="1" x14ac:dyDescent="0.3">
      <c r="A576" s="34"/>
      <c r="B576" s="16"/>
      <c r="C576" s="15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5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5"/>
      <c r="AI576" s="16"/>
      <c r="AJ576" s="16"/>
      <c r="AK576" s="16"/>
      <c r="AL576" s="16"/>
      <c r="AM576" s="37"/>
      <c r="AN576" s="37"/>
      <c r="AO576" s="37"/>
      <c r="AP576" s="37"/>
      <c r="AQ576" s="37"/>
      <c r="AR576" s="37"/>
      <c r="AS576" s="37"/>
    </row>
    <row r="577" spans="1:45" ht="14.25" customHeight="1" x14ac:dyDescent="0.3">
      <c r="A577" s="34"/>
      <c r="B577" s="16"/>
      <c r="C577" s="15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5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5"/>
      <c r="AI577" s="16"/>
      <c r="AJ577" s="16"/>
      <c r="AK577" s="16"/>
      <c r="AL577" s="16"/>
      <c r="AM577" s="37"/>
      <c r="AN577" s="37"/>
      <c r="AO577" s="37"/>
      <c r="AP577" s="37"/>
      <c r="AQ577" s="37"/>
      <c r="AR577" s="37"/>
      <c r="AS577" s="37"/>
    </row>
    <row r="578" spans="1:45" ht="14.25" customHeight="1" x14ac:dyDescent="0.3">
      <c r="A578" s="34"/>
      <c r="B578" s="16"/>
      <c r="C578" s="15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5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5"/>
      <c r="AI578" s="16"/>
      <c r="AJ578" s="16"/>
      <c r="AK578" s="16"/>
      <c r="AL578" s="16"/>
      <c r="AM578" s="37"/>
      <c r="AN578" s="37"/>
      <c r="AO578" s="37"/>
      <c r="AP578" s="37"/>
      <c r="AQ578" s="37"/>
      <c r="AR578" s="37"/>
      <c r="AS578" s="37"/>
    </row>
    <row r="579" spans="1:45" ht="14.25" customHeight="1" x14ac:dyDescent="0.3">
      <c r="A579" s="34"/>
      <c r="B579" s="16"/>
      <c r="C579" s="15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5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5"/>
      <c r="AI579" s="16"/>
      <c r="AJ579" s="16"/>
      <c r="AK579" s="16"/>
      <c r="AL579" s="16"/>
      <c r="AM579" s="37"/>
      <c r="AN579" s="37"/>
      <c r="AO579" s="37"/>
      <c r="AP579" s="37"/>
      <c r="AQ579" s="37"/>
      <c r="AR579" s="37"/>
      <c r="AS579" s="37"/>
    </row>
    <row r="580" spans="1:45" ht="14.25" customHeight="1" x14ac:dyDescent="0.3">
      <c r="A580" s="34"/>
      <c r="B580" s="16"/>
      <c r="C580" s="15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5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5"/>
      <c r="AI580" s="16"/>
      <c r="AJ580" s="16"/>
      <c r="AK580" s="16"/>
      <c r="AL580" s="16"/>
      <c r="AM580" s="37"/>
      <c r="AN580" s="37"/>
      <c r="AO580" s="37"/>
      <c r="AP580" s="37"/>
      <c r="AQ580" s="37"/>
      <c r="AR580" s="37"/>
      <c r="AS580" s="37"/>
    </row>
    <row r="581" spans="1:45" ht="14.25" customHeight="1" x14ac:dyDescent="0.3">
      <c r="A581" s="34"/>
      <c r="B581" s="16"/>
      <c r="C581" s="15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5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5"/>
      <c r="AI581" s="16"/>
      <c r="AJ581" s="16"/>
      <c r="AK581" s="16"/>
      <c r="AL581" s="16"/>
      <c r="AM581" s="37"/>
      <c r="AN581" s="37"/>
      <c r="AO581" s="37"/>
      <c r="AP581" s="37"/>
      <c r="AQ581" s="37"/>
      <c r="AR581" s="37"/>
      <c r="AS581" s="37"/>
    </row>
    <row r="582" spans="1:45" ht="14.25" customHeight="1" x14ac:dyDescent="0.3">
      <c r="A582" s="34"/>
      <c r="B582" s="16"/>
      <c r="C582" s="15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5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5"/>
      <c r="AI582" s="16"/>
      <c r="AJ582" s="16"/>
      <c r="AK582" s="16"/>
      <c r="AL582" s="16"/>
      <c r="AM582" s="37"/>
      <c r="AN582" s="37"/>
      <c r="AO582" s="37"/>
      <c r="AP582" s="37"/>
      <c r="AQ582" s="37"/>
      <c r="AR582" s="37"/>
      <c r="AS582" s="37"/>
    </row>
    <row r="583" spans="1:45" ht="14.25" customHeight="1" x14ac:dyDescent="0.3">
      <c r="A583" s="34"/>
      <c r="B583" s="16"/>
      <c r="C583" s="15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5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5"/>
      <c r="AI583" s="16"/>
      <c r="AJ583" s="16"/>
      <c r="AK583" s="16"/>
      <c r="AL583" s="16"/>
      <c r="AM583" s="37"/>
      <c r="AN583" s="37"/>
      <c r="AO583" s="37"/>
      <c r="AP583" s="37"/>
      <c r="AQ583" s="37"/>
      <c r="AR583" s="37"/>
      <c r="AS583" s="37"/>
    </row>
    <row r="584" spans="1:45" ht="14.25" customHeight="1" x14ac:dyDescent="0.3">
      <c r="A584" s="34"/>
      <c r="B584" s="16"/>
      <c r="C584" s="15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5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5"/>
      <c r="AI584" s="16"/>
      <c r="AJ584" s="16"/>
      <c r="AK584" s="16"/>
      <c r="AL584" s="16"/>
      <c r="AM584" s="37"/>
      <c r="AN584" s="37"/>
      <c r="AO584" s="37"/>
      <c r="AP584" s="37"/>
      <c r="AQ584" s="37"/>
      <c r="AR584" s="37"/>
      <c r="AS584" s="37"/>
    </row>
    <row r="585" spans="1:45" ht="14.25" customHeight="1" x14ac:dyDescent="0.3">
      <c r="A585" s="34"/>
      <c r="B585" s="16"/>
      <c r="C585" s="15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5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5"/>
      <c r="AI585" s="16"/>
      <c r="AJ585" s="16"/>
      <c r="AK585" s="16"/>
      <c r="AL585" s="16"/>
      <c r="AM585" s="37"/>
      <c r="AN585" s="37"/>
      <c r="AO585" s="37"/>
      <c r="AP585" s="37"/>
      <c r="AQ585" s="37"/>
      <c r="AR585" s="37"/>
      <c r="AS585" s="37"/>
    </row>
    <row r="586" spans="1:45" ht="14.25" customHeight="1" x14ac:dyDescent="0.3">
      <c r="A586" s="34"/>
      <c r="B586" s="16"/>
      <c r="C586" s="15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5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5"/>
      <c r="AI586" s="16"/>
      <c r="AJ586" s="16"/>
      <c r="AK586" s="16"/>
      <c r="AL586" s="16"/>
      <c r="AM586" s="37"/>
      <c r="AN586" s="37"/>
      <c r="AO586" s="37"/>
      <c r="AP586" s="37"/>
      <c r="AQ586" s="37"/>
      <c r="AR586" s="37"/>
      <c r="AS586" s="37"/>
    </row>
    <row r="587" spans="1:45" ht="14.25" customHeight="1" x14ac:dyDescent="0.3">
      <c r="A587" s="34"/>
      <c r="B587" s="16"/>
      <c r="C587" s="15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5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5"/>
      <c r="AI587" s="16"/>
      <c r="AJ587" s="16"/>
      <c r="AK587" s="16"/>
      <c r="AL587" s="16"/>
      <c r="AM587" s="37"/>
      <c r="AN587" s="37"/>
      <c r="AO587" s="37"/>
      <c r="AP587" s="37"/>
      <c r="AQ587" s="37"/>
      <c r="AR587" s="37"/>
      <c r="AS587" s="37"/>
    </row>
    <row r="588" spans="1:45" ht="14.25" customHeight="1" x14ac:dyDescent="0.3">
      <c r="A588" s="34"/>
      <c r="B588" s="16"/>
      <c r="C588" s="15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5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5"/>
      <c r="AI588" s="16"/>
      <c r="AJ588" s="16"/>
      <c r="AK588" s="16"/>
      <c r="AL588" s="16"/>
      <c r="AM588" s="37"/>
      <c r="AN588" s="37"/>
      <c r="AO588" s="37"/>
      <c r="AP588" s="37"/>
      <c r="AQ588" s="37"/>
      <c r="AR588" s="37"/>
      <c r="AS588" s="37"/>
    </row>
    <row r="589" spans="1:45" ht="14.25" customHeight="1" x14ac:dyDescent="0.3">
      <c r="A589" s="34"/>
      <c r="B589" s="16"/>
      <c r="C589" s="15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5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5"/>
      <c r="AI589" s="16"/>
      <c r="AJ589" s="16"/>
      <c r="AK589" s="16"/>
      <c r="AL589" s="16"/>
      <c r="AM589" s="37"/>
      <c r="AN589" s="37"/>
      <c r="AO589" s="37"/>
      <c r="AP589" s="37"/>
      <c r="AQ589" s="37"/>
      <c r="AR589" s="37"/>
      <c r="AS589" s="37"/>
    </row>
    <row r="590" spans="1:45" ht="14.25" customHeight="1" x14ac:dyDescent="0.3">
      <c r="A590" s="34"/>
      <c r="B590" s="16"/>
      <c r="C590" s="15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5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5"/>
      <c r="AI590" s="16"/>
      <c r="AJ590" s="16"/>
      <c r="AK590" s="16"/>
      <c r="AL590" s="16"/>
      <c r="AM590" s="37"/>
      <c r="AN590" s="37"/>
      <c r="AO590" s="37"/>
      <c r="AP590" s="37"/>
      <c r="AQ590" s="37"/>
      <c r="AR590" s="37"/>
      <c r="AS590" s="37"/>
    </row>
    <row r="591" spans="1:45" ht="14.25" customHeight="1" x14ac:dyDescent="0.3">
      <c r="A591" s="34"/>
      <c r="B591" s="16"/>
      <c r="C591" s="15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5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5"/>
      <c r="AI591" s="16"/>
      <c r="AJ591" s="16"/>
      <c r="AK591" s="16"/>
      <c r="AL591" s="16"/>
      <c r="AM591" s="37"/>
      <c r="AN591" s="37"/>
      <c r="AO591" s="37"/>
      <c r="AP591" s="37"/>
      <c r="AQ591" s="37"/>
      <c r="AR591" s="37"/>
      <c r="AS591" s="37"/>
    </row>
    <row r="592" spans="1:45" ht="14.25" customHeight="1" x14ac:dyDescent="0.3">
      <c r="A592" s="34"/>
      <c r="B592" s="16"/>
      <c r="C592" s="15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5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5"/>
      <c r="AI592" s="16"/>
      <c r="AJ592" s="16"/>
      <c r="AK592" s="16"/>
      <c r="AL592" s="16"/>
      <c r="AM592" s="37"/>
      <c r="AN592" s="37"/>
      <c r="AO592" s="37"/>
      <c r="AP592" s="37"/>
      <c r="AQ592" s="37"/>
      <c r="AR592" s="37"/>
      <c r="AS592" s="37"/>
    </row>
    <row r="593" spans="1:45" ht="14.25" customHeight="1" x14ac:dyDescent="0.3">
      <c r="A593" s="34"/>
      <c r="B593" s="16"/>
      <c r="C593" s="15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5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5"/>
      <c r="AI593" s="16"/>
      <c r="AJ593" s="16"/>
      <c r="AK593" s="16"/>
      <c r="AL593" s="16"/>
      <c r="AM593" s="37"/>
      <c r="AN593" s="37"/>
      <c r="AO593" s="37"/>
      <c r="AP593" s="37"/>
      <c r="AQ593" s="37"/>
      <c r="AR593" s="37"/>
      <c r="AS593" s="37"/>
    </row>
    <row r="594" spans="1:45" ht="14.25" customHeight="1" x14ac:dyDescent="0.3">
      <c r="A594" s="34"/>
      <c r="B594" s="16"/>
      <c r="C594" s="15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5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5"/>
      <c r="AI594" s="16"/>
      <c r="AJ594" s="16"/>
      <c r="AK594" s="16"/>
      <c r="AL594" s="16"/>
      <c r="AM594" s="37"/>
      <c r="AN594" s="37"/>
      <c r="AO594" s="37"/>
      <c r="AP594" s="37"/>
      <c r="AQ594" s="37"/>
      <c r="AR594" s="37"/>
      <c r="AS594" s="37"/>
    </row>
    <row r="595" spans="1:45" ht="14.25" customHeight="1" x14ac:dyDescent="0.3">
      <c r="A595" s="34"/>
      <c r="B595" s="16"/>
      <c r="C595" s="15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5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5"/>
      <c r="AI595" s="16"/>
      <c r="AJ595" s="16"/>
      <c r="AK595" s="16"/>
      <c r="AL595" s="16"/>
      <c r="AM595" s="37"/>
      <c r="AN595" s="37"/>
      <c r="AO595" s="37"/>
      <c r="AP595" s="37"/>
      <c r="AQ595" s="37"/>
      <c r="AR595" s="37"/>
      <c r="AS595" s="37"/>
    </row>
    <row r="596" spans="1:45" ht="14.25" customHeight="1" x14ac:dyDescent="0.3">
      <c r="A596" s="34"/>
      <c r="B596" s="16"/>
      <c r="C596" s="15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5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5"/>
      <c r="AI596" s="16"/>
      <c r="AJ596" s="16"/>
      <c r="AK596" s="16"/>
      <c r="AL596" s="16"/>
      <c r="AM596" s="37"/>
      <c r="AN596" s="37"/>
      <c r="AO596" s="37"/>
      <c r="AP596" s="37"/>
      <c r="AQ596" s="37"/>
      <c r="AR596" s="37"/>
      <c r="AS596" s="37"/>
    </row>
    <row r="597" spans="1:45" ht="14.25" customHeight="1" x14ac:dyDescent="0.3">
      <c r="A597" s="34"/>
      <c r="B597" s="16"/>
      <c r="C597" s="15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5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5"/>
      <c r="AI597" s="16"/>
      <c r="AJ597" s="16"/>
      <c r="AK597" s="16"/>
      <c r="AL597" s="16"/>
      <c r="AM597" s="37"/>
      <c r="AN597" s="37"/>
      <c r="AO597" s="37"/>
      <c r="AP597" s="37"/>
      <c r="AQ597" s="37"/>
      <c r="AR597" s="37"/>
      <c r="AS597" s="37"/>
    </row>
    <row r="598" spans="1:45" ht="14.25" customHeight="1" x14ac:dyDescent="0.3">
      <c r="A598" s="34"/>
      <c r="B598" s="16"/>
      <c r="C598" s="15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5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5"/>
      <c r="AI598" s="16"/>
      <c r="AJ598" s="16"/>
      <c r="AK598" s="16"/>
      <c r="AL598" s="16"/>
      <c r="AM598" s="37"/>
      <c r="AN598" s="37"/>
      <c r="AO598" s="37"/>
      <c r="AP598" s="37"/>
      <c r="AQ598" s="37"/>
      <c r="AR598" s="37"/>
      <c r="AS598" s="37"/>
    </row>
    <row r="599" spans="1:45" ht="14.25" customHeight="1" x14ac:dyDescent="0.3">
      <c r="A599" s="34"/>
      <c r="B599" s="16"/>
      <c r="C599" s="15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5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5"/>
      <c r="AI599" s="16"/>
      <c r="AJ599" s="16"/>
      <c r="AK599" s="16"/>
      <c r="AL599" s="16"/>
      <c r="AM599" s="37"/>
      <c r="AN599" s="37"/>
      <c r="AO599" s="37"/>
      <c r="AP599" s="37"/>
      <c r="AQ599" s="37"/>
      <c r="AR599" s="37"/>
      <c r="AS599" s="37"/>
    </row>
    <row r="600" spans="1:45" ht="14.25" customHeight="1" x14ac:dyDescent="0.3">
      <c r="A600" s="34"/>
      <c r="B600" s="16"/>
      <c r="C600" s="15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5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5"/>
      <c r="AI600" s="16"/>
      <c r="AJ600" s="16"/>
      <c r="AK600" s="16"/>
      <c r="AL600" s="16"/>
      <c r="AM600" s="37"/>
      <c r="AN600" s="37"/>
      <c r="AO600" s="37"/>
      <c r="AP600" s="37"/>
      <c r="AQ600" s="37"/>
      <c r="AR600" s="37"/>
      <c r="AS600" s="37"/>
    </row>
    <row r="601" spans="1:45" ht="14.25" customHeight="1" x14ac:dyDescent="0.3">
      <c r="A601" s="34"/>
      <c r="B601" s="16"/>
      <c r="C601" s="15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5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5"/>
      <c r="AI601" s="16"/>
      <c r="AJ601" s="16"/>
      <c r="AK601" s="16"/>
      <c r="AL601" s="16"/>
      <c r="AM601" s="37"/>
      <c r="AN601" s="37"/>
      <c r="AO601" s="37"/>
      <c r="AP601" s="37"/>
      <c r="AQ601" s="37"/>
      <c r="AR601" s="37"/>
      <c r="AS601" s="37"/>
    </row>
    <row r="602" spans="1:45" ht="14.25" customHeight="1" x14ac:dyDescent="0.3">
      <c r="A602" s="34"/>
      <c r="B602" s="16"/>
      <c r="C602" s="15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5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5"/>
      <c r="AI602" s="16"/>
      <c r="AJ602" s="16"/>
      <c r="AK602" s="16"/>
      <c r="AL602" s="16"/>
      <c r="AM602" s="37"/>
      <c r="AN602" s="37"/>
      <c r="AO602" s="37"/>
      <c r="AP602" s="37"/>
      <c r="AQ602" s="37"/>
      <c r="AR602" s="37"/>
      <c r="AS602" s="37"/>
    </row>
    <row r="603" spans="1:45" ht="14.25" customHeight="1" x14ac:dyDescent="0.3">
      <c r="A603" s="34"/>
      <c r="B603" s="16"/>
      <c r="C603" s="15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5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5"/>
      <c r="AI603" s="16"/>
      <c r="AJ603" s="16"/>
      <c r="AK603" s="16"/>
      <c r="AL603" s="16"/>
      <c r="AM603" s="37"/>
      <c r="AN603" s="37"/>
      <c r="AO603" s="37"/>
      <c r="AP603" s="37"/>
      <c r="AQ603" s="37"/>
      <c r="AR603" s="37"/>
      <c r="AS603" s="37"/>
    </row>
    <row r="604" spans="1:45" ht="14.25" customHeight="1" x14ac:dyDescent="0.3">
      <c r="A604" s="34"/>
      <c r="B604" s="16"/>
      <c r="C604" s="15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5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5"/>
      <c r="AI604" s="16"/>
      <c r="AJ604" s="16"/>
      <c r="AK604" s="16"/>
      <c r="AL604" s="16"/>
      <c r="AM604" s="37"/>
      <c r="AN604" s="37"/>
      <c r="AO604" s="37"/>
      <c r="AP604" s="37"/>
      <c r="AQ604" s="37"/>
      <c r="AR604" s="37"/>
      <c r="AS604" s="37"/>
    </row>
    <row r="605" spans="1:45" ht="14.25" customHeight="1" x14ac:dyDescent="0.3">
      <c r="A605" s="34"/>
      <c r="B605" s="16"/>
      <c r="C605" s="15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5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5"/>
      <c r="AI605" s="16"/>
      <c r="AJ605" s="16"/>
      <c r="AK605" s="16"/>
      <c r="AL605" s="16"/>
      <c r="AM605" s="37"/>
      <c r="AN605" s="37"/>
      <c r="AO605" s="37"/>
      <c r="AP605" s="37"/>
      <c r="AQ605" s="37"/>
      <c r="AR605" s="37"/>
      <c r="AS605" s="37"/>
    </row>
    <row r="606" spans="1:45" ht="14.25" customHeight="1" x14ac:dyDescent="0.3">
      <c r="A606" s="34"/>
      <c r="B606" s="16"/>
      <c r="C606" s="15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5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5"/>
      <c r="AI606" s="16"/>
      <c r="AJ606" s="16"/>
      <c r="AK606" s="16"/>
      <c r="AL606" s="16"/>
      <c r="AM606" s="37"/>
      <c r="AN606" s="37"/>
      <c r="AO606" s="37"/>
      <c r="AP606" s="37"/>
      <c r="AQ606" s="37"/>
      <c r="AR606" s="37"/>
      <c r="AS606" s="37"/>
    </row>
    <row r="607" spans="1:45" ht="14.25" customHeight="1" x14ac:dyDescent="0.3">
      <c r="A607" s="34"/>
      <c r="B607" s="16"/>
      <c r="C607" s="15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5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5"/>
      <c r="AI607" s="16"/>
      <c r="AJ607" s="16"/>
      <c r="AK607" s="16"/>
      <c r="AL607" s="16"/>
      <c r="AM607" s="37"/>
      <c r="AN607" s="37"/>
      <c r="AO607" s="37"/>
      <c r="AP607" s="37"/>
      <c r="AQ607" s="37"/>
      <c r="AR607" s="37"/>
      <c r="AS607" s="37"/>
    </row>
    <row r="608" spans="1:45" ht="14.25" customHeight="1" x14ac:dyDescent="0.3">
      <c r="A608" s="34"/>
      <c r="B608" s="16"/>
      <c r="C608" s="15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5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5"/>
      <c r="AI608" s="16"/>
      <c r="AJ608" s="16"/>
      <c r="AK608" s="16"/>
      <c r="AL608" s="16"/>
      <c r="AM608" s="37"/>
      <c r="AN608" s="37"/>
      <c r="AO608" s="37"/>
      <c r="AP608" s="37"/>
      <c r="AQ608" s="37"/>
      <c r="AR608" s="37"/>
      <c r="AS608" s="37"/>
    </row>
    <row r="609" spans="1:45" ht="14.25" customHeight="1" x14ac:dyDescent="0.3">
      <c r="A609" s="34"/>
      <c r="B609" s="16"/>
      <c r="C609" s="15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5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5"/>
      <c r="AI609" s="16"/>
      <c r="AJ609" s="16"/>
      <c r="AK609" s="16"/>
      <c r="AL609" s="16"/>
      <c r="AM609" s="37"/>
      <c r="AN609" s="37"/>
      <c r="AO609" s="37"/>
      <c r="AP609" s="37"/>
      <c r="AQ609" s="37"/>
      <c r="AR609" s="37"/>
      <c r="AS609" s="37"/>
    </row>
    <row r="610" spans="1:45" ht="14.25" customHeight="1" x14ac:dyDescent="0.3">
      <c r="A610" s="34"/>
      <c r="B610" s="16"/>
      <c r="C610" s="15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5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5"/>
      <c r="AI610" s="16"/>
      <c r="AJ610" s="16"/>
      <c r="AK610" s="16"/>
      <c r="AL610" s="16"/>
      <c r="AM610" s="37"/>
      <c r="AN610" s="37"/>
      <c r="AO610" s="37"/>
      <c r="AP610" s="37"/>
      <c r="AQ610" s="37"/>
      <c r="AR610" s="37"/>
      <c r="AS610" s="37"/>
    </row>
    <row r="611" spans="1:45" ht="14.25" customHeight="1" x14ac:dyDescent="0.3">
      <c r="A611" s="34"/>
      <c r="B611" s="16"/>
      <c r="C611" s="15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5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5"/>
      <c r="AI611" s="16"/>
      <c r="AJ611" s="16"/>
      <c r="AK611" s="16"/>
      <c r="AL611" s="16"/>
      <c r="AM611" s="37"/>
      <c r="AN611" s="37"/>
      <c r="AO611" s="37"/>
      <c r="AP611" s="37"/>
      <c r="AQ611" s="37"/>
      <c r="AR611" s="37"/>
      <c r="AS611" s="37"/>
    </row>
    <row r="612" spans="1:45" ht="14.25" customHeight="1" x14ac:dyDescent="0.3">
      <c r="A612" s="34"/>
      <c r="B612" s="16"/>
      <c r="C612" s="15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5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5"/>
      <c r="AI612" s="16"/>
      <c r="AJ612" s="16"/>
      <c r="AK612" s="16"/>
      <c r="AL612" s="16"/>
      <c r="AM612" s="37"/>
      <c r="AN612" s="37"/>
      <c r="AO612" s="37"/>
      <c r="AP612" s="37"/>
      <c r="AQ612" s="37"/>
      <c r="AR612" s="37"/>
      <c r="AS612" s="37"/>
    </row>
    <row r="613" spans="1:45" ht="14.25" customHeight="1" x14ac:dyDescent="0.3">
      <c r="A613" s="34"/>
      <c r="B613" s="16"/>
      <c r="C613" s="15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5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5"/>
      <c r="AI613" s="16"/>
      <c r="AJ613" s="16"/>
      <c r="AK613" s="16"/>
      <c r="AL613" s="16"/>
      <c r="AM613" s="37"/>
      <c r="AN613" s="37"/>
      <c r="AO613" s="37"/>
      <c r="AP613" s="37"/>
      <c r="AQ613" s="37"/>
      <c r="AR613" s="37"/>
      <c r="AS613" s="37"/>
    </row>
    <row r="614" spans="1:45" ht="14.25" customHeight="1" x14ac:dyDescent="0.3">
      <c r="A614" s="34"/>
      <c r="B614" s="16"/>
      <c r="C614" s="15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5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5"/>
      <c r="AI614" s="16"/>
      <c r="AJ614" s="16"/>
      <c r="AK614" s="16"/>
      <c r="AL614" s="16"/>
      <c r="AM614" s="37"/>
      <c r="AN614" s="37"/>
      <c r="AO614" s="37"/>
      <c r="AP614" s="37"/>
      <c r="AQ614" s="37"/>
      <c r="AR614" s="37"/>
      <c r="AS614" s="37"/>
    </row>
    <row r="615" spans="1:45" ht="14.25" customHeight="1" x14ac:dyDescent="0.3">
      <c r="A615" s="34"/>
      <c r="B615" s="16"/>
      <c r="C615" s="15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5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5"/>
      <c r="AI615" s="16"/>
      <c r="AJ615" s="16"/>
      <c r="AK615" s="16"/>
      <c r="AL615" s="16"/>
      <c r="AM615" s="37"/>
      <c r="AN615" s="37"/>
      <c r="AO615" s="37"/>
      <c r="AP615" s="37"/>
      <c r="AQ615" s="37"/>
      <c r="AR615" s="37"/>
      <c r="AS615" s="37"/>
    </row>
    <row r="616" spans="1:45" ht="14.25" customHeight="1" x14ac:dyDescent="0.3">
      <c r="A616" s="34"/>
      <c r="B616" s="16"/>
      <c r="C616" s="15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5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5"/>
      <c r="AI616" s="16"/>
      <c r="AJ616" s="16"/>
      <c r="AK616" s="16"/>
      <c r="AL616" s="16"/>
      <c r="AM616" s="37"/>
      <c r="AN616" s="37"/>
      <c r="AO616" s="37"/>
      <c r="AP616" s="37"/>
      <c r="AQ616" s="37"/>
      <c r="AR616" s="37"/>
      <c r="AS616" s="37"/>
    </row>
    <row r="617" spans="1:45" ht="14.25" customHeight="1" x14ac:dyDescent="0.3">
      <c r="A617" s="34"/>
      <c r="B617" s="16"/>
      <c r="C617" s="15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5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5"/>
      <c r="AI617" s="16"/>
      <c r="AJ617" s="16"/>
      <c r="AK617" s="16"/>
      <c r="AL617" s="16"/>
      <c r="AM617" s="37"/>
      <c r="AN617" s="37"/>
      <c r="AO617" s="37"/>
      <c r="AP617" s="37"/>
      <c r="AQ617" s="37"/>
      <c r="AR617" s="37"/>
      <c r="AS617" s="37"/>
    </row>
    <row r="618" spans="1:45" ht="14.25" customHeight="1" x14ac:dyDescent="0.3">
      <c r="A618" s="34"/>
      <c r="B618" s="16"/>
      <c r="C618" s="15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5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5"/>
      <c r="AI618" s="16"/>
      <c r="AJ618" s="16"/>
      <c r="AK618" s="16"/>
      <c r="AL618" s="16"/>
      <c r="AM618" s="37"/>
      <c r="AN618" s="37"/>
      <c r="AO618" s="37"/>
      <c r="AP618" s="37"/>
      <c r="AQ618" s="37"/>
      <c r="AR618" s="37"/>
      <c r="AS618" s="37"/>
    </row>
    <row r="619" spans="1:45" ht="14.25" customHeight="1" x14ac:dyDescent="0.3">
      <c r="A619" s="34"/>
      <c r="B619" s="16"/>
      <c r="C619" s="15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5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5"/>
      <c r="AI619" s="16"/>
      <c r="AJ619" s="16"/>
      <c r="AK619" s="16"/>
      <c r="AL619" s="16"/>
      <c r="AM619" s="37"/>
      <c r="AN619" s="37"/>
      <c r="AO619" s="37"/>
      <c r="AP619" s="37"/>
      <c r="AQ619" s="37"/>
      <c r="AR619" s="37"/>
      <c r="AS619" s="37"/>
    </row>
    <row r="620" spans="1:45" ht="14.25" customHeight="1" x14ac:dyDescent="0.3">
      <c r="A620" s="34"/>
      <c r="B620" s="16"/>
      <c r="C620" s="15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5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5"/>
      <c r="AI620" s="16"/>
      <c r="AJ620" s="16"/>
      <c r="AK620" s="16"/>
      <c r="AL620" s="16"/>
      <c r="AM620" s="37"/>
      <c r="AN620" s="37"/>
      <c r="AO620" s="37"/>
      <c r="AP620" s="37"/>
      <c r="AQ620" s="37"/>
      <c r="AR620" s="37"/>
      <c r="AS620" s="37"/>
    </row>
    <row r="621" spans="1:45" ht="14.25" customHeight="1" x14ac:dyDescent="0.3">
      <c r="A621" s="34"/>
      <c r="B621" s="16"/>
      <c r="C621" s="15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5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5"/>
      <c r="AI621" s="16"/>
      <c r="AJ621" s="16"/>
      <c r="AK621" s="16"/>
      <c r="AL621" s="16"/>
      <c r="AM621" s="37"/>
      <c r="AN621" s="37"/>
      <c r="AO621" s="37"/>
      <c r="AP621" s="37"/>
      <c r="AQ621" s="37"/>
      <c r="AR621" s="37"/>
      <c r="AS621" s="37"/>
    </row>
    <row r="622" spans="1:45" ht="14.25" customHeight="1" x14ac:dyDescent="0.3">
      <c r="A622" s="34"/>
      <c r="B622" s="16"/>
      <c r="C622" s="15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5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5"/>
      <c r="AI622" s="16"/>
      <c r="AJ622" s="16"/>
      <c r="AK622" s="16"/>
      <c r="AL622" s="16"/>
      <c r="AM622" s="37"/>
      <c r="AN622" s="37"/>
      <c r="AO622" s="37"/>
      <c r="AP622" s="37"/>
      <c r="AQ622" s="37"/>
      <c r="AR622" s="37"/>
      <c r="AS622" s="37"/>
    </row>
    <row r="623" spans="1:45" ht="14.25" customHeight="1" x14ac:dyDescent="0.3">
      <c r="A623" s="34"/>
      <c r="B623" s="16"/>
      <c r="C623" s="15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5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5"/>
      <c r="AI623" s="16"/>
      <c r="AJ623" s="16"/>
      <c r="AK623" s="16"/>
      <c r="AL623" s="16"/>
      <c r="AM623" s="37"/>
      <c r="AN623" s="37"/>
      <c r="AO623" s="37"/>
      <c r="AP623" s="37"/>
      <c r="AQ623" s="37"/>
      <c r="AR623" s="37"/>
      <c r="AS623" s="37"/>
    </row>
    <row r="624" spans="1:45" ht="14.25" customHeight="1" x14ac:dyDescent="0.3">
      <c r="A624" s="34"/>
      <c r="B624" s="16"/>
      <c r="C624" s="15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5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5"/>
      <c r="AI624" s="16"/>
      <c r="AJ624" s="16"/>
      <c r="AK624" s="16"/>
      <c r="AL624" s="16"/>
      <c r="AM624" s="37"/>
      <c r="AN624" s="37"/>
      <c r="AO624" s="37"/>
      <c r="AP624" s="37"/>
      <c r="AQ624" s="37"/>
      <c r="AR624" s="37"/>
      <c r="AS624" s="37"/>
    </row>
    <row r="625" spans="1:45" ht="14.25" customHeight="1" x14ac:dyDescent="0.3">
      <c r="A625" s="34"/>
      <c r="B625" s="16"/>
      <c r="C625" s="15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5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5"/>
      <c r="AI625" s="16"/>
      <c r="AJ625" s="16"/>
      <c r="AK625" s="16"/>
      <c r="AL625" s="16"/>
      <c r="AM625" s="37"/>
      <c r="AN625" s="37"/>
      <c r="AO625" s="37"/>
      <c r="AP625" s="37"/>
      <c r="AQ625" s="37"/>
      <c r="AR625" s="37"/>
      <c r="AS625" s="37"/>
    </row>
    <row r="626" spans="1:45" ht="14.25" customHeight="1" x14ac:dyDescent="0.3">
      <c r="A626" s="34"/>
      <c r="B626" s="16"/>
      <c r="C626" s="15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5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5"/>
      <c r="AI626" s="16"/>
      <c r="AJ626" s="16"/>
      <c r="AK626" s="16"/>
      <c r="AL626" s="16"/>
      <c r="AM626" s="37"/>
      <c r="AN626" s="37"/>
      <c r="AO626" s="37"/>
      <c r="AP626" s="37"/>
      <c r="AQ626" s="37"/>
      <c r="AR626" s="37"/>
      <c r="AS626" s="37"/>
    </row>
    <row r="627" spans="1:45" ht="14.25" customHeight="1" x14ac:dyDescent="0.3">
      <c r="A627" s="34"/>
      <c r="B627" s="16"/>
      <c r="C627" s="15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5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5"/>
      <c r="AI627" s="16"/>
      <c r="AJ627" s="16"/>
      <c r="AK627" s="16"/>
      <c r="AL627" s="16"/>
      <c r="AM627" s="37"/>
      <c r="AN627" s="37"/>
      <c r="AO627" s="37"/>
      <c r="AP627" s="37"/>
      <c r="AQ627" s="37"/>
      <c r="AR627" s="37"/>
      <c r="AS627" s="37"/>
    </row>
    <row r="628" spans="1:45" ht="14.25" customHeight="1" x14ac:dyDescent="0.3">
      <c r="A628" s="34"/>
      <c r="B628" s="16"/>
      <c r="C628" s="15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5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5"/>
      <c r="AI628" s="16"/>
      <c r="AJ628" s="16"/>
      <c r="AK628" s="16"/>
      <c r="AL628" s="16"/>
      <c r="AM628" s="37"/>
      <c r="AN628" s="37"/>
      <c r="AO628" s="37"/>
      <c r="AP628" s="37"/>
      <c r="AQ628" s="37"/>
      <c r="AR628" s="37"/>
      <c r="AS628" s="37"/>
    </row>
    <row r="629" spans="1:45" ht="14.25" customHeight="1" x14ac:dyDescent="0.3">
      <c r="A629" s="34"/>
      <c r="B629" s="16"/>
      <c r="C629" s="15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5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5"/>
      <c r="AI629" s="16"/>
      <c r="AJ629" s="16"/>
      <c r="AK629" s="16"/>
      <c r="AL629" s="16"/>
      <c r="AM629" s="37"/>
      <c r="AN629" s="37"/>
      <c r="AO629" s="37"/>
      <c r="AP629" s="37"/>
      <c r="AQ629" s="37"/>
      <c r="AR629" s="37"/>
      <c r="AS629" s="37"/>
    </row>
    <row r="630" spans="1:45" ht="14.25" customHeight="1" x14ac:dyDescent="0.3">
      <c r="A630" s="34"/>
      <c r="B630" s="16"/>
      <c r="C630" s="15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5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5"/>
      <c r="AI630" s="16"/>
      <c r="AJ630" s="16"/>
      <c r="AK630" s="16"/>
      <c r="AL630" s="16"/>
      <c r="AM630" s="37"/>
      <c r="AN630" s="37"/>
      <c r="AO630" s="37"/>
      <c r="AP630" s="37"/>
      <c r="AQ630" s="37"/>
      <c r="AR630" s="37"/>
      <c r="AS630" s="37"/>
    </row>
    <row r="631" spans="1:45" ht="14.25" customHeight="1" x14ac:dyDescent="0.3">
      <c r="A631" s="34"/>
      <c r="B631" s="16"/>
      <c r="C631" s="15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5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5"/>
      <c r="AI631" s="16"/>
      <c r="AJ631" s="16"/>
      <c r="AK631" s="16"/>
      <c r="AL631" s="16"/>
      <c r="AM631" s="37"/>
      <c r="AN631" s="37"/>
      <c r="AO631" s="37"/>
      <c r="AP631" s="37"/>
      <c r="AQ631" s="37"/>
      <c r="AR631" s="37"/>
      <c r="AS631" s="37"/>
    </row>
    <row r="632" spans="1:45" ht="14.25" customHeight="1" x14ac:dyDescent="0.3">
      <c r="A632" s="34"/>
      <c r="B632" s="16"/>
      <c r="C632" s="15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5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5"/>
      <c r="AI632" s="16"/>
      <c r="AJ632" s="16"/>
      <c r="AK632" s="16"/>
      <c r="AL632" s="16"/>
      <c r="AM632" s="37"/>
      <c r="AN632" s="37"/>
      <c r="AO632" s="37"/>
      <c r="AP632" s="37"/>
      <c r="AQ632" s="37"/>
      <c r="AR632" s="37"/>
      <c r="AS632" s="37"/>
    </row>
    <row r="633" spans="1:45" ht="14.25" customHeight="1" x14ac:dyDescent="0.3">
      <c r="A633" s="34"/>
      <c r="B633" s="16"/>
      <c r="C633" s="15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5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5"/>
      <c r="AI633" s="16"/>
      <c r="AJ633" s="16"/>
      <c r="AK633" s="16"/>
      <c r="AL633" s="16"/>
      <c r="AM633" s="37"/>
      <c r="AN633" s="37"/>
      <c r="AO633" s="37"/>
      <c r="AP633" s="37"/>
      <c r="AQ633" s="37"/>
      <c r="AR633" s="37"/>
      <c r="AS633" s="37"/>
    </row>
    <row r="634" spans="1:45" ht="14.25" customHeight="1" x14ac:dyDescent="0.3">
      <c r="A634" s="34"/>
      <c r="B634" s="16"/>
      <c r="C634" s="15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5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5"/>
      <c r="AI634" s="16"/>
      <c r="AJ634" s="16"/>
      <c r="AK634" s="16"/>
      <c r="AL634" s="16"/>
      <c r="AM634" s="37"/>
      <c r="AN634" s="37"/>
      <c r="AO634" s="37"/>
      <c r="AP634" s="37"/>
      <c r="AQ634" s="37"/>
      <c r="AR634" s="37"/>
      <c r="AS634" s="37"/>
    </row>
    <row r="635" spans="1:45" ht="14.25" customHeight="1" x14ac:dyDescent="0.3">
      <c r="A635" s="34"/>
      <c r="B635" s="16"/>
      <c r="C635" s="15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5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5"/>
      <c r="AI635" s="16"/>
      <c r="AJ635" s="16"/>
      <c r="AK635" s="16"/>
      <c r="AL635" s="16"/>
      <c r="AM635" s="37"/>
      <c r="AN635" s="37"/>
      <c r="AO635" s="37"/>
      <c r="AP635" s="37"/>
      <c r="AQ635" s="37"/>
      <c r="AR635" s="37"/>
      <c r="AS635" s="37"/>
    </row>
    <row r="636" spans="1:45" ht="14.25" customHeight="1" x14ac:dyDescent="0.3">
      <c r="A636" s="34"/>
      <c r="B636" s="16"/>
      <c r="C636" s="15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5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5"/>
      <c r="AI636" s="16"/>
      <c r="AJ636" s="16"/>
      <c r="AK636" s="16"/>
      <c r="AL636" s="16"/>
      <c r="AM636" s="37"/>
      <c r="AN636" s="37"/>
      <c r="AO636" s="37"/>
      <c r="AP636" s="37"/>
      <c r="AQ636" s="37"/>
      <c r="AR636" s="37"/>
      <c r="AS636" s="37"/>
    </row>
    <row r="637" spans="1:45" ht="14.25" customHeight="1" x14ac:dyDescent="0.3">
      <c r="A637" s="34"/>
      <c r="B637" s="16"/>
      <c r="C637" s="15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5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5"/>
      <c r="AI637" s="16"/>
      <c r="AJ637" s="16"/>
      <c r="AK637" s="16"/>
      <c r="AL637" s="16"/>
      <c r="AM637" s="37"/>
      <c r="AN637" s="37"/>
      <c r="AO637" s="37"/>
      <c r="AP637" s="37"/>
      <c r="AQ637" s="37"/>
      <c r="AR637" s="37"/>
      <c r="AS637" s="37"/>
    </row>
    <row r="638" spans="1:45" ht="14.25" customHeight="1" x14ac:dyDescent="0.3">
      <c r="A638" s="34"/>
      <c r="B638" s="16"/>
      <c r="C638" s="15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5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5"/>
      <c r="AI638" s="16"/>
      <c r="AJ638" s="16"/>
      <c r="AK638" s="16"/>
      <c r="AL638" s="16"/>
      <c r="AM638" s="37"/>
      <c r="AN638" s="37"/>
      <c r="AO638" s="37"/>
      <c r="AP638" s="37"/>
      <c r="AQ638" s="37"/>
      <c r="AR638" s="37"/>
      <c r="AS638" s="37"/>
    </row>
    <row r="639" spans="1:45" ht="14.25" customHeight="1" x14ac:dyDescent="0.3">
      <c r="A639" s="34"/>
      <c r="B639" s="16"/>
      <c r="C639" s="15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5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5"/>
      <c r="AI639" s="16"/>
      <c r="AJ639" s="16"/>
      <c r="AK639" s="16"/>
      <c r="AL639" s="16"/>
      <c r="AM639" s="37"/>
      <c r="AN639" s="37"/>
      <c r="AO639" s="37"/>
      <c r="AP639" s="37"/>
      <c r="AQ639" s="37"/>
      <c r="AR639" s="37"/>
      <c r="AS639" s="37"/>
    </row>
    <row r="640" spans="1:45" ht="14.25" customHeight="1" x14ac:dyDescent="0.3">
      <c r="A640" s="34"/>
      <c r="B640" s="16"/>
      <c r="C640" s="15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5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5"/>
      <c r="AI640" s="16"/>
      <c r="AJ640" s="16"/>
      <c r="AK640" s="16"/>
      <c r="AL640" s="16"/>
      <c r="AM640" s="37"/>
      <c r="AN640" s="37"/>
      <c r="AO640" s="37"/>
      <c r="AP640" s="37"/>
      <c r="AQ640" s="37"/>
      <c r="AR640" s="37"/>
      <c r="AS640" s="37"/>
    </row>
    <row r="641" spans="1:45" ht="14.25" customHeight="1" x14ac:dyDescent="0.3">
      <c r="A641" s="34"/>
      <c r="B641" s="16"/>
      <c r="C641" s="15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5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5"/>
      <c r="AI641" s="16"/>
      <c r="AJ641" s="16"/>
      <c r="AK641" s="16"/>
      <c r="AL641" s="16"/>
      <c r="AM641" s="37"/>
      <c r="AN641" s="37"/>
      <c r="AO641" s="37"/>
      <c r="AP641" s="37"/>
      <c r="AQ641" s="37"/>
      <c r="AR641" s="37"/>
      <c r="AS641" s="37"/>
    </row>
    <row r="642" spans="1:45" ht="14.25" customHeight="1" x14ac:dyDescent="0.3">
      <c r="A642" s="34"/>
      <c r="B642" s="16"/>
      <c r="C642" s="15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5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5"/>
      <c r="AI642" s="16"/>
      <c r="AJ642" s="16"/>
      <c r="AK642" s="16"/>
      <c r="AL642" s="16"/>
      <c r="AM642" s="37"/>
      <c r="AN642" s="37"/>
      <c r="AO642" s="37"/>
      <c r="AP642" s="37"/>
      <c r="AQ642" s="37"/>
      <c r="AR642" s="37"/>
      <c r="AS642" s="37"/>
    </row>
    <row r="643" spans="1:45" ht="14.25" customHeight="1" x14ac:dyDescent="0.3">
      <c r="A643" s="34"/>
      <c r="B643" s="16"/>
      <c r="C643" s="15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5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5"/>
      <c r="AI643" s="16"/>
      <c r="AJ643" s="16"/>
      <c r="AK643" s="16"/>
      <c r="AL643" s="16"/>
      <c r="AM643" s="37"/>
      <c r="AN643" s="37"/>
      <c r="AO643" s="37"/>
      <c r="AP643" s="37"/>
      <c r="AQ643" s="37"/>
      <c r="AR643" s="37"/>
      <c r="AS643" s="37"/>
    </row>
    <row r="644" spans="1:45" ht="14.25" customHeight="1" x14ac:dyDescent="0.3">
      <c r="A644" s="34"/>
      <c r="B644" s="16"/>
      <c r="C644" s="15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5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5"/>
      <c r="AI644" s="16"/>
      <c r="AJ644" s="16"/>
      <c r="AK644" s="16"/>
      <c r="AL644" s="16"/>
      <c r="AM644" s="37"/>
      <c r="AN644" s="37"/>
      <c r="AO644" s="37"/>
      <c r="AP644" s="37"/>
      <c r="AQ644" s="37"/>
      <c r="AR644" s="37"/>
      <c r="AS644" s="37"/>
    </row>
    <row r="645" spans="1:45" ht="14.25" customHeight="1" x14ac:dyDescent="0.3">
      <c r="A645" s="34"/>
      <c r="B645" s="16"/>
      <c r="C645" s="15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5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5"/>
      <c r="AI645" s="16"/>
      <c r="AJ645" s="16"/>
      <c r="AK645" s="16"/>
      <c r="AL645" s="16"/>
      <c r="AM645" s="37"/>
      <c r="AN645" s="37"/>
      <c r="AO645" s="37"/>
      <c r="AP645" s="37"/>
      <c r="AQ645" s="37"/>
      <c r="AR645" s="37"/>
      <c r="AS645" s="37"/>
    </row>
    <row r="646" spans="1:45" ht="14.25" customHeight="1" x14ac:dyDescent="0.3">
      <c r="A646" s="34"/>
      <c r="B646" s="16"/>
      <c r="C646" s="15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5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5"/>
      <c r="AI646" s="16"/>
      <c r="AJ646" s="16"/>
      <c r="AK646" s="16"/>
      <c r="AL646" s="16"/>
      <c r="AM646" s="37"/>
      <c r="AN646" s="37"/>
      <c r="AO646" s="37"/>
      <c r="AP646" s="37"/>
      <c r="AQ646" s="37"/>
      <c r="AR646" s="37"/>
      <c r="AS646" s="37"/>
    </row>
    <row r="647" spans="1:45" ht="14.25" customHeight="1" x14ac:dyDescent="0.3">
      <c r="A647" s="34"/>
      <c r="B647" s="16"/>
      <c r="C647" s="15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5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5"/>
      <c r="AI647" s="16"/>
      <c r="AJ647" s="16"/>
      <c r="AK647" s="16"/>
      <c r="AL647" s="16"/>
      <c r="AM647" s="37"/>
      <c r="AN647" s="37"/>
      <c r="AO647" s="37"/>
      <c r="AP647" s="37"/>
      <c r="AQ647" s="37"/>
      <c r="AR647" s="37"/>
      <c r="AS647" s="37"/>
    </row>
    <row r="648" spans="1:45" ht="14.25" customHeight="1" x14ac:dyDescent="0.3">
      <c r="A648" s="34"/>
      <c r="B648" s="16"/>
      <c r="C648" s="15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5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5"/>
      <c r="AI648" s="16"/>
      <c r="AJ648" s="16"/>
      <c r="AK648" s="16"/>
      <c r="AL648" s="16"/>
      <c r="AM648" s="37"/>
      <c r="AN648" s="37"/>
      <c r="AO648" s="37"/>
      <c r="AP648" s="37"/>
      <c r="AQ648" s="37"/>
      <c r="AR648" s="37"/>
      <c r="AS648" s="37"/>
    </row>
    <row r="649" spans="1:45" ht="14.25" customHeight="1" x14ac:dyDescent="0.3">
      <c r="A649" s="34"/>
      <c r="B649" s="16"/>
      <c r="C649" s="15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5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5"/>
      <c r="AI649" s="16"/>
      <c r="AJ649" s="16"/>
      <c r="AK649" s="16"/>
      <c r="AL649" s="16"/>
      <c r="AM649" s="37"/>
      <c r="AN649" s="37"/>
      <c r="AO649" s="37"/>
      <c r="AP649" s="37"/>
      <c r="AQ649" s="37"/>
      <c r="AR649" s="37"/>
      <c r="AS649" s="37"/>
    </row>
    <row r="650" spans="1:45" ht="14.25" customHeight="1" x14ac:dyDescent="0.3">
      <c r="A650" s="34"/>
      <c r="B650" s="16"/>
      <c r="C650" s="15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5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5"/>
      <c r="AI650" s="16"/>
      <c r="AJ650" s="16"/>
      <c r="AK650" s="16"/>
      <c r="AL650" s="16"/>
      <c r="AM650" s="37"/>
      <c r="AN650" s="37"/>
      <c r="AO650" s="37"/>
      <c r="AP650" s="37"/>
      <c r="AQ650" s="37"/>
      <c r="AR650" s="37"/>
      <c r="AS650" s="37"/>
    </row>
    <row r="651" spans="1:45" ht="14.25" customHeight="1" x14ac:dyDescent="0.3">
      <c r="A651" s="34"/>
      <c r="B651" s="16"/>
      <c r="C651" s="15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5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5"/>
      <c r="AI651" s="16"/>
      <c r="AJ651" s="16"/>
      <c r="AK651" s="16"/>
      <c r="AL651" s="16"/>
      <c r="AM651" s="37"/>
      <c r="AN651" s="37"/>
      <c r="AO651" s="37"/>
      <c r="AP651" s="37"/>
      <c r="AQ651" s="37"/>
      <c r="AR651" s="37"/>
      <c r="AS651" s="37"/>
    </row>
    <row r="652" spans="1:45" ht="14.25" customHeight="1" x14ac:dyDescent="0.3">
      <c r="A652" s="34"/>
      <c r="B652" s="16"/>
      <c r="C652" s="15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5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5"/>
      <c r="AI652" s="16"/>
      <c r="AJ652" s="16"/>
      <c r="AK652" s="16"/>
      <c r="AL652" s="16"/>
      <c r="AM652" s="37"/>
      <c r="AN652" s="37"/>
      <c r="AO652" s="37"/>
      <c r="AP652" s="37"/>
      <c r="AQ652" s="37"/>
      <c r="AR652" s="37"/>
      <c r="AS652" s="37"/>
    </row>
    <row r="653" spans="1:45" ht="14.25" customHeight="1" x14ac:dyDescent="0.3">
      <c r="A653" s="34"/>
      <c r="B653" s="16"/>
      <c r="C653" s="15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5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5"/>
      <c r="AI653" s="16"/>
      <c r="AJ653" s="16"/>
      <c r="AK653" s="16"/>
      <c r="AL653" s="16"/>
      <c r="AM653" s="37"/>
      <c r="AN653" s="37"/>
      <c r="AO653" s="37"/>
      <c r="AP653" s="37"/>
      <c r="AQ653" s="37"/>
      <c r="AR653" s="37"/>
      <c r="AS653" s="37"/>
    </row>
    <row r="654" spans="1:45" ht="14.25" customHeight="1" x14ac:dyDescent="0.3">
      <c r="A654" s="34"/>
      <c r="B654" s="16"/>
      <c r="C654" s="15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5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5"/>
      <c r="AI654" s="16"/>
      <c r="AJ654" s="16"/>
      <c r="AK654" s="16"/>
      <c r="AL654" s="16"/>
      <c r="AM654" s="37"/>
      <c r="AN654" s="37"/>
      <c r="AO654" s="37"/>
      <c r="AP654" s="37"/>
      <c r="AQ654" s="37"/>
      <c r="AR654" s="37"/>
      <c r="AS654" s="37"/>
    </row>
    <row r="655" spans="1:45" ht="14.25" customHeight="1" x14ac:dyDescent="0.3">
      <c r="A655" s="34"/>
      <c r="B655" s="16"/>
      <c r="C655" s="15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5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5"/>
      <c r="AI655" s="16"/>
      <c r="AJ655" s="16"/>
      <c r="AK655" s="16"/>
      <c r="AL655" s="16"/>
      <c r="AM655" s="37"/>
      <c r="AN655" s="37"/>
      <c r="AO655" s="37"/>
      <c r="AP655" s="37"/>
      <c r="AQ655" s="37"/>
      <c r="AR655" s="37"/>
      <c r="AS655" s="37"/>
    </row>
    <row r="656" spans="1:45" ht="14.25" customHeight="1" x14ac:dyDescent="0.3">
      <c r="A656" s="34"/>
      <c r="B656" s="16"/>
      <c r="C656" s="15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5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5"/>
      <c r="AI656" s="16"/>
      <c r="AJ656" s="16"/>
      <c r="AK656" s="16"/>
      <c r="AL656" s="16"/>
      <c r="AM656" s="37"/>
      <c r="AN656" s="37"/>
      <c r="AO656" s="37"/>
      <c r="AP656" s="37"/>
      <c r="AQ656" s="37"/>
      <c r="AR656" s="37"/>
      <c r="AS656" s="37"/>
    </row>
    <row r="657" spans="1:45" ht="14.25" customHeight="1" x14ac:dyDescent="0.3">
      <c r="A657" s="34"/>
      <c r="B657" s="16"/>
      <c r="C657" s="15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5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5"/>
      <c r="AI657" s="16"/>
      <c r="AJ657" s="16"/>
      <c r="AK657" s="16"/>
      <c r="AL657" s="16"/>
      <c r="AM657" s="37"/>
      <c r="AN657" s="37"/>
      <c r="AO657" s="37"/>
      <c r="AP657" s="37"/>
      <c r="AQ657" s="37"/>
      <c r="AR657" s="37"/>
      <c r="AS657" s="37"/>
    </row>
    <row r="658" spans="1:45" ht="14.25" customHeight="1" x14ac:dyDescent="0.3">
      <c r="A658" s="34"/>
      <c r="B658" s="16"/>
      <c r="C658" s="15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5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5"/>
      <c r="AI658" s="16"/>
      <c r="AJ658" s="16"/>
      <c r="AK658" s="16"/>
      <c r="AL658" s="16"/>
      <c r="AM658" s="37"/>
      <c r="AN658" s="37"/>
      <c r="AO658" s="37"/>
      <c r="AP658" s="37"/>
      <c r="AQ658" s="37"/>
      <c r="AR658" s="37"/>
      <c r="AS658" s="37"/>
    </row>
    <row r="659" spans="1:45" ht="14.25" customHeight="1" x14ac:dyDescent="0.3">
      <c r="A659" s="34"/>
      <c r="B659" s="16"/>
      <c r="C659" s="15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5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5"/>
      <c r="AI659" s="16"/>
      <c r="AJ659" s="16"/>
      <c r="AK659" s="16"/>
      <c r="AL659" s="16"/>
      <c r="AM659" s="37"/>
      <c r="AN659" s="37"/>
      <c r="AO659" s="37"/>
      <c r="AP659" s="37"/>
      <c r="AQ659" s="37"/>
      <c r="AR659" s="37"/>
      <c r="AS659" s="37"/>
    </row>
    <row r="660" spans="1:45" ht="14.25" customHeight="1" x14ac:dyDescent="0.3">
      <c r="A660" s="34"/>
      <c r="B660" s="16"/>
      <c r="C660" s="15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5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5"/>
      <c r="AI660" s="16"/>
      <c r="AJ660" s="16"/>
      <c r="AK660" s="16"/>
      <c r="AL660" s="16"/>
      <c r="AM660" s="37"/>
      <c r="AN660" s="37"/>
      <c r="AO660" s="37"/>
      <c r="AP660" s="37"/>
      <c r="AQ660" s="37"/>
      <c r="AR660" s="37"/>
      <c r="AS660" s="37"/>
    </row>
    <row r="661" spans="1:45" ht="14.25" customHeight="1" x14ac:dyDescent="0.3">
      <c r="A661" s="34"/>
      <c r="B661" s="16"/>
      <c r="C661" s="15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5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5"/>
      <c r="AI661" s="16"/>
      <c r="AJ661" s="16"/>
      <c r="AK661" s="16"/>
      <c r="AL661" s="16"/>
      <c r="AM661" s="37"/>
      <c r="AN661" s="37"/>
      <c r="AO661" s="37"/>
      <c r="AP661" s="37"/>
      <c r="AQ661" s="37"/>
      <c r="AR661" s="37"/>
      <c r="AS661" s="37"/>
    </row>
    <row r="662" spans="1:45" ht="14.25" customHeight="1" x14ac:dyDescent="0.3">
      <c r="A662" s="34"/>
      <c r="B662" s="16"/>
      <c r="C662" s="15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5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5"/>
      <c r="AI662" s="16"/>
      <c r="AJ662" s="16"/>
      <c r="AK662" s="16"/>
      <c r="AL662" s="16"/>
      <c r="AM662" s="37"/>
      <c r="AN662" s="37"/>
      <c r="AO662" s="37"/>
      <c r="AP662" s="37"/>
      <c r="AQ662" s="37"/>
      <c r="AR662" s="37"/>
      <c r="AS662" s="37"/>
    </row>
    <row r="663" spans="1:45" ht="14.25" customHeight="1" x14ac:dyDescent="0.3">
      <c r="A663" s="34"/>
      <c r="B663" s="16"/>
      <c r="C663" s="15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5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5"/>
      <c r="AI663" s="16"/>
      <c r="AJ663" s="16"/>
      <c r="AK663" s="16"/>
      <c r="AL663" s="16"/>
      <c r="AM663" s="37"/>
      <c r="AN663" s="37"/>
      <c r="AO663" s="37"/>
      <c r="AP663" s="37"/>
      <c r="AQ663" s="37"/>
      <c r="AR663" s="37"/>
      <c r="AS663" s="37"/>
    </row>
    <row r="664" spans="1:45" ht="14.25" customHeight="1" x14ac:dyDescent="0.3">
      <c r="A664" s="34"/>
      <c r="B664" s="16"/>
      <c r="C664" s="15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5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5"/>
      <c r="AI664" s="16"/>
      <c r="AJ664" s="16"/>
      <c r="AK664" s="16"/>
      <c r="AL664" s="16"/>
      <c r="AM664" s="37"/>
      <c r="AN664" s="37"/>
      <c r="AO664" s="37"/>
      <c r="AP664" s="37"/>
      <c r="AQ664" s="37"/>
      <c r="AR664" s="37"/>
      <c r="AS664" s="37"/>
    </row>
    <row r="665" spans="1:45" ht="14.25" customHeight="1" x14ac:dyDescent="0.3">
      <c r="A665" s="34"/>
      <c r="B665" s="16"/>
      <c r="C665" s="15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5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5"/>
      <c r="AI665" s="16"/>
      <c r="AJ665" s="16"/>
      <c r="AK665" s="16"/>
      <c r="AL665" s="16"/>
      <c r="AM665" s="37"/>
      <c r="AN665" s="37"/>
      <c r="AO665" s="37"/>
      <c r="AP665" s="37"/>
      <c r="AQ665" s="37"/>
      <c r="AR665" s="37"/>
      <c r="AS665" s="37"/>
    </row>
    <row r="666" spans="1:45" ht="14.25" customHeight="1" x14ac:dyDescent="0.3">
      <c r="A666" s="34"/>
      <c r="B666" s="16"/>
      <c r="C666" s="15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5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5"/>
      <c r="AI666" s="16"/>
      <c r="AJ666" s="16"/>
      <c r="AK666" s="16"/>
      <c r="AL666" s="16"/>
      <c r="AM666" s="37"/>
      <c r="AN666" s="37"/>
      <c r="AO666" s="37"/>
      <c r="AP666" s="37"/>
      <c r="AQ666" s="37"/>
      <c r="AR666" s="37"/>
      <c r="AS666" s="37"/>
    </row>
    <row r="667" spans="1:45" ht="14.25" customHeight="1" x14ac:dyDescent="0.3">
      <c r="A667" s="34"/>
      <c r="B667" s="16"/>
      <c r="C667" s="15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5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5"/>
      <c r="AI667" s="16"/>
      <c r="AJ667" s="16"/>
      <c r="AK667" s="16"/>
      <c r="AL667" s="16"/>
      <c r="AM667" s="37"/>
      <c r="AN667" s="37"/>
      <c r="AO667" s="37"/>
      <c r="AP667" s="37"/>
      <c r="AQ667" s="37"/>
      <c r="AR667" s="37"/>
      <c r="AS667" s="37"/>
    </row>
    <row r="668" spans="1:45" ht="14.25" customHeight="1" x14ac:dyDescent="0.3">
      <c r="A668" s="34"/>
      <c r="B668" s="16"/>
      <c r="C668" s="15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5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5"/>
      <c r="AI668" s="16"/>
      <c r="AJ668" s="16"/>
      <c r="AK668" s="16"/>
      <c r="AL668" s="16"/>
      <c r="AM668" s="37"/>
      <c r="AN668" s="37"/>
      <c r="AO668" s="37"/>
      <c r="AP668" s="37"/>
      <c r="AQ668" s="37"/>
      <c r="AR668" s="37"/>
      <c r="AS668" s="37"/>
    </row>
    <row r="669" spans="1:45" ht="14.25" customHeight="1" x14ac:dyDescent="0.3">
      <c r="A669" s="34"/>
      <c r="B669" s="16"/>
      <c r="C669" s="15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5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5"/>
      <c r="AI669" s="16"/>
      <c r="AJ669" s="16"/>
      <c r="AK669" s="16"/>
      <c r="AL669" s="16"/>
      <c r="AM669" s="37"/>
      <c r="AN669" s="37"/>
      <c r="AO669" s="37"/>
      <c r="AP669" s="37"/>
      <c r="AQ669" s="37"/>
      <c r="AR669" s="37"/>
      <c r="AS669" s="37"/>
    </row>
    <row r="670" spans="1:45" ht="14.25" customHeight="1" x14ac:dyDescent="0.3">
      <c r="A670" s="34"/>
      <c r="B670" s="16"/>
      <c r="C670" s="15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5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5"/>
      <c r="AI670" s="16"/>
      <c r="AJ670" s="16"/>
      <c r="AK670" s="16"/>
      <c r="AL670" s="16"/>
      <c r="AM670" s="37"/>
      <c r="AN670" s="37"/>
      <c r="AO670" s="37"/>
      <c r="AP670" s="37"/>
      <c r="AQ670" s="37"/>
      <c r="AR670" s="37"/>
      <c r="AS670" s="37"/>
    </row>
    <row r="671" spans="1:45" ht="14.25" customHeight="1" x14ac:dyDescent="0.3">
      <c r="A671" s="34"/>
      <c r="B671" s="16"/>
      <c r="C671" s="15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5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5"/>
      <c r="AI671" s="16"/>
      <c r="AJ671" s="16"/>
      <c r="AK671" s="16"/>
      <c r="AL671" s="16"/>
      <c r="AM671" s="37"/>
      <c r="AN671" s="37"/>
      <c r="AO671" s="37"/>
      <c r="AP671" s="37"/>
      <c r="AQ671" s="37"/>
      <c r="AR671" s="37"/>
      <c r="AS671" s="37"/>
    </row>
    <row r="672" spans="1:45" ht="14.25" customHeight="1" x14ac:dyDescent="0.3">
      <c r="A672" s="34"/>
      <c r="B672" s="16"/>
      <c r="C672" s="15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5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5"/>
      <c r="AI672" s="16"/>
      <c r="AJ672" s="16"/>
      <c r="AK672" s="16"/>
      <c r="AL672" s="16"/>
      <c r="AM672" s="37"/>
      <c r="AN672" s="37"/>
      <c r="AO672" s="37"/>
      <c r="AP672" s="37"/>
      <c r="AQ672" s="37"/>
      <c r="AR672" s="37"/>
      <c r="AS672" s="37"/>
    </row>
    <row r="673" spans="1:45" ht="14.25" customHeight="1" x14ac:dyDescent="0.3">
      <c r="A673" s="34"/>
      <c r="B673" s="16"/>
      <c r="C673" s="15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5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5"/>
      <c r="AI673" s="16"/>
      <c r="AJ673" s="16"/>
      <c r="AK673" s="16"/>
      <c r="AL673" s="16"/>
      <c r="AM673" s="37"/>
      <c r="AN673" s="37"/>
      <c r="AO673" s="37"/>
      <c r="AP673" s="37"/>
      <c r="AQ673" s="37"/>
      <c r="AR673" s="37"/>
      <c r="AS673" s="37"/>
    </row>
    <row r="674" spans="1:45" ht="14.25" customHeight="1" x14ac:dyDescent="0.3">
      <c r="A674" s="34"/>
      <c r="B674" s="16"/>
      <c r="C674" s="15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5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5"/>
      <c r="AI674" s="16"/>
      <c r="AJ674" s="16"/>
      <c r="AK674" s="16"/>
      <c r="AL674" s="16"/>
      <c r="AM674" s="37"/>
      <c r="AN674" s="37"/>
      <c r="AO674" s="37"/>
      <c r="AP674" s="37"/>
      <c r="AQ674" s="37"/>
      <c r="AR674" s="37"/>
      <c r="AS674" s="37"/>
    </row>
    <row r="675" spans="1:45" ht="14.25" customHeight="1" x14ac:dyDescent="0.3">
      <c r="A675" s="34"/>
      <c r="B675" s="16"/>
      <c r="C675" s="15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5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5"/>
      <c r="AI675" s="16"/>
      <c r="AJ675" s="16"/>
      <c r="AK675" s="16"/>
      <c r="AL675" s="16"/>
      <c r="AM675" s="37"/>
      <c r="AN675" s="37"/>
      <c r="AO675" s="37"/>
      <c r="AP675" s="37"/>
      <c r="AQ675" s="37"/>
      <c r="AR675" s="37"/>
      <c r="AS675" s="37"/>
    </row>
    <row r="676" spans="1:45" ht="14.25" customHeight="1" x14ac:dyDescent="0.3">
      <c r="A676" s="34"/>
      <c r="B676" s="16"/>
      <c r="C676" s="15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5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5"/>
      <c r="AI676" s="16"/>
      <c r="AJ676" s="16"/>
      <c r="AK676" s="16"/>
      <c r="AL676" s="16"/>
      <c r="AM676" s="37"/>
      <c r="AN676" s="37"/>
      <c r="AO676" s="37"/>
      <c r="AP676" s="37"/>
      <c r="AQ676" s="37"/>
      <c r="AR676" s="37"/>
      <c r="AS676" s="37"/>
    </row>
    <row r="677" spans="1:45" ht="14.25" customHeight="1" x14ac:dyDescent="0.3">
      <c r="A677" s="34"/>
      <c r="B677" s="16"/>
      <c r="C677" s="15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5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5"/>
      <c r="AI677" s="16"/>
      <c r="AJ677" s="16"/>
      <c r="AK677" s="16"/>
      <c r="AL677" s="16"/>
      <c r="AM677" s="37"/>
      <c r="AN677" s="37"/>
      <c r="AO677" s="37"/>
      <c r="AP677" s="37"/>
      <c r="AQ677" s="37"/>
      <c r="AR677" s="37"/>
      <c r="AS677" s="37"/>
    </row>
    <row r="678" spans="1:45" ht="14.25" customHeight="1" x14ac:dyDescent="0.3">
      <c r="A678" s="34"/>
      <c r="B678" s="16"/>
      <c r="C678" s="15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5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5"/>
      <c r="AI678" s="16"/>
      <c r="AJ678" s="16"/>
      <c r="AK678" s="16"/>
      <c r="AL678" s="16"/>
      <c r="AM678" s="37"/>
      <c r="AN678" s="37"/>
      <c r="AO678" s="37"/>
      <c r="AP678" s="37"/>
      <c r="AQ678" s="37"/>
      <c r="AR678" s="37"/>
      <c r="AS678" s="37"/>
    </row>
    <row r="679" spans="1:45" ht="14.25" customHeight="1" x14ac:dyDescent="0.3">
      <c r="A679" s="34"/>
      <c r="B679" s="16"/>
      <c r="C679" s="15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5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5"/>
      <c r="AI679" s="16"/>
      <c r="AJ679" s="16"/>
      <c r="AK679" s="16"/>
      <c r="AL679" s="16"/>
      <c r="AM679" s="37"/>
      <c r="AN679" s="37"/>
      <c r="AO679" s="37"/>
      <c r="AP679" s="37"/>
      <c r="AQ679" s="37"/>
      <c r="AR679" s="37"/>
      <c r="AS679" s="37"/>
    </row>
    <row r="680" spans="1:45" ht="14.25" customHeight="1" x14ac:dyDescent="0.3">
      <c r="A680" s="34"/>
      <c r="B680" s="16"/>
      <c r="C680" s="15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5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5"/>
      <c r="AI680" s="16"/>
      <c r="AJ680" s="16"/>
      <c r="AK680" s="16"/>
      <c r="AL680" s="16"/>
      <c r="AM680" s="37"/>
      <c r="AN680" s="37"/>
      <c r="AO680" s="37"/>
      <c r="AP680" s="37"/>
      <c r="AQ680" s="37"/>
      <c r="AR680" s="37"/>
      <c r="AS680" s="37"/>
    </row>
    <row r="681" spans="1:45" ht="14.25" customHeight="1" x14ac:dyDescent="0.3">
      <c r="A681" s="34"/>
      <c r="B681" s="16"/>
      <c r="C681" s="15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5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5"/>
      <c r="AI681" s="16"/>
      <c r="AJ681" s="16"/>
      <c r="AK681" s="16"/>
      <c r="AL681" s="16"/>
      <c r="AM681" s="37"/>
      <c r="AN681" s="37"/>
      <c r="AO681" s="37"/>
      <c r="AP681" s="37"/>
      <c r="AQ681" s="37"/>
      <c r="AR681" s="37"/>
      <c r="AS681" s="37"/>
    </row>
    <row r="682" spans="1:45" ht="14.25" customHeight="1" x14ac:dyDescent="0.3">
      <c r="A682" s="34"/>
      <c r="B682" s="16"/>
      <c r="C682" s="15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5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5"/>
      <c r="AI682" s="16"/>
      <c r="AJ682" s="16"/>
      <c r="AK682" s="16"/>
      <c r="AL682" s="16"/>
      <c r="AM682" s="37"/>
      <c r="AN682" s="37"/>
      <c r="AO682" s="37"/>
      <c r="AP682" s="37"/>
      <c r="AQ682" s="37"/>
      <c r="AR682" s="37"/>
      <c r="AS682" s="37"/>
    </row>
    <row r="683" spans="1:45" ht="14.25" customHeight="1" x14ac:dyDescent="0.3">
      <c r="A683" s="34"/>
      <c r="B683" s="16"/>
      <c r="C683" s="15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5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5"/>
      <c r="AI683" s="16"/>
      <c r="AJ683" s="16"/>
      <c r="AK683" s="16"/>
      <c r="AL683" s="16"/>
      <c r="AM683" s="37"/>
      <c r="AN683" s="37"/>
      <c r="AO683" s="37"/>
      <c r="AP683" s="37"/>
      <c r="AQ683" s="37"/>
      <c r="AR683" s="37"/>
      <c r="AS683" s="37"/>
    </row>
    <row r="684" spans="1:45" ht="14.25" customHeight="1" x14ac:dyDescent="0.3">
      <c r="A684" s="34"/>
      <c r="B684" s="16"/>
      <c r="C684" s="15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5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5"/>
      <c r="AI684" s="16"/>
      <c r="AJ684" s="16"/>
      <c r="AK684" s="16"/>
      <c r="AL684" s="16"/>
      <c r="AM684" s="37"/>
      <c r="AN684" s="37"/>
      <c r="AO684" s="37"/>
      <c r="AP684" s="37"/>
      <c r="AQ684" s="37"/>
      <c r="AR684" s="37"/>
      <c r="AS684" s="37"/>
    </row>
    <row r="685" spans="1:45" ht="14.25" customHeight="1" x14ac:dyDescent="0.3">
      <c r="A685" s="34"/>
      <c r="B685" s="16"/>
      <c r="C685" s="15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5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5"/>
      <c r="AI685" s="16"/>
      <c r="AJ685" s="16"/>
      <c r="AK685" s="16"/>
      <c r="AL685" s="16"/>
      <c r="AM685" s="37"/>
      <c r="AN685" s="37"/>
      <c r="AO685" s="37"/>
      <c r="AP685" s="37"/>
      <c r="AQ685" s="37"/>
      <c r="AR685" s="37"/>
      <c r="AS685" s="37"/>
    </row>
    <row r="686" spans="1:45" ht="14.25" customHeight="1" x14ac:dyDescent="0.3">
      <c r="A686" s="34"/>
      <c r="B686" s="16"/>
      <c r="C686" s="15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5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5"/>
      <c r="AI686" s="16"/>
      <c r="AJ686" s="16"/>
      <c r="AK686" s="16"/>
      <c r="AL686" s="16"/>
      <c r="AM686" s="37"/>
      <c r="AN686" s="37"/>
      <c r="AO686" s="37"/>
      <c r="AP686" s="37"/>
      <c r="AQ686" s="37"/>
      <c r="AR686" s="37"/>
      <c r="AS686" s="37"/>
    </row>
    <row r="687" spans="1:45" ht="14.25" customHeight="1" x14ac:dyDescent="0.3">
      <c r="A687" s="34"/>
      <c r="B687" s="16"/>
      <c r="C687" s="15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5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5"/>
      <c r="AI687" s="16"/>
      <c r="AJ687" s="16"/>
      <c r="AK687" s="16"/>
      <c r="AL687" s="16"/>
      <c r="AM687" s="37"/>
      <c r="AN687" s="37"/>
      <c r="AO687" s="37"/>
      <c r="AP687" s="37"/>
      <c r="AQ687" s="37"/>
      <c r="AR687" s="37"/>
      <c r="AS687" s="37"/>
    </row>
    <row r="688" spans="1:45" ht="14.25" customHeight="1" x14ac:dyDescent="0.3">
      <c r="A688" s="34"/>
      <c r="B688" s="16"/>
      <c r="C688" s="15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5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5"/>
      <c r="AI688" s="16"/>
      <c r="AJ688" s="16"/>
      <c r="AK688" s="16"/>
      <c r="AL688" s="16"/>
      <c r="AM688" s="37"/>
      <c r="AN688" s="37"/>
      <c r="AO688" s="37"/>
      <c r="AP688" s="37"/>
      <c r="AQ688" s="37"/>
      <c r="AR688" s="37"/>
      <c r="AS688" s="37"/>
    </row>
    <row r="689" spans="1:45" ht="14.25" customHeight="1" x14ac:dyDescent="0.3">
      <c r="A689" s="34"/>
      <c r="B689" s="16"/>
      <c r="C689" s="15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5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5"/>
      <c r="AI689" s="16"/>
      <c r="AJ689" s="16"/>
      <c r="AK689" s="16"/>
      <c r="AL689" s="16"/>
      <c r="AM689" s="37"/>
      <c r="AN689" s="37"/>
      <c r="AO689" s="37"/>
      <c r="AP689" s="37"/>
      <c r="AQ689" s="37"/>
      <c r="AR689" s="37"/>
      <c r="AS689" s="37"/>
    </row>
    <row r="690" spans="1:45" ht="14.25" customHeight="1" x14ac:dyDescent="0.3">
      <c r="A690" s="34"/>
      <c r="B690" s="16"/>
      <c r="C690" s="15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5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5"/>
      <c r="AI690" s="16"/>
      <c r="AJ690" s="16"/>
      <c r="AK690" s="16"/>
      <c r="AL690" s="16"/>
      <c r="AM690" s="37"/>
      <c r="AN690" s="37"/>
      <c r="AO690" s="37"/>
      <c r="AP690" s="37"/>
      <c r="AQ690" s="37"/>
      <c r="AR690" s="37"/>
      <c r="AS690" s="37"/>
    </row>
    <row r="691" spans="1:45" ht="14.25" customHeight="1" x14ac:dyDescent="0.3">
      <c r="A691" s="34"/>
      <c r="B691" s="16"/>
      <c r="C691" s="15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5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5"/>
      <c r="AI691" s="16"/>
      <c r="AJ691" s="16"/>
      <c r="AK691" s="16"/>
      <c r="AL691" s="16"/>
      <c r="AM691" s="37"/>
      <c r="AN691" s="37"/>
      <c r="AO691" s="37"/>
      <c r="AP691" s="37"/>
      <c r="AQ691" s="37"/>
      <c r="AR691" s="37"/>
      <c r="AS691" s="37"/>
    </row>
    <row r="692" spans="1:45" ht="14.25" customHeight="1" x14ac:dyDescent="0.3">
      <c r="A692" s="34"/>
      <c r="B692" s="16"/>
      <c r="C692" s="15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5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5"/>
      <c r="AI692" s="16"/>
      <c r="AJ692" s="16"/>
      <c r="AK692" s="16"/>
      <c r="AL692" s="16"/>
      <c r="AM692" s="37"/>
      <c r="AN692" s="37"/>
      <c r="AO692" s="37"/>
      <c r="AP692" s="37"/>
      <c r="AQ692" s="37"/>
      <c r="AR692" s="37"/>
      <c r="AS692" s="37"/>
    </row>
    <row r="693" spans="1:45" ht="14.25" customHeight="1" x14ac:dyDescent="0.3">
      <c r="A693" s="34"/>
      <c r="B693" s="16"/>
      <c r="C693" s="15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5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5"/>
      <c r="AI693" s="16"/>
      <c r="AJ693" s="16"/>
      <c r="AK693" s="16"/>
      <c r="AL693" s="16"/>
      <c r="AM693" s="37"/>
      <c r="AN693" s="37"/>
      <c r="AO693" s="37"/>
      <c r="AP693" s="37"/>
      <c r="AQ693" s="37"/>
      <c r="AR693" s="37"/>
      <c r="AS693" s="37"/>
    </row>
    <row r="694" spans="1:45" ht="14.25" customHeight="1" x14ac:dyDescent="0.3">
      <c r="A694" s="34"/>
      <c r="B694" s="16"/>
      <c r="C694" s="15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5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5"/>
      <c r="AI694" s="16"/>
      <c r="AJ694" s="16"/>
      <c r="AK694" s="16"/>
      <c r="AL694" s="16"/>
      <c r="AM694" s="37"/>
      <c r="AN694" s="37"/>
      <c r="AO694" s="37"/>
      <c r="AP694" s="37"/>
      <c r="AQ694" s="37"/>
      <c r="AR694" s="37"/>
      <c r="AS694" s="37"/>
    </row>
    <row r="695" spans="1:45" ht="14.25" customHeight="1" x14ac:dyDescent="0.3">
      <c r="A695" s="34"/>
      <c r="B695" s="16"/>
      <c r="C695" s="15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5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5"/>
      <c r="AI695" s="16"/>
      <c r="AJ695" s="16"/>
      <c r="AK695" s="16"/>
      <c r="AL695" s="16"/>
      <c r="AM695" s="37"/>
      <c r="AN695" s="37"/>
      <c r="AO695" s="37"/>
      <c r="AP695" s="37"/>
      <c r="AQ695" s="37"/>
      <c r="AR695" s="37"/>
      <c r="AS695" s="37"/>
    </row>
    <row r="696" spans="1:45" ht="14.25" customHeight="1" x14ac:dyDescent="0.3">
      <c r="A696" s="34"/>
      <c r="B696" s="16"/>
      <c r="C696" s="15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5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5"/>
      <c r="AI696" s="16"/>
      <c r="AJ696" s="16"/>
      <c r="AK696" s="16"/>
      <c r="AL696" s="16"/>
      <c r="AM696" s="37"/>
      <c r="AN696" s="37"/>
      <c r="AO696" s="37"/>
      <c r="AP696" s="37"/>
      <c r="AQ696" s="37"/>
      <c r="AR696" s="37"/>
      <c r="AS696" s="37"/>
    </row>
    <row r="697" spans="1:45" ht="14.25" customHeight="1" x14ac:dyDescent="0.3">
      <c r="A697" s="34"/>
      <c r="B697" s="16"/>
      <c r="C697" s="15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5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5"/>
      <c r="AI697" s="16"/>
      <c r="AJ697" s="16"/>
      <c r="AK697" s="16"/>
      <c r="AL697" s="16"/>
      <c r="AM697" s="37"/>
      <c r="AN697" s="37"/>
      <c r="AO697" s="37"/>
      <c r="AP697" s="37"/>
      <c r="AQ697" s="37"/>
      <c r="AR697" s="37"/>
      <c r="AS697" s="37"/>
    </row>
    <row r="698" spans="1:45" ht="14.25" customHeight="1" x14ac:dyDescent="0.3">
      <c r="A698" s="34"/>
      <c r="B698" s="16"/>
      <c r="C698" s="15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5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5"/>
      <c r="AI698" s="16"/>
      <c r="AJ698" s="16"/>
      <c r="AK698" s="16"/>
      <c r="AL698" s="16"/>
      <c r="AM698" s="37"/>
      <c r="AN698" s="37"/>
      <c r="AO698" s="37"/>
      <c r="AP698" s="37"/>
      <c r="AQ698" s="37"/>
      <c r="AR698" s="37"/>
      <c r="AS698" s="37"/>
    </row>
    <row r="699" spans="1:45" ht="14.25" customHeight="1" x14ac:dyDescent="0.3">
      <c r="A699" s="34"/>
      <c r="B699" s="16"/>
      <c r="C699" s="15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5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5"/>
      <c r="AI699" s="16"/>
      <c r="AJ699" s="16"/>
      <c r="AK699" s="16"/>
      <c r="AL699" s="16"/>
      <c r="AM699" s="37"/>
      <c r="AN699" s="37"/>
      <c r="AO699" s="37"/>
      <c r="AP699" s="37"/>
      <c r="AQ699" s="37"/>
      <c r="AR699" s="37"/>
      <c r="AS699" s="37"/>
    </row>
    <row r="700" spans="1:45" ht="14.25" customHeight="1" x14ac:dyDescent="0.3">
      <c r="A700" s="34"/>
      <c r="B700" s="16"/>
      <c r="C700" s="15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5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5"/>
      <c r="AI700" s="16"/>
      <c r="AJ700" s="16"/>
      <c r="AK700" s="16"/>
      <c r="AL700" s="16"/>
      <c r="AM700" s="37"/>
      <c r="AN700" s="37"/>
      <c r="AO700" s="37"/>
      <c r="AP700" s="37"/>
      <c r="AQ700" s="37"/>
      <c r="AR700" s="37"/>
      <c r="AS700" s="37"/>
    </row>
    <row r="701" spans="1:45" ht="14.25" customHeight="1" x14ac:dyDescent="0.3">
      <c r="A701" s="34"/>
      <c r="B701" s="16"/>
      <c r="C701" s="15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5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5"/>
      <c r="AI701" s="16"/>
      <c r="AJ701" s="16"/>
      <c r="AK701" s="16"/>
      <c r="AL701" s="16"/>
      <c r="AM701" s="37"/>
      <c r="AN701" s="37"/>
      <c r="AO701" s="37"/>
      <c r="AP701" s="37"/>
      <c r="AQ701" s="37"/>
      <c r="AR701" s="37"/>
      <c r="AS701" s="37"/>
    </row>
    <row r="702" spans="1:45" ht="14.25" customHeight="1" x14ac:dyDescent="0.3">
      <c r="A702" s="34"/>
      <c r="B702" s="16"/>
      <c r="C702" s="15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5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5"/>
      <c r="AI702" s="16"/>
      <c r="AJ702" s="16"/>
      <c r="AK702" s="16"/>
      <c r="AL702" s="16"/>
      <c r="AM702" s="37"/>
      <c r="AN702" s="37"/>
      <c r="AO702" s="37"/>
      <c r="AP702" s="37"/>
      <c r="AQ702" s="37"/>
      <c r="AR702" s="37"/>
      <c r="AS702" s="37"/>
    </row>
    <row r="703" spans="1:45" ht="14.25" customHeight="1" x14ac:dyDescent="0.3">
      <c r="A703" s="34"/>
      <c r="B703" s="16"/>
      <c r="C703" s="15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5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5"/>
      <c r="AI703" s="16"/>
      <c r="AJ703" s="16"/>
      <c r="AK703" s="16"/>
      <c r="AL703" s="16"/>
      <c r="AM703" s="37"/>
      <c r="AN703" s="37"/>
      <c r="AO703" s="37"/>
      <c r="AP703" s="37"/>
      <c r="AQ703" s="37"/>
      <c r="AR703" s="37"/>
      <c r="AS703" s="37"/>
    </row>
    <row r="704" spans="1:45" ht="14.25" customHeight="1" x14ac:dyDescent="0.3">
      <c r="A704" s="34"/>
      <c r="B704" s="16"/>
      <c r="C704" s="15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5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5"/>
      <c r="AI704" s="16"/>
      <c r="AJ704" s="16"/>
      <c r="AK704" s="16"/>
      <c r="AL704" s="16"/>
      <c r="AM704" s="37"/>
      <c r="AN704" s="37"/>
      <c r="AO704" s="37"/>
      <c r="AP704" s="37"/>
      <c r="AQ704" s="37"/>
      <c r="AR704" s="37"/>
      <c r="AS704" s="37"/>
    </row>
    <row r="705" spans="1:45" ht="14.25" customHeight="1" x14ac:dyDescent="0.3">
      <c r="A705" s="34"/>
      <c r="B705" s="16"/>
      <c r="C705" s="15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5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5"/>
      <c r="AI705" s="16"/>
      <c r="AJ705" s="16"/>
      <c r="AK705" s="16"/>
      <c r="AL705" s="16"/>
      <c r="AM705" s="37"/>
      <c r="AN705" s="37"/>
      <c r="AO705" s="37"/>
      <c r="AP705" s="37"/>
      <c r="AQ705" s="37"/>
      <c r="AR705" s="37"/>
      <c r="AS705" s="37"/>
    </row>
    <row r="706" spans="1:45" ht="14.25" customHeight="1" x14ac:dyDescent="0.3">
      <c r="A706" s="34"/>
      <c r="B706" s="16"/>
      <c r="C706" s="15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5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5"/>
      <c r="AI706" s="16"/>
      <c r="AJ706" s="16"/>
      <c r="AK706" s="16"/>
      <c r="AL706" s="16"/>
      <c r="AM706" s="37"/>
      <c r="AN706" s="37"/>
      <c r="AO706" s="37"/>
      <c r="AP706" s="37"/>
      <c r="AQ706" s="37"/>
      <c r="AR706" s="37"/>
      <c r="AS706" s="37"/>
    </row>
    <row r="707" spans="1:45" ht="14.25" customHeight="1" x14ac:dyDescent="0.3">
      <c r="A707" s="34"/>
      <c r="B707" s="16"/>
      <c r="C707" s="15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5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5"/>
      <c r="AI707" s="16"/>
      <c r="AJ707" s="16"/>
      <c r="AK707" s="16"/>
      <c r="AL707" s="16"/>
      <c r="AM707" s="37"/>
      <c r="AN707" s="37"/>
      <c r="AO707" s="37"/>
      <c r="AP707" s="37"/>
      <c r="AQ707" s="37"/>
      <c r="AR707" s="37"/>
      <c r="AS707" s="37"/>
    </row>
    <row r="708" spans="1:45" ht="14.25" customHeight="1" x14ac:dyDescent="0.3">
      <c r="A708" s="34"/>
      <c r="B708" s="16"/>
      <c r="C708" s="15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5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5"/>
      <c r="AI708" s="16"/>
      <c r="AJ708" s="16"/>
      <c r="AK708" s="16"/>
      <c r="AL708" s="16"/>
      <c r="AM708" s="37"/>
      <c r="AN708" s="37"/>
      <c r="AO708" s="37"/>
      <c r="AP708" s="37"/>
      <c r="AQ708" s="37"/>
      <c r="AR708" s="37"/>
      <c r="AS708" s="37"/>
    </row>
    <row r="709" spans="1:45" ht="14.25" customHeight="1" x14ac:dyDescent="0.3">
      <c r="A709" s="34"/>
      <c r="B709" s="16"/>
      <c r="C709" s="15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5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5"/>
      <c r="AI709" s="16"/>
      <c r="AJ709" s="16"/>
      <c r="AK709" s="16"/>
      <c r="AL709" s="16"/>
      <c r="AM709" s="37"/>
      <c r="AN709" s="37"/>
      <c r="AO709" s="37"/>
      <c r="AP709" s="37"/>
      <c r="AQ709" s="37"/>
      <c r="AR709" s="37"/>
      <c r="AS709" s="37"/>
    </row>
    <row r="710" spans="1:45" ht="14.25" customHeight="1" x14ac:dyDescent="0.3">
      <c r="A710" s="34"/>
      <c r="B710" s="16"/>
      <c r="C710" s="15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5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5"/>
      <c r="AI710" s="16"/>
      <c r="AJ710" s="16"/>
      <c r="AK710" s="16"/>
      <c r="AL710" s="16"/>
      <c r="AM710" s="37"/>
      <c r="AN710" s="37"/>
      <c r="AO710" s="37"/>
      <c r="AP710" s="37"/>
      <c r="AQ710" s="37"/>
      <c r="AR710" s="37"/>
      <c r="AS710" s="37"/>
    </row>
    <row r="711" spans="1:45" ht="14.25" customHeight="1" x14ac:dyDescent="0.3">
      <c r="A711" s="34"/>
      <c r="B711" s="16"/>
      <c r="C711" s="15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5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5"/>
      <c r="AI711" s="16"/>
      <c r="AJ711" s="16"/>
      <c r="AK711" s="16"/>
      <c r="AL711" s="16"/>
      <c r="AM711" s="37"/>
      <c r="AN711" s="37"/>
      <c r="AO711" s="37"/>
      <c r="AP711" s="37"/>
      <c r="AQ711" s="37"/>
      <c r="AR711" s="37"/>
      <c r="AS711" s="37"/>
    </row>
    <row r="712" spans="1:45" ht="14.25" customHeight="1" x14ac:dyDescent="0.3">
      <c r="A712" s="34"/>
      <c r="B712" s="16"/>
      <c r="C712" s="15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5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5"/>
      <c r="AI712" s="16"/>
      <c r="AJ712" s="16"/>
      <c r="AK712" s="16"/>
      <c r="AL712" s="16"/>
      <c r="AM712" s="37"/>
      <c r="AN712" s="37"/>
      <c r="AO712" s="37"/>
      <c r="AP712" s="37"/>
      <c r="AQ712" s="37"/>
      <c r="AR712" s="37"/>
      <c r="AS712" s="37"/>
    </row>
    <row r="713" spans="1:45" ht="14.25" customHeight="1" x14ac:dyDescent="0.3">
      <c r="A713" s="34"/>
      <c r="B713" s="16"/>
      <c r="C713" s="15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5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5"/>
      <c r="AI713" s="16"/>
      <c r="AJ713" s="16"/>
      <c r="AK713" s="16"/>
      <c r="AL713" s="16"/>
      <c r="AM713" s="37"/>
      <c r="AN713" s="37"/>
      <c r="AO713" s="37"/>
      <c r="AP713" s="37"/>
      <c r="AQ713" s="37"/>
      <c r="AR713" s="37"/>
      <c r="AS713" s="37"/>
    </row>
    <row r="714" spans="1:45" ht="14.25" customHeight="1" x14ac:dyDescent="0.3">
      <c r="A714" s="34"/>
      <c r="B714" s="16"/>
      <c r="C714" s="15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5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5"/>
      <c r="AI714" s="16"/>
      <c r="AJ714" s="16"/>
      <c r="AK714" s="16"/>
      <c r="AL714" s="16"/>
      <c r="AM714" s="37"/>
      <c r="AN714" s="37"/>
      <c r="AO714" s="37"/>
      <c r="AP714" s="37"/>
      <c r="AQ714" s="37"/>
      <c r="AR714" s="37"/>
      <c r="AS714" s="37"/>
    </row>
    <row r="715" spans="1:45" ht="14.25" customHeight="1" x14ac:dyDescent="0.3">
      <c r="A715" s="34"/>
      <c r="B715" s="16"/>
      <c r="C715" s="15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5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5"/>
      <c r="AI715" s="16"/>
      <c r="AJ715" s="16"/>
      <c r="AK715" s="16"/>
      <c r="AL715" s="16"/>
      <c r="AM715" s="37"/>
      <c r="AN715" s="37"/>
      <c r="AO715" s="37"/>
      <c r="AP715" s="37"/>
      <c r="AQ715" s="37"/>
      <c r="AR715" s="37"/>
      <c r="AS715" s="37"/>
    </row>
    <row r="716" spans="1:45" ht="14.25" customHeight="1" x14ac:dyDescent="0.3">
      <c r="A716" s="34"/>
      <c r="B716" s="16"/>
      <c r="C716" s="15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5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5"/>
      <c r="AI716" s="16"/>
      <c r="AJ716" s="16"/>
      <c r="AK716" s="16"/>
      <c r="AL716" s="16"/>
      <c r="AM716" s="37"/>
      <c r="AN716" s="37"/>
      <c r="AO716" s="37"/>
      <c r="AP716" s="37"/>
      <c r="AQ716" s="37"/>
      <c r="AR716" s="37"/>
      <c r="AS716" s="37"/>
    </row>
    <row r="717" spans="1:45" ht="14.25" customHeight="1" x14ac:dyDescent="0.3">
      <c r="A717" s="34"/>
      <c r="B717" s="16"/>
      <c r="C717" s="15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5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5"/>
      <c r="AI717" s="16"/>
      <c r="AJ717" s="16"/>
      <c r="AK717" s="16"/>
      <c r="AL717" s="16"/>
      <c r="AM717" s="37"/>
      <c r="AN717" s="37"/>
      <c r="AO717" s="37"/>
      <c r="AP717" s="37"/>
      <c r="AQ717" s="37"/>
      <c r="AR717" s="37"/>
      <c r="AS717" s="37"/>
    </row>
    <row r="718" spans="1:45" ht="14.25" customHeight="1" x14ac:dyDescent="0.3">
      <c r="A718" s="34"/>
      <c r="B718" s="16"/>
      <c r="C718" s="15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5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5"/>
      <c r="AI718" s="16"/>
      <c r="AJ718" s="16"/>
      <c r="AK718" s="16"/>
      <c r="AL718" s="16"/>
      <c r="AM718" s="37"/>
      <c r="AN718" s="37"/>
      <c r="AO718" s="37"/>
      <c r="AP718" s="37"/>
      <c r="AQ718" s="37"/>
      <c r="AR718" s="37"/>
      <c r="AS718" s="37"/>
    </row>
    <row r="719" spans="1:45" ht="14.25" customHeight="1" x14ac:dyDescent="0.3">
      <c r="A719" s="34"/>
      <c r="B719" s="16"/>
      <c r="C719" s="15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5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5"/>
      <c r="AI719" s="16"/>
      <c r="AJ719" s="16"/>
      <c r="AK719" s="16"/>
      <c r="AL719" s="16"/>
      <c r="AM719" s="37"/>
      <c r="AN719" s="37"/>
      <c r="AO719" s="37"/>
      <c r="AP719" s="37"/>
      <c r="AQ719" s="37"/>
      <c r="AR719" s="37"/>
      <c r="AS719" s="37"/>
    </row>
    <row r="720" spans="1:45" ht="14.25" customHeight="1" x14ac:dyDescent="0.3">
      <c r="A720" s="34"/>
      <c r="B720" s="16"/>
      <c r="C720" s="15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5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5"/>
      <c r="AI720" s="16"/>
      <c r="AJ720" s="16"/>
      <c r="AK720" s="16"/>
      <c r="AL720" s="16"/>
      <c r="AM720" s="37"/>
      <c r="AN720" s="37"/>
      <c r="AO720" s="37"/>
      <c r="AP720" s="37"/>
      <c r="AQ720" s="37"/>
      <c r="AR720" s="37"/>
      <c r="AS720" s="37"/>
    </row>
    <row r="721" spans="1:45" ht="14.25" customHeight="1" x14ac:dyDescent="0.3">
      <c r="A721" s="34"/>
      <c r="B721" s="16"/>
      <c r="C721" s="15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5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5"/>
      <c r="AI721" s="16"/>
      <c r="AJ721" s="16"/>
      <c r="AK721" s="16"/>
      <c r="AL721" s="16"/>
      <c r="AM721" s="37"/>
      <c r="AN721" s="37"/>
      <c r="AO721" s="37"/>
      <c r="AP721" s="37"/>
      <c r="AQ721" s="37"/>
      <c r="AR721" s="37"/>
      <c r="AS721" s="37"/>
    </row>
    <row r="722" spans="1:45" ht="14.25" customHeight="1" x14ac:dyDescent="0.3">
      <c r="A722" s="34"/>
      <c r="B722" s="16"/>
      <c r="C722" s="15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5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5"/>
      <c r="AI722" s="16"/>
      <c r="AJ722" s="16"/>
      <c r="AK722" s="16"/>
      <c r="AL722" s="16"/>
      <c r="AM722" s="37"/>
      <c r="AN722" s="37"/>
      <c r="AO722" s="37"/>
      <c r="AP722" s="37"/>
      <c r="AQ722" s="37"/>
      <c r="AR722" s="37"/>
      <c r="AS722" s="37"/>
    </row>
    <row r="723" spans="1:45" ht="14.25" customHeight="1" x14ac:dyDescent="0.3">
      <c r="A723" s="34"/>
      <c r="B723" s="16"/>
      <c r="C723" s="15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5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5"/>
      <c r="AI723" s="16"/>
      <c r="AJ723" s="16"/>
      <c r="AK723" s="16"/>
      <c r="AL723" s="16"/>
      <c r="AM723" s="37"/>
      <c r="AN723" s="37"/>
      <c r="AO723" s="37"/>
      <c r="AP723" s="37"/>
      <c r="AQ723" s="37"/>
      <c r="AR723" s="37"/>
      <c r="AS723" s="37"/>
    </row>
    <row r="724" spans="1:45" ht="14.25" customHeight="1" x14ac:dyDescent="0.3">
      <c r="A724" s="34"/>
      <c r="B724" s="16"/>
      <c r="C724" s="15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5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5"/>
      <c r="AI724" s="16"/>
      <c r="AJ724" s="16"/>
      <c r="AK724" s="16"/>
      <c r="AL724" s="16"/>
      <c r="AM724" s="37"/>
      <c r="AN724" s="37"/>
      <c r="AO724" s="37"/>
      <c r="AP724" s="37"/>
      <c r="AQ724" s="37"/>
      <c r="AR724" s="37"/>
      <c r="AS724" s="37"/>
    </row>
    <row r="725" spans="1:45" ht="14.25" customHeight="1" x14ac:dyDescent="0.3">
      <c r="A725" s="34"/>
      <c r="B725" s="16"/>
      <c r="C725" s="15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5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5"/>
      <c r="AI725" s="16"/>
      <c r="AJ725" s="16"/>
      <c r="AK725" s="16"/>
      <c r="AL725" s="16"/>
      <c r="AM725" s="37"/>
      <c r="AN725" s="37"/>
      <c r="AO725" s="37"/>
      <c r="AP725" s="37"/>
      <c r="AQ725" s="37"/>
      <c r="AR725" s="37"/>
      <c r="AS725" s="37"/>
    </row>
    <row r="726" spans="1:45" ht="14.25" customHeight="1" x14ac:dyDescent="0.3">
      <c r="A726" s="34"/>
      <c r="B726" s="16"/>
      <c r="C726" s="15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5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5"/>
      <c r="AI726" s="16"/>
      <c r="AJ726" s="16"/>
      <c r="AK726" s="16"/>
      <c r="AL726" s="16"/>
      <c r="AM726" s="37"/>
      <c r="AN726" s="37"/>
      <c r="AO726" s="37"/>
      <c r="AP726" s="37"/>
      <c r="AQ726" s="37"/>
      <c r="AR726" s="37"/>
      <c r="AS726" s="37"/>
    </row>
    <row r="727" spans="1:45" ht="14.25" customHeight="1" x14ac:dyDescent="0.3">
      <c r="A727" s="34"/>
      <c r="B727" s="16"/>
      <c r="C727" s="15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5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5"/>
      <c r="AI727" s="16"/>
      <c r="AJ727" s="16"/>
      <c r="AK727" s="16"/>
      <c r="AL727" s="16"/>
      <c r="AM727" s="37"/>
      <c r="AN727" s="37"/>
      <c r="AO727" s="37"/>
      <c r="AP727" s="37"/>
      <c r="AQ727" s="37"/>
      <c r="AR727" s="37"/>
      <c r="AS727" s="37"/>
    </row>
    <row r="728" spans="1:45" ht="14.25" customHeight="1" x14ac:dyDescent="0.3">
      <c r="A728" s="34"/>
      <c r="B728" s="16"/>
      <c r="C728" s="15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5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5"/>
      <c r="AI728" s="16"/>
      <c r="AJ728" s="16"/>
      <c r="AK728" s="16"/>
      <c r="AL728" s="16"/>
      <c r="AM728" s="37"/>
      <c r="AN728" s="37"/>
      <c r="AO728" s="37"/>
      <c r="AP728" s="37"/>
      <c r="AQ728" s="37"/>
      <c r="AR728" s="37"/>
      <c r="AS728" s="37"/>
    </row>
    <row r="729" spans="1:45" ht="14.25" customHeight="1" x14ac:dyDescent="0.3">
      <c r="A729" s="34"/>
      <c r="B729" s="16"/>
      <c r="C729" s="15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5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5"/>
      <c r="AI729" s="16"/>
      <c r="AJ729" s="16"/>
      <c r="AK729" s="16"/>
      <c r="AL729" s="16"/>
      <c r="AM729" s="37"/>
      <c r="AN729" s="37"/>
      <c r="AO729" s="37"/>
      <c r="AP729" s="37"/>
      <c r="AQ729" s="37"/>
      <c r="AR729" s="37"/>
      <c r="AS729" s="37"/>
    </row>
    <row r="730" spans="1:45" ht="14.25" customHeight="1" x14ac:dyDescent="0.3">
      <c r="A730" s="34"/>
      <c r="B730" s="16"/>
      <c r="C730" s="15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5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5"/>
      <c r="AI730" s="16"/>
      <c r="AJ730" s="16"/>
      <c r="AK730" s="16"/>
      <c r="AL730" s="16"/>
      <c r="AM730" s="37"/>
      <c r="AN730" s="37"/>
      <c r="AO730" s="37"/>
      <c r="AP730" s="37"/>
      <c r="AQ730" s="37"/>
      <c r="AR730" s="37"/>
      <c r="AS730" s="37"/>
    </row>
    <row r="731" spans="1:45" ht="14.25" customHeight="1" x14ac:dyDescent="0.3">
      <c r="A731" s="34"/>
      <c r="B731" s="16"/>
      <c r="C731" s="15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5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5"/>
      <c r="AI731" s="16"/>
      <c r="AJ731" s="16"/>
      <c r="AK731" s="16"/>
      <c r="AL731" s="16"/>
      <c r="AM731" s="37"/>
      <c r="AN731" s="37"/>
      <c r="AO731" s="37"/>
      <c r="AP731" s="37"/>
      <c r="AQ731" s="37"/>
      <c r="AR731" s="37"/>
      <c r="AS731" s="37"/>
    </row>
    <row r="732" spans="1:45" ht="14.25" customHeight="1" x14ac:dyDescent="0.3">
      <c r="A732" s="34"/>
      <c r="B732" s="16"/>
      <c r="C732" s="15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5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5"/>
      <c r="AI732" s="16"/>
      <c r="AJ732" s="16"/>
      <c r="AK732" s="16"/>
      <c r="AL732" s="16"/>
      <c r="AM732" s="37"/>
      <c r="AN732" s="37"/>
      <c r="AO732" s="37"/>
      <c r="AP732" s="37"/>
      <c r="AQ732" s="37"/>
      <c r="AR732" s="37"/>
      <c r="AS732" s="37"/>
    </row>
    <row r="733" spans="1:45" ht="14.25" customHeight="1" x14ac:dyDescent="0.3">
      <c r="A733" s="34"/>
      <c r="B733" s="16"/>
      <c r="C733" s="15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5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5"/>
      <c r="AI733" s="16"/>
      <c r="AJ733" s="16"/>
      <c r="AK733" s="16"/>
      <c r="AL733" s="16"/>
      <c r="AM733" s="37"/>
      <c r="AN733" s="37"/>
      <c r="AO733" s="37"/>
      <c r="AP733" s="37"/>
      <c r="AQ733" s="37"/>
      <c r="AR733" s="37"/>
      <c r="AS733" s="37"/>
    </row>
    <row r="734" spans="1:45" ht="14.25" customHeight="1" x14ac:dyDescent="0.3">
      <c r="A734" s="34"/>
      <c r="B734" s="16"/>
      <c r="C734" s="15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5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5"/>
      <c r="AI734" s="16"/>
      <c r="AJ734" s="16"/>
      <c r="AK734" s="16"/>
      <c r="AL734" s="16"/>
      <c r="AM734" s="37"/>
      <c r="AN734" s="37"/>
      <c r="AO734" s="37"/>
      <c r="AP734" s="37"/>
      <c r="AQ734" s="37"/>
      <c r="AR734" s="37"/>
      <c r="AS734" s="37"/>
    </row>
    <row r="735" spans="1:45" ht="14.25" customHeight="1" x14ac:dyDescent="0.3">
      <c r="A735" s="34"/>
      <c r="B735" s="16"/>
      <c r="C735" s="15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5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5"/>
      <c r="AI735" s="16"/>
      <c r="AJ735" s="16"/>
      <c r="AK735" s="16"/>
      <c r="AL735" s="16"/>
      <c r="AM735" s="37"/>
      <c r="AN735" s="37"/>
      <c r="AO735" s="37"/>
      <c r="AP735" s="37"/>
      <c r="AQ735" s="37"/>
      <c r="AR735" s="37"/>
      <c r="AS735" s="37"/>
    </row>
    <row r="736" spans="1:45" ht="14.25" customHeight="1" x14ac:dyDescent="0.3">
      <c r="A736" s="34"/>
      <c r="B736" s="16"/>
      <c r="C736" s="15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5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5"/>
      <c r="AI736" s="16"/>
      <c r="AJ736" s="16"/>
      <c r="AK736" s="16"/>
      <c r="AL736" s="16"/>
      <c r="AM736" s="37"/>
      <c r="AN736" s="37"/>
      <c r="AO736" s="37"/>
      <c r="AP736" s="37"/>
      <c r="AQ736" s="37"/>
      <c r="AR736" s="37"/>
      <c r="AS736" s="37"/>
    </row>
    <row r="737" spans="1:45" ht="14.25" customHeight="1" x14ac:dyDescent="0.3">
      <c r="A737" s="34"/>
      <c r="B737" s="16"/>
      <c r="C737" s="15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5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5"/>
      <c r="AI737" s="16"/>
      <c r="AJ737" s="16"/>
      <c r="AK737" s="16"/>
      <c r="AL737" s="16"/>
      <c r="AM737" s="37"/>
      <c r="AN737" s="37"/>
      <c r="AO737" s="37"/>
      <c r="AP737" s="37"/>
      <c r="AQ737" s="37"/>
      <c r="AR737" s="37"/>
      <c r="AS737" s="37"/>
    </row>
    <row r="738" spans="1:45" ht="14.25" customHeight="1" x14ac:dyDescent="0.3">
      <c r="A738" s="34"/>
      <c r="B738" s="16"/>
      <c r="C738" s="15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5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5"/>
      <c r="AI738" s="16"/>
      <c r="AJ738" s="16"/>
      <c r="AK738" s="16"/>
      <c r="AL738" s="16"/>
      <c r="AM738" s="37"/>
      <c r="AN738" s="37"/>
      <c r="AO738" s="37"/>
      <c r="AP738" s="37"/>
      <c r="AQ738" s="37"/>
      <c r="AR738" s="37"/>
      <c r="AS738" s="37"/>
    </row>
    <row r="739" spans="1:45" ht="14.25" customHeight="1" x14ac:dyDescent="0.3">
      <c r="A739" s="34"/>
      <c r="B739" s="16"/>
      <c r="C739" s="15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5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5"/>
      <c r="AI739" s="16"/>
      <c r="AJ739" s="16"/>
      <c r="AK739" s="16"/>
      <c r="AL739" s="16"/>
      <c r="AM739" s="37"/>
      <c r="AN739" s="37"/>
      <c r="AO739" s="37"/>
      <c r="AP739" s="37"/>
      <c r="AQ739" s="37"/>
      <c r="AR739" s="37"/>
      <c r="AS739" s="37"/>
    </row>
    <row r="740" spans="1:45" ht="14.25" customHeight="1" x14ac:dyDescent="0.3">
      <c r="A740" s="34"/>
      <c r="B740" s="16"/>
      <c r="C740" s="15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5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5"/>
      <c r="AI740" s="16"/>
      <c r="AJ740" s="16"/>
      <c r="AK740" s="16"/>
      <c r="AL740" s="16"/>
      <c r="AM740" s="37"/>
      <c r="AN740" s="37"/>
      <c r="AO740" s="37"/>
      <c r="AP740" s="37"/>
      <c r="AQ740" s="37"/>
      <c r="AR740" s="37"/>
      <c r="AS740" s="37"/>
    </row>
    <row r="741" spans="1:45" ht="14.25" customHeight="1" x14ac:dyDescent="0.3">
      <c r="A741" s="34"/>
      <c r="B741" s="16"/>
      <c r="C741" s="15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5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5"/>
      <c r="AI741" s="16"/>
      <c r="AJ741" s="16"/>
      <c r="AK741" s="16"/>
      <c r="AL741" s="16"/>
      <c r="AM741" s="37"/>
      <c r="AN741" s="37"/>
      <c r="AO741" s="37"/>
      <c r="AP741" s="37"/>
      <c r="AQ741" s="37"/>
      <c r="AR741" s="37"/>
      <c r="AS741" s="37"/>
    </row>
    <row r="742" spans="1:45" ht="14.25" customHeight="1" x14ac:dyDescent="0.3">
      <c r="A742" s="34"/>
      <c r="B742" s="16"/>
      <c r="C742" s="15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5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5"/>
      <c r="AI742" s="16"/>
      <c r="AJ742" s="16"/>
      <c r="AK742" s="16"/>
      <c r="AL742" s="16"/>
      <c r="AM742" s="37"/>
      <c r="AN742" s="37"/>
      <c r="AO742" s="37"/>
      <c r="AP742" s="37"/>
      <c r="AQ742" s="37"/>
      <c r="AR742" s="37"/>
      <c r="AS742" s="37"/>
    </row>
    <row r="743" spans="1:45" ht="14.25" customHeight="1" x14ac:dyDescent="0.3">
      <c r="A743" s="34"/>
      <c r="B743" s="16"/>
      <c r="C743" s="15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5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5"/>
      <c r="AI743" s="16"/>
      <c r="AJ743" s="16"/>
      <c r="AK743" s="16"/>
      <c r="AL743" s="16"/>
      <c r="AM743" s="37"/>
      <c r="AN743" s="37"/>
      <c r="AO743" s="37"/>
      <c r="AP743" s="37"/>
      <c r="AQ743" s="37"/>
      <c r="AR743" s="37"/>
      <c r="AS743" s="37"/>
    </row>
    <row r="744" spans="1:45" ht="14.25" customHeight="1" x14ac:dyDescent="0.3">
      <c r="A744" s="34"/>
      <c r="B744" s="16"/>
      <c r="C744" s="15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5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5"/>
      <c r="AI744" s="16"/>
      <c r="AJ744" s="16"/>
      <c r="AK744" s="16"/>
      <c r="AL744" s="16"/>
      <c r="AM744" s="37"/>
      <c r="AN744" s="37"/>
      <c r="AO744" s="37"/>
      <c r="AP744" s="37"/>
      <c r="AQ744" s="37"/>
      <c r="AR744" s="37"/>
      <c r="AS744" s="37"/>
    </row>
    <row r="745" spans="1:45" ht="14.25" customHeight="1" x14ac:dyDescent="0.3">
      <c r="A745" s="34"/>
      <c r="B745" s="16"/>
      <c r="C745" s="15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5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5"/>
      <c r="AI745" s="16"/>
      <c r="AJ745" s="16"/>
      <c r="AK745" s="16"/>
      <c r="AL745" s="16"/>
      <c r="AM745" s="37"/>
      <c r="AN745" s="37"/>
      <c r="AO745" s="37"/>
      <c r="AP745" s="37"/>
      <c r="AQ745" s="37"/>
      <c r="AR745" s="37"/>
      <c r="AS745" s="37"/>
    </row>
    <row r="746" spans="1:45" ht="14.25" customHeight="1" x14ac:dyDescent="0.3">
      <c r="A746" s="34"/>
      <c r="B746" s="16"/>
      <c r="C746" s="15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5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5"/>
      <c r="AI746" s="16"/>
      <c r="AJ746" s="16"/>
      <c r="AK746" s="16"/>
      <c r="AL746" s="16"/>
      <c r="AM746" s="37"/>
      <c r="AN746" s="37"/>
      <c r="AO746" s="37"/>
      <c r="AP746" s="37"/>
      <c r="AQ746" s="37"/>
      <c r="AR746" s="37"/>
      <c r="AS746" s="37"/>
    </row>
    <row r="747" spans="1:45" ht="14.25" customHeight="1" x14ac:dyDescent="0.3">
      <c r="A747" s="34"/>
      <c r="B747" s="16"/>
      <c r="C747" s="15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5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5"/>
      <c r="AI747" s="16"/>
      <c r="AJ747" s="16"/>
      <c r="AK747" s="16"/>
      <c r="AL747" s="16"/>
      <c r="AM747" s="37"/>
      <c r="AN747" s="37"/>
      <c r="AO747" s="37"/>
      <c r="AP747" s="37"/>
      <c r="AQ747" s="37"/>
      <c r="AR747" s="37"/>
      <c r="AS747" s="37"/>
    </row>
    <row r="748" spans="1:45" ht="14.25" customHeight="1" x14ac:dyDescent="0.3">
      <c r="A748" s="34"/>
      <c r="B748" s="16"/>
      <c r="C748" s="15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5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5"/>
      <c r="AI748" s="16"/>
      <c r="AJ748" s="16"/>
      <c r="AK748" s="16"/>
      <c r="AL748" s="16"/>
      <c r="AM748" s="37"/>
      <c r="AN748" s="37"/>
      <c r="AO748" s="37"/>
      <c r="AP748" s="37"/>
      <c r="AQ748" s="37"/>
      <c r="AR748" s="37"/>
      <c r="AS748" s="37"/>
    </row>
    <row r="749" spans="1:45" ht="14.25" customHeight="1" x14ac:dyDescent="0.3">
      <c r="A749" s="34"/>
      <c r="B749" s="16"/>
      <c r="C749" s="15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5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5"/>
      <c r="AI749" s="16"/>
      <c r="AJ749" s="16"/>
      <c r="AK749" s="16"/>
      <c r="AL749" s="16"/>
      <c r="AM749" s="37"/>
      <c r="AN749" s="37"/>
      <c r="AO749" s="37"/>
      <c r="AP749" s="37"/>
      <c r="AQ749" s="37"/>
      <c r="AR749" s="37"/>
      <c r="AS749" s="37"/>
    </row>
    <row r="750" spans="1:45" ht="14.25" customHeight="1" x14ac:dyDescent="0.3">
      <c r="A750" s="34"/>
      <c r="B750" s="16"/>
      <c r="C750" s="15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5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5"/>
      <c r="AI750" s="16"/>
      <c r="AJ750" s="16"/>
      <c r="AK750" s="16"/>
      <c r="AL750" s="16"/>
      <c r="AM750" s="37"/>
      <c r="AN750" s="37"/>
      <c r="AO750" s="37"/>
      <c r="AP750" s="37"/>
      <c r="AQ750" s="37"/>
      <c r="AR750" s="37"/>
      <c r="AS750" s="37"/>
    </row>
    <row r="751" spans="1:45" ht="14.25" customHeight="1" x14ac:dyDescent="0.3">
      <c r="A751" s="34"/>
      <c r="B751" s="16"/>
      <c r="C751" s="15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5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5"/>
      <c r="AI751" s="16"/>
      <c r="AJ751" s="16"/>
      <c r="AK751" s="16"/>
      <c r="AL751" s="16"/>
      <c r="AM751" s="37"/>
      <c r="AN751" s="37"/>
      <c r="AO751" s="37"/>
      <c r="AP751" s="37"/>
      <c r="AQ751" s="37"/>
      <c r="AR751" s="37"/>
      <c r="AS751" s="37"/>
    </row>
    <row r="752" spans="1:45" ht="14.25" customHeight="1" x14ac:dyDescent="0.3">
      <c r="A752" s="34"/>
      <c r="B752" s="16"/>
      <c r="C752" s="15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5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5"/>
      <c r="AI752" s="16"/>
      <c r="AJ752" s="16"/>
      <c r="AK752" s="16"/>
      <c r="AL752" s="16"/>
      <c r="AM752" s="37"/>
      <c r="AN752" s="37"/>
      <c r="AO752" s="37"/>
      <c r="AP752" s="37"/>
      <c r="AQ752" s="37"/>
      <c r="AR752" s="37"/>
      <c r="AS752" s="37"/>
    </row>
    <row r="753" spans="1:45" ht="14.25" customHeight="1" x14ac:dyDescent="0.3">
      <c r="A753" s="34"/>
      <c r="B753" s="16"/>
      <c r="C753" s="15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5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5"/>
      <c r="AI753" s="16"/>
      <c r="AJ753" s="16"/>
      <c r="AK753" s="16"/>
      <c r="AL753" s="16"/>
      <c r="AM753" s="37"/>
      <c r="AN753" s="37"/>
      <c r="AO753" s="37"/>
      <c r="AP753" s="37"/>
      <c r="AQ753" s="37"/>
      <c r="AR753" s="37"/>
      <c r="AS753" s="37"/>
    </row>
    <row r="754" spans="1:45" ht="14.25" customHeight="1" x14ac:dyDescent="0.3">
      <c r="A754" s="34"/>
      <c r="B754" s="16"/>
      <c r="C754" s="15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5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5"/>
      <c r="AI754" s="16"/>
      <c r="AJ754" s="16"/>
      <c r="AK754" s="16"/>
      <c r="AL754" s="16"/>
      <c r="AM754" s="37"/>
      <c r="AN754" s="37"/>
      <c r="AO754" s="37"/>
      <c r="AP754" s="37"/>
      <c r="AQ754" s="37"/>
      <c r="AR754" s="37"/>
      <c r="AS754" s="37"/>
    </row>
    <row r="755" spans="1:45" ht="14.25" customHeight="1" x14ac:dyDescent="0.3">
      <c r="A755" s="34"/>
      <c r="B755" s="16"/>
      <c r="C755" s="15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5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5"/>
      <c r="AI755" s="16"/>
      <c r="AJ755" s="16"/>
      <c r="AK755" s="16"/>
      <c r="AL755" s="16"/>
      <c r="AM755" s="37"/>
      <c r="AN755" s="37"/>
      <c r="AO755" s="37"/>
      <c r="AP755" s="37"/>
      <c r="AQ755" s="37"/>
      <c r="AR755" s="37"/>
      <c r="AS755" s="37"/>
    </row>
    <row r="756" spans="1:45" ht="14.25" customHeight="1" x14ac:dyDescent="0.3">
      <c r="A756" s="34"/>
      <c r="B756" s="16"/>
      <c r="C756" s="15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5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5"/>
      <c r="AI756" s="16"/>
      <c r="AJ756" s="16"/>
      <c r="AK756" s="16"/>
      <c r="AL756" s="16"/>
      <c r="AM756" s="37"/>
      <c r="AN756" s="37"/>
      <c r="AO756" s="37"/>
      <c r="AP756" s="37"/>
      <c r="AQ756" s="37"/>
      <c r="AR756" s="37"/>
      <c r="AS756" s="37"/>
    </row>
    <row r="757" spans="1:45" ht="14.25" customHeight="1" x14ac:dyDescent="0.3">
      <c r="A757" s="34"/>
      <c r="B757" s="16"/>
      <c r="C757" s="15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5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5"/>
      <c r="AI757" s="16"/>
      <c r="AJ757" s="16"/>
      <c r="AK757" s="16"/>
      <c r="AL757" s="16"/>
      <c r="AM757" s="37"/>
      <c r="AN757" s="37"/>
      <c r="AO757" s="37"/>
      <c r="AP757" s="37"/>
      <c r="AQ757" s="37"/>
      <c r="AR757" s="37"/>
      <c r="AS757" s="37"/>
    </row>
    <row r="758" spans="1:45" ht="14.25" customHeight="1" x14ac:dyDescent="0.3">
      <c r="A758" s="34"/>
      <c r="B758" s="16"/>
      <c r="C758" s="15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5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5"/>
      <c r="AI758" s="16"/>
      <c r="AJ758" s="16"/>
      <c r="AK758" s="16"/>
      <c r="AL758" s="16"/>
      <c r="AM758" s="37"/>
      <c r="AN758" s="37"/>
      <c r="AO758" s="37"/>
      <c r="AP758" s="37"/>
      <c r="AQ758" s="37"/>
      <c r="AR758" s="37"/>
      <c r="AS758" s="37"/>
    </row>
    <row r="759" spans="1:45" ht="14.25" customHeight="1" x14ac:dyDescent="0.3">
      <c r="A759" s="34"/>
      <c r="B759" s="16"/>
      <c r="C759" s="15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5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5"/>
      <c r="AI759" s="16"/>
      <c r="AJ759" s="16"/>
      <c r="AK759" s="16"/>
      <c r="AL759" s="16"/>
      <c r="AM759" s="37"/>
      <c r="AN759" s="37"/>
      <c r="AO759" s="37"/>
      <c r="AP759" s="37"/>
      <c r="AQ759" s="37"/>
      <c r="AR759" s="37"/>
      <c r="AS759" s="37"/>
    </row>
    <row r="760" spans="1:45" ht="14.25" customHeight="1" x14ac:dyDescent="0.3">
      <c r="A760" s="34"/>
      <c r="B760" s="16"/>
      <c r="C760" s="15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5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5"/>
      <c r="AI760" s="16"/>
      <c r="AJ760" s="16"/>
      <c r="AK760" s="16"/>
      <c r="AL760" s="16"/>
      <c r="AM760" s="37"/>
      <c r="AN760" s="37"/>
      <c r="AO760" s="37"/>
      <c r="AP760" s="37"/>
      <c r="AQ760" s="37"/>
      <c r="AR760" s="37"/>
      <c r="AS760" s="37"/>
    </row>
    <row r="761" spans="1:45" ht="14.25" customHeight="1" x14ac:dyDescent="0.3">
      <c r="A761" s="34"/>
      <c r="B761" s="16"/>
      <c r="C761" s="15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5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5"/>
      <c r="AI761" s="16"/>
      <c r="AJ761" s="16"/>
      <c r="AK761" s="16"/>
      <c r="AL761" s="16"/>
      <c r="AM761" s="37"/>
      <c r="AN761" s="37"/>
      <c r="AO761" s="37"/>
      <c r="AP761" s="37"/>
      <c r="AQ761" s="37"/>
      <c r="AR761" s="37"/>
      <c r="AS761" s="37"/>
    </row>
    <row r="762" spans="1:45" ht="14.25" customHeight="1" x14ac:dyDescent="0.3">
      <c r="A762" s="34"/>
      <c r="B762" s="16"/>
      <c r="C762" s="15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5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5"/>
      <c r="AI762" s="16"/>
      <c r="AJ762" s="16"/>
      <c r="AK762" s="16"/>
      <c r="AL762" s="16"/>
      <c r="AM762" s="37"/>
      <c r="AN762" s="37"/>
      <c r="AO762" s="37"/>
      <c r="AP762" s="37"/>
      <c r="AQ762" s="37"/>
      <c r="AR762" s="37"/>
      <c r="AS762" s="37"/>
    </row>
    <row r="763" spans="1:45" ht="14.25" customHeight="1" x14ac:dyDescent="0.3">
      <c r="A763" s="34"/>
      <c r="B763" s="16"/>
      <c r="C763" s="15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5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5"/>
      <c r="AI763" s="16"/>
      <c r="AJ763" s="16"/>
      <c r="AK763" s="16"/>
      <c r="AL763" s="16"/>
      <c r="AM763" s="37"/>
      <c r="AN763" s="37"/>
      <c r="AO763" s="37"/>
      <c r="AP763" s="37"/>
      <c r="AQ763" s="37"/>
      <c r="AR763" s="37"/>
      <c r="AS763" s="37"/>
    </row>
    <row r="764" spans="1:45" ht="14.25" customHeight="1" x14ac:dyDescent="0.3">
      <c r="A764" s="34"/>
      <c r="B764" s="16"/>
      <c r="C764" s="15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5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5"/>
      <c r="AI764" s="16"/>
      <c r="AJ764" s="16"/>
      <c r="AK764" s="16"/>
      <c r="AL764" s="16"/>
      <c r="AM764" s="37"/>
      <c r="AN764" s="37"/>
      <c r="AO764" s="37"/>
      <c r="AP764" s="37"/>
      <c r="AQ764" s="37"/>
      <c r="AR764" s="37"/>
      <c r="AS764" s="37"/>
    </row>
    <row r="765" spans="1:45" ht="14.25" customHeight="1" x14ac:dyDescent="0.3">
      <c r="A765" s="34"/>
      <c r="B765" s="16"/>
      <c r="C765" s="15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5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5"/>
      <c r="AI765" s="16"/>
      <c r="AJ765" s="16"/>
      <c r="AK765" s="16"/>
      <c r="AL765" s="16"/>
      <c r="AM765" s="37"/>
      <c r="AN765" s="37"/>
      <c r="AO765" s="37"/>
      <c r="AP765" s="37"/>
      <c r="AQ765" s="37"/>
      <c r="AR765" s="37"/>
      <c r="AS765" s="37"/>
    </row>
    <row r="766" spans="1:45" ht="14.25" customHeight="1" x14ac:dyDescent="0.3">
      <c r="A766" s="34"/>
      <c r="B766" s="16"/>
      <c r="C766" s="15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5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5"/>
      <c r="AI766" s="16"/>
      <c r="AJ766" s="16"/>
      <c r="AK766" s="16"/>
      <c r="AL766" s="16"/>
      <c r="AM766" s="37"/>
      <c r="AN766" s="37"/>
      <c r="AO766" s="37"/>
      <c r="AP766" s="37"/>
      <c r="AQ766" s="37"/>
      <c r="AR766" s="37"/>
      <c r="AS766" s="37"/>
    </row>
    <row r="767" spans="1:45" ht="14.25" customHeight="1" x14ac:dyDescent="0.3">
      <c r="A767" s="34"/>
      <c r="B767" s="16"/>
      <c r="C767" s="15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5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5"/>
      <c r="AI767" s="16"/>
      <c r="AJ767" s="16"/>
      <c r="AK767" s="16"/>
      <c r="AL767" s="16"/>
      <c r="AM767" s="37"/>
      <c r="AN767" s="37"/>
      <c r="AO767" s="37"/>
      <c r="AP767" s="37"/>
      <c r="AQ767" s="37"/>
      <c r="AR767" s="37"/>
      <c r="AS767" s="37"/>
    </row>
    <row r="768" spans="1:45" ht="14.25" customHeight="1" x14ac:dyDescent="0.3">
      <c r="A768" s="34"/>
      <c r="B768" s="16"/>
      <c r="C768" s="15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5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5"/>
      <c r="AI768" s="16"/>
      <c r="AJ768" s="16"/>
      <c r="AK768" s="16"/>
      <c r="AL768" s="16"/>
      <c r="AM768" s="37"/>
      <c r="AN768" s="37"/>
      <c r="AO768" s="37"/>
      <c r="AP768" s="37"/>
      <c r="AQ768" s="37"/>
      <c r="AR768" s="37"/>
      <c r="AS768" s="37"/>
    </row>
    <row r="769" spans="1:45" ht="14.25" customHeight="1" x14ac:dyDescent="0.3">
      <c r="A769" s="34"/>
      <c r="B769" s="16"/>
      <c r="C769" s="15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5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5"/>
      <c r="AI769" s="16"/>
      <c r="AJ769" s="16"/>
      <c r="AK769" s="16"/>
      <c r="AL769" s="16"/>
      <c r="AM769" s="37"/>
      <c r="AN769" s="37"/>
      <c r="AO769" s="37"/>
      <c r="AP769" s="37"/>
      <c r="AQ769" s="37"/>
      <c r="AR769" s="37"/>
      <c r="AS769" s="37"/>
    </row>
    <row r="770" spans="1:45" ht="14.25" customHeight="1" x14ac:dyDescent="0.3">
      <c r="A770" s="34"/>
      <c r="B770" s="16"/>
      <c r="C770" s="15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5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5"/>
      <c r="AI770" s="16"/>
      <c r="AJ770" s="16"/>
      <c r="AK770" s="16"/>
      <c r="AL770" s="16"/>
      <c r="AM770" s="37"/>
      <c r="AN770" s="37"/>
      <c r="AO770" s="37"/>
      <c r="AP770" s="37"/>
      <c r="AQ770" s="37"/>
      <c r="AR770" s="37"/>
      <c r="AS770" s="37"/>
    </row>
    <row r="771" spans="1:45" ht="14.25" customHeight="1" x14ac:dyDescent="0.3">
      <c r="A771" s="34"/>
      <c r="B771" s="16"/>
      <c r="C771" s="15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5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5"/>
      <c r="AI771" s="16"/>
      <c r="AJ771" s="16"/>
      <c r="AK771" s="16"/>
      <c r="AL771" s="16"/>
      <c r="AM771" s="37"/>
      <c r="AN771" s="37"/>
      <c r="AO771" s="37"/>
      <c r="AP771" s="37"/>
      <c r="AQ771" s="37"/>
      <c r="AR771" s="37"/>
      <c r="AS771" s="37"/>
    </row>
    <row r="772" spans="1:45" ht="14.25" customHeight="1" x14ac:dyDescent="0.3">
      <c r="A772" s="34"/>
      <c r="B772" s="16"/>
      <c r="C772" s="15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5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5"/>
      <c r="AI772" s="16"/>
      <c r="AJ772" s="16"/>
      <c r="AK772" s="16"/>
      <c r="AL772" s="16"/>
      <c r="AM772" s="37"/>
      <c r="AN772" s="37"/>
      <c r="AO772" s="37"/>
      <c r="AP772" s="37"/>
      <c r="AQ772" s="37"/>
      <c r="AR772" s="37"/>
      <c r="AS772" s="37"/>
    </row>
    <row r="773" spans="1:45" ht="14.25" customHeight="1" x14ac:dyDescent="0.3">
      <c r="A773" s="34"/>
      <c r="B773" s="16"/>
      <c r="C773" s="15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5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5"/>
      <c r="AI773" s="16"/>
      <c r="AJ773" s="16"/>
      <c r="AK773" s="16"/>
      <c r="AL773" s="16"/>
      <c r="AM773" s="37"/>
      <c r="AN773" s="37"/>
      <c r="AO773" s="37"/>
      <c r="AP773" s="37"/>
      <c r="AQ773" s="37"/>
      <c r="AR773" s="37"/>
      <c r="AS773" s="37"/>
    </row>
    <row r="774" spans="1:45" ht="14.25" customHeight="1" x14ac:dyDescent="0.3">
      <c r="A774" s="34"/>
      <c r="B774" s="16"/>
      <c r="C774" s="15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5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5"/>
      <c r="AI774" s="16"/>
      <c r="AJ774" s="16"/>
      <c r="AK774" s="16"/>
      <c r="AL774" s="16"/>
      <c r="AM774" s="37"/>
      <c r="AN774" s="37"/>
      <c r="AO774" s="37"/>
      <c r="AP774" s="37"/>
      <c r="AQ774" s="37"/>
      <c r="AR774" s="37"/>
      <c r="AS774" s="37"/>
    </row>
    <row r="775" spans="1:45" ht="14.25" customHeight="1" x14ac:dyDescent="0.3">
      <c r="A775" s="34"/>
      <c r="B775" s="16"/>
      <c r="C775" s="15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5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5"/>
      <c r="AI775" s="16"/>
      <c r="AJ775" s="16"/>
      <c r="AK775" s="16"/>
      <c r="AL775" s="16"/>
      <c r="AM775" s="37"/>
      <c r="AN775" s="37"/>
      <c r="AO775" s="37"/>
      <c r="AP775" s="37"/>
      <c r="AQ775" s="37"/>
      <c r="AR775" s="37"/>
      <c r="AS775" s="37"/>
    </row>
    <row r="776" spans="1:45" ht="14.25" customHeight="1" x14ac:dyDescent="0.3">
      <c r="A776" s="34"/>
      <c r="B776" s="16"/>
      <c r="C776" s="15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5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5"/>
      <c r="AI776" s="16"/>
      <c r="AJ776" s="16"/>
      <c r="AK776" s="16"/>
      <c r="AL776" s="16"/>
      <c r="AM776" s="37"/>
      <c r="AN776" s="37"/>
      <c r="AO776" s="37"/>
      <c r="AP776" s="37"/>
      <c r="AQ776" s="37"/>
      <c r="AR776" s="37"/>
      <c r="AS776" s="37"/>
    </row>
    <row r="777" spans="1:45" ht="14.25" customHeight="1" x14ac:dyDescent="0.3">
      <c r="A777" s="34"/>
      <c r="B777" s="16"/>
      <c r="C777" s="15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5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5"/>
      <c r="AI777" s="16"/>
      <c r="AJ777" s="16"/>
      <c r="AK777" s="16"/>
      <c r="AL777" s="16"/>
      <c r="AM777" s="37"/>
      <c r="AN777" s="37"/>
      <c r="AO777" s="37"/>
      <c r="AP777" s="37"/>
      <c r="AQ777" s="37"/>
      <c r="AR777" s="37"/>
      <c r="AS777" s="37"/>
    </row>
    <row r="778" spans="1:45" ht="14.25" customHeight="1" x14ac:dyDescent="0.3">
      <c r="A778" s="34"/>
      <c r="B778" s="16"/>
      <c r="C778" s="15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5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5"/>
      <c r="AI778" s="16"/>
      <c r="AJ778" s="16"/>
      <c r="AK778" s="16"/>
      <c r="AL778" s="16"/>
      <c r="AM778" s="37"/>
      <c r="AN778" s="37"/>
      <c r="AO778" s="37"/>
      <c r="AP778" s="37"/>
      <c r="AQ778" s="37"/>
      <c r="AR778" s="37"/>
      <c r="AS778" s="37"/>
    </row>
    <row r="779" spans="1:45" ht="14.25" customHeight="1" x14ac:dyDescent="0.3">
      <c r="A779" s="34"/>
      <c r="B779" s="16"/>
      <c r="C779" s="15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5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5"/>
      <c r="AI779" s="16"/>
      <c r="AJ779" s="16"/>
      <c r="AK779" s="16"/>
      <c r="AL779" s="16"/>
      <c r="AM779" s="37"/>
      <c r="AN779" s="37"/>
      <c r="AO779" s="37"/>
      <c r="AP779" s="37"/>
      <c r="AQ779" s="37"/>
      <c r="AR779" s="37"/>
      <c r="AS779" s="37"/>
    </row>
    <row r="780" spans="1:45" ht="14.25" customHeight="1" x14ac:dyDescent="0.3">
      <c r="A780" s="34"/>
      <c r="B780" s="16"/>
      <c r="C780" s="15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5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5"/>
      <c r="AI780" s="16"/>
      <c r="AJ780" s="16"/>
      <c r="AK780" s="16"/>
      <c r="AL780" s="16"/>
      <c r="AM780" s="37"/>
      <c r="AN780" s="37"/>
      <c r="AO780" s="37"/>
      <c r="AP780" s="37"/>
      <c r="AQ780" s="37"/>
      <c r="AR780" s="37"/>
      <c r="AS780" s="37"/>
    </row>
    <row r="781" spans="1:45" ht="14.25" customHeight="1" x14ac:dyDescent="0.3">
      <c r="A781" s="34"/>
      <c r="B781" s="16"/>
      <c r="C781" s="15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5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5"/>
      <c r="AI781" s="16"/>
      <c r="AJ781" s="16"/>
      <c r="AK781" s="16"/>
      <c r="AL781" s="16"/>
      <c r="AM781" s="37"/>
      <c r="AN781" s="37"/>
      <c r="AO781" s="37"/>
      <c r="AP781" s="37"/>
      <c r="AQ781" s="37"/>
      <c r="AR781" s="37"/>
      <c r="AS781" s="37"/>
    </row>
    <row r="782" spans="1:45" ht="14.25" customHeight="1" x14ac:dyDescent="0.3">
      <c r="A782" s="34"/>
      <c r="B782" s="16"/>
      <c r="C782" s="15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5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5"/>
      <c r="AI782" s="16"/>
      <c r="AJ782" s="16"/>
      <c r="AK782" s="16"/>
      <c r="AL782" s="16"/>
      <c r="AM782" s="37"/>
      <c r="AN782" s="37"/>
      <c r="AO782" s="37"/>
      <c r="AP782" s="37"/>
      <c r="AQ782" s="37"/>
      <c r="AR782" s="37"/>
      <c r="AS782" s="37"/>
    </row>
    <row r="783" spans="1:45" ht="14.25" customHeight="1" x14ac:dyDescent="0.3">
      <c r="A783" s="34"/>
      <c r="B783" s="16"/>
      <c r="C783" s="15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5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5"/>
      <c r="AI783" s="16"/>
      <c r="AJ783" s="16"/>
      <c r="AK783" s="16"/>
      <c r="AL783" s="16"/>
      <c r="AM783" s="37"/>
      <c r="AN783" s="37"/>
      <c r="AO783" s="37"/>
      <c r="AP783" s="37"/>
      <c r="AQ783" s="37"/>
      <c r="AR783" s="37"/>
      <c r="AS783" s="37"/>
    </row>
    <row r="784" spans="1:45" ht="14.25" customHeight="1" x14ac:dyDescent="0.3">
      <c r="A784" s="34"/>
      <c r="B784" s="16"/>
      <c r="C784" s="15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5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5"/>
      <c r="AI784" s="16"/>
      <c r="AJ784" s="16"/>
      <c r="AK784" s="16"/>
      <c r="AL784" s="16"/>
      <c r="AM784" s="37"/>
      <c r="AN784" s="37"/>
      <c r="AO784" s="37"/>
      <c r="AP784" s="37"/>
      <c r="AQ784" s="37"/>
      <c r="AR784" s="37"/>
      <c r="AS784" s="37"/>
    </row>
    <row r="785" spans="1:45" ht="14.25" customHeight="1" x14ac:dyDescent="0.3">
      <c r="A785" s="34"/>
      <c r="B785" s="16"/>
      <c r="C785" s="15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5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5"/>
      <c r="AI785" s="16"/>
      <c r="AJ785" s="16"/>
      <c r="AK785" s="16"/>
      <c r="AL785" s="16"/>
      <c r="AM785" s="37"/>
      <c r="AN785" s="37"/>
      <c r="AO785" s="37"/>
      <c r="AP785" s="37"/>
      <c r="AQ785" s="37"/>
      <c r="AR785" s="37"/>
      <c r="AS785" s="37"/>
    </row>
    <row r="786" spans="1:45" ht="14.25" customHeight="1" x14ac:dyDescent="0.3">
      <c r="A786" s="34"/>
      <c r="B786" s="16"/>
      <c r="C786" s="15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5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5"/>
      <c r="AI786" s="16"/>
      <c r="AJ786" s="16"/>
      <c r="AK786" s="16"/>
      <c r="AL786" s="16"/>
      <c r="AM786" s="37"/>
      <c r="AN786" s="37"/>
      <c r="AO786" s="37"/>
      <c r="AP786" s="37"/>
      <c r="AQ786" s="37"/>
      <c r="AR786" s="37"/>
      <c r="AS786" s="37"/>
    </row>
    <row r="787" spans="1:45" ht="14.25" customHeight="1" x14ac:dyDescent="0.3">
      <c r="A787" s="34"/>
      <c r="B787" s="16"/>
      <c r="C787" s="15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5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5"/>
      <c r="AI787" s="16"/>
      <c r="AJ787" s="16"/>
      <c r="AK787" s="16"/>
      <c r="AL787" s="16"/>
      <c r="AM787" s="37"/>
      <c r="AN787" s="37"/>
      <c r="AO787" s="37"/>
      <c r="AP787" s="37"/>
      <c r="AQ787" s="37"/>
      <c r="AR787" s="37"/>
      <c r="AS787" s="37"/>
    </row>
    <row r="788" spans="1:45" ht="14.25" customHeight="1" x14ac:dyDescent="0.3">
      <c r="A788" s="34"/>
      <c r="B788" s="16"/>
      <c r="C788" s="15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5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5"/>
      <c r="AI788" s="16"/>
      <c r="AJ788" s="16"/>
      <c r="AK788" s="16"/>
      <c r="AL788" s="16"/>
      <c r="AM788" s="37"/>
      <c r="AN788" s="37"/>
      <c r="AO788" s="37"/>
      <c r="AP788" s="37"/>
      <c r="AQ788" s="37"/>
      <c r="AR788" s="37"/>
      <c r="AS788" s="37"/>
    </row>
    <row r="789" spans="1:45" ht="14.25" customHeight="1" x14ac:dyDescent="0.3">
      <c r="A789" s="34"/>
      <c r="B789" s="16"/>
      <c r="C789" s="15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5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5"/>
      <c r="AI789" s="16"/>
      <c r="AJ789" s="16"/>
      <c r="AK789" s="16"/>
      <c r="AL789" s="16"/>
      <c r="AM789" s="37"/>
      <c r="AN789" s="37"/>
      <c r="AO789" s="37"/>
      <c r="AP789" s="37"/>
      <c r="AQ789" s="37"/>
      <c r="AR789" s="37"/>
      <c r="AS789" s="37"/>
    </row>
    <row r="790" spans="1:45" ht="14.25" customHeight="1" x14ac:dyDescent="0.3">
      <c r="A790" s="34"/>
      <c r="B790" s="16"/>
      <c r="C790" s="15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5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5"/>
      <c r="AI790" s="16"/>
      <c r="AJ790" s="16"/>
      <c r="AK790" s="16"/>
      <c r="AL790" s="16"/>
      <c r="AM790" s="37"/>
      <c r="AN790" s="37"/>
      <c r="AO790" s="37"/>
      <c r="AP790" s="37"/>
      <c r="AQ790" s="37"/>
      <c r="AR790" s="37"/>
      <c r="AS790" s="37"/>
    </row>
    <row r="791" spans="1:45" ht="14.25" customHeight="1" x14ac:dyDescent="0.3">
      <c r="A791" s="34"/>
      <c r="B791" s="16"/>
      <c r="C791" s="15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5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5"/>
      <c r="AI791" s="16"/>
      <c r="AJ791" s="16"/>
      <c r="AK791" s="16"/>
      <c r="AL791" s="16"/>
      <c r="AM791" s="37"/>
      <c r="AN791" s="37"/>
      <c r="AO791" s="37"/>
      <c r="AP791" s="37"/>
      <c r="AQ791" s="37"/>
      <c r="AR791" s="37"/>
      <c r="AS791" s="37"/>
    </row>
    <row r="792" spans="1:45" ht="14.25" customHeight="1" x14ac:dyDescent="0.3">
      <c r="A792" s="34"/>
      <c r="B792" s="16"/>
      <c r="C792" s="15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5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5"/>
      <c r="AI792" s="16"/>
      <c r="AJ792" s="16"/>
      <c r="AK792" s="16"/>
      <c r="AL792" s="16"/>
      <c r="AM792" s="37"/>
      <c r="AN792" s="37"/>
      <c r="AO792" s="37"/>
      <c r="AP792" s="37"/>
      <c r="AQ792" s="37"/>
      <c r="AR792" s="37"/>
      <c r="AS792" s="37"/>
    </row>
    <row r="793" spans="1:45" ht="14.25" customHeight="1" x14ac:dyDescent="0.3">
      <c r="A793" s="34"/>
      <c r="B793" s="16"/>
      <c r="C793" s="15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5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5"/>
      <c r="AI793" s="16"/>
      <c r="AJ793" s="16"/>
      <c r="AK793" s="16"/>
      <c r="AL793" s="16"/>
      <c r="AM793" s="37"/>
      <c r="AN793" s="37"/>
      <c r="AO793" s="37"/>
      <c r="AP793" s="37"/>
      <c r="AQ793" s="37"/>
      <c r="AR793" s="37"/>
      <c r="AS793" s="37"/>
    </row>
    <row r="794" spans="1:45" ht="14.25" customHeight="1" x14ac:dyDescent="0.3">
      <c r="A794" s="34"/>
      <c r="B794" s="16"/>
      <c r="C794" s="15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5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5"/>
      <c r="AI794" s="16"/>
      <c r="AJ794" s="16"/>
      <c r="AK794" s="16"/>
      <c r="AL794" s="16"/>
      <c r="AM794" s="37"/>
      <c r="AN794" s="37"/>
      <c r="AO794" s="37"/>
      <c r="AP794" s="37"/>
      <c r="AQ794" s="37"/>
      <c r="AR794" s="37"/>
      <c r="AS794" s="37"/>
    </row>
    <row r="795" spans="1:45" ht="14.25" customHeight="1" x14ac:dyDescent="0.3">
      <c r="A795" s="34"/>
      <c r="B795" s="16"/>
      <c r="C795" s="15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5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5"/>
      <c r="AI795" s="16"/>
      <c r="AJ795" s="16"/>
      <c r="AK795" s="16"/>
      <c r="AL795" s="16"/>
      <c r="AM795" s="37"/>
      <c r="AN795" s="37"/>
      <c r="AO795" s="37"/>
      <c r="AP795" s="37"/>
      <c r="AQ795" s="37"/>
      <c r="AR795" s="37"/>
      <c r="AS795" s="37"/>
    </row>
    <row r="796" spans="1:45" ht="14.25" customHeight="1" x14ac:dyDescent="0.3">
      <c r="A796" s="34"/>
      <c r="B796" s="16"/>
      <c r="C796" s="15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5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5"/>
      <c r="AI796" s="16"/>
      <c r="AJ796" s="16"/>
      <c r="AK796" s="16"/>
      <c r="AL796" s="16"/>
      <c r="AM796" s="37"/>
      <c r="AN796" s="37"/>
      <c r="AO796" s="37"/>
      <c r="AP796" s="37"/>
      <c r="AQ796" s="37"/>
      <c r="AR796" s="37"/>
      <c r="AS796" s="37"/>
    </row>
    <row r="797" spans="1:45" ht="14.25" customHeight="1" x14ac:dyDescent="0.3">
      <c r="A797" s="34"/>
      <c r="B797" s="16"/>
      <c r="C797" s="15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5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5"/>
      <c r="AI797" s="16"/>
      <c r="AJ797" s="16"/>
      <c r="AK797" s="16"/>
      <c r="AL797" s="16"/>
      <c r="AM797" s="37"/>
      <c r="AN797" s="37"/>
      <c r="AO797" s="37"/>
      <c r="AP797" s="37"/>
      <c r="AQ797" s="37"/>
      <c r="AR797" s="37"/>
      <c r="AS797" s="37"/>
    </row>
    <row r="798" spans="1:45" ht="14.25" customHeight="1" x14ac:dyDescent="0.3">
      <c r="A798" s="34"/>
      <c r="B798" s="16"/>
      <c r="C798" s="15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5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5"/>
      <c r="AI798" s="16"/>
      <c r="AJ798" s="16"/>
      <c r="AK798" s="16"/>
      <c r="AL798" s="16"/>
      <c r="AM798" s="37"/>
      <c r="AN798" s="37"/>
      <c r="AO798" s="37"/>
      <c r="AP798" s="37"/>
      <c r="AQ798" s="37"/>
      <c r="AR798" s="37"/>
      <c r="AS798" s="37"/>
    </row>
    <row r="799" spans="1:45" ht="14.25" customHeight="1" x14ac:dyDescent="0.3">
      <c r="A799" s="34"/>
      <c r="B799" s="16"/>
      <c r="C799" s="15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5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5"/>
      <c r="AI799" s="16"/>
      <c r="AJ799" s="16"/>
      <c r="AK799" s="16"/>
      <c r="AL799" s="16"/>
      <c r="AM799" s="37"/>
      <c r="AN799" s="37"/>
      <c r="AO799" s="37"/>
      <c r="AP799" s="37"/>
      <c r="AQ799" s="37"/>
      <c r="AR799" s="37"/>
      <c r="AS799" s="37"/>
    </row>
    <row r="800" spans="1:45" ht="14.25" customHeight="1" x14ac:dyDescent="0.3">
      <c r="A800" s="34"/>
      <c r="B800" s="16"/>
      <c r="C800" s="15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5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5"/>
      <c r="AI800" s="16"/>
      <c r="AJ800" s="16"/>
      <c r="AK800" s="16"/>
      <c r="AL800" s="16"/>
      <c r="AM800" s="37"/>
      <c r="AN800" s="37"/>
      <c r="AO800" s="37"/>
      <c r="AP800" s="37"/>
      <c r="AQ800" s="37"/>
      <c r="AR800" s="37"/>
      <c r="AS800" s="37"/>
    </row>
    <row r="801" spans="1:45" ht="14.25" customHeight="1" x14ac:dyDescent="0.3">
      <c r="A801" s="34"/>
      <c r="B801" s="16"/>
      <c r="C801" s="15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5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5"/>
      <c r="AI801" s="16"/>
      <c r="AJ801" s="16"/>
      <c r="AK801" s="16"/>
      <c r="AL801" s="16"/>
      <c r="AM801" s="37"/>
      <c r="AN801" s="37"/>
      <c r="AO801" s="37"/>
      <c r="AP801" s="37"/>
      <c r="AQ801" s="37"/>
      <c r="AR801" s="37"/>
      <c r="AS801" s="37"/>
    </row>
    <row r="802" spans="1:45" ht="14.25" customHeight="1" x14ac:dyDescent="0.3">
      <c r="A802" s="34"/>
      <c r="B802" s="16"/>
      <c r="C802" s="15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5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5"/>
      <c r="AI802" s="16"/>
      <c r="AJ802" s="16"/>
      <c r="AK802" s="16"/>
      <c r="AL802" s="16"/>
      <c r="AM802" s="37"/>
      <c r="AN802" s="37"/>
      <c r="AO802" s="37"/>
      <c r="AP802" s="37"/>
      <c r="AQ802" s="37"/>
      <c r="AR802" s="37"/>
      <c r="AS802" s="37"/>
    </row>
    <row r="803" spans="1:45" ht="14.25" customHeight="1" x14ac:dyDescent="0.3">
      <c r="A803" s="34"/>
      <c r="B803" s="16"/>
      <c r="C803" s="15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5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5"/>
      <c r="AI803" s="16"/>
      <c r="AJ803" s="16"/>
      <c r="AK803" s="16"/>
      <c r="AL803" s="16"/>
      <c r="AM803" s="37"/>
      <c r="AN803" s="37"/>
      <c r="AO803" s="37"/>
      <c r="AP803" s="37"/>
      <c r="AQ803" s="37"/>
      <c r="AR803" s="37"/>
      <c r="AS803" s="37"/>
    </row>
    <row r="804" spans="1:45" ht="14.25" customHeight="1" x14ac:dyDescent="0.3">
      <c r="A804" s="34"/>
      <c r="B804" s="16"/>
      <c r="C804" s="15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5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5"/>
      <c r="AI804" s="16"/>
      <c r="AJ804" s="16"/>
      <c r="AK804" s="16"/>
      <c r="AL804" s="16"/>
      <c r="AM804" s="37"/>
      <c r="AN804" s="37"/>
      <c r="AO804" s="37"/>
      <c r="AP804" s="37"/>
      <c r="AQ804" s="37"/>
      <c r="AR804" s="37"/>
      <c r="AS804" s="37"/>
    </row>
    <row r="805" spans="1:45" ht="14.25" customHeight="1" x14ac:dyDescent="0.3">
      <c r="A805" s="34"/>
      <c r="B805" s="16"/>
      <c r="C805" s="15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5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5"/>
      <c r="AI805" s="16"/>
      <c r="AJ805" s="16"/>
      <c r="AK805" s="16"/>
      <c r="AL805" s="16"/>
      <c r="AM805" s="37"/>
      <c r="AN805" s="37"/>
      <c r="AO805" s="37"/>
      <c r="AP805" s="37"/>
      <c r="AQ805" s="37"/>
      <c r="AR805" s="37"/>
      <c r="AS805" s="37"/>
    </row>
    <row r="806" spans="1:45" ht="14.25" customHeight="1" x14ac:dyDescent="0.3">
      <c r="A806" s="34"/>
      <c r="B806" s="16"/>
      <c r="C806" s="15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5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5"/>
      <c r="AI806" s="16"/>
      <c r="AJ806" s="16"/>
      <c r="AK806" s="16"/>
      <c r="AL806" s="16"/>
      <c r="AM806" s="37"/>
      <c r="AN806" s="37"/>
      <c r="AO806" s="37"/>
      <c r="AP806" s="37"/>
      <c r="AQ806" s="37"/>
      <c r="AR806" s="37"/>
      <c r="AS806" s="37"/>
    </row>
    <row r="807" spans="1:45" ht="14.25" customHeight="1" x14ac:dyDescent="0.3">
      <c r="A807" s="34"/>
      <c r="B807" s="16"/>
      <c r="C807" s="15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5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5"/>
      <c r="AI807" s="16"/>
      <c r="AJ807" s="16"/>
      <c r="AK807" s="16"/>
      <c r="AL807" s="16"/>
      <c r="AM807" s="37"/>
      <c r="AN807" s="37"/>
      <c r="AO807" s="37"/>
      <c r="AP807" s="37"/>
      <c r="AQ807" s="37"/>
      <c r="AR807" s="37"/>
      <c r="AS807" s="37"/>
    </row>
    <row r="808" spans="1:45" ht="14.25" customHeight="1" x14ac:dyDescent="0.3">
      <c r="A808" s="34"/>
      <c r="B808" s="16"/>
      <c r="C808" s="15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5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5"/>
      <c r="AI808" s="16"/>
      <c r="AJ808" s="16"/>
      <c r="AK808" s="16"/>
      <c r="AL808" s="16"/>
      <c r="AM808" s="37"/>
      <c r="AN808" s="37"/>
      <c r="AO808" s="37"/>
      <c r="AP808" s="37"/>
      <c r="AQ808" s="37"/>
      <c r="AR808" s="37"/>
      <c r="AS808" s="37"/>
    </row>
    <row r="809" spans="1:45" ht="14.25" customHeight="1" x14ac:dyDescent="0.3">
      <c r="A809" s="34"/>
      <c r="B809" s="16"/>
      <c r="C809" s="15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5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5"/>
      <c r="AI809" s="16"/>
      <c r="AJ809" s="16"/>
      <c r="AK809" s="16"/>
      <c r="AL809" s="16"/>
      <c r="AM809" s="37"/>
      <c r="AN809" s="37"/>
      <c r="AO809" s="37"/>
      <c r="AP809" s="37"/>
      <c r="AQ809" s="37"/>
      <c r="AR809" s="37"/>
      <c r="AS809" s="37"/>
    </row>
    <row r="810" spans="1:45" ht="14.25" customHeight="1" x14ac:dyDescent="0.3">
      <c r="A810" s="34"/>
      <c r="B810" s="16"/>
      <c r="C810" s="15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5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5"/>
      <c r="AI810" s="16"/>
      <c r="AJ810" s="16"/>
      <c r="AK810" s="16"/>
      <c r="AL810" s="16"/>
      <c r="AM810" s="37"/>
      <c r="AN810" s="37"/>
      <c r="AO810" s="37"/>
      <c r="AP810" s="37"/>
      <c r="AQ810" s="37"/>
      <c r="AR810" s="37"/>
      <c r="AS810" s="37"/>
    </row>
    <row r="811" spans="1:45" ht="14.25" customHeight="1" x14ac:dyDescent="0.3">
      <c r="A811" s="34"/>
      <c r="B811" s="16"/>
      <c r="C811" s="15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5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5"/>
      <c r="AI811" s="16"/>
      <c r="AJ811" s="16"/>
      <c r="AK811" s="16"/>
      <c r="AL811" s="16"/>
      <c r="AM811" s="37"/>
      <c r="AN811" s="37"/>
      <c r="AO811" s="37"/>
      <c r="AP811" s="37"/>
      <c r="AQ811" s="37"/>
      <c r="AR811" s="37"/>
      <c r="AS811" s="37"/>
    </row>
    <row r="812" spans="1:45" ht="14.25" customHeight="1" x14ac:dyDescent="0.3">
      <c r="A812" s="34"/>
      <c r="B812" s="16"/>
      <c r="C812" s="15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5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5"/>
      <c r="AI812" s="16"/>
      <c r="AJ812" s="16"/>
      <c r="AK812" s="16"/>
      <c r="AL812" s="16"/>
      <c r="AM812" s="37"/>
      <c r="AN812" s="37"/>
      <c r="AO812" s="37"/>
      <c r="AP812" s="37"/>
      <c r="AQ812" s="37"/>
      <c r="AR812" s="37"/>
      <c r="AS812" s="37"/>
    </row>
    <row r="813" spans="1:45" ht="14.25" customHeight="1" x14ac:dyDescent="0.3">
      <c r="A813" s="34"/>
      <c r="B813" s="16"/>
      <c r="C813" s="15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5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5"/>
      <c r="AI813" s="16"/>
      <c r="AJ813" s="16"/>
      <c r="AK813" s="16"/>
      <c r="AL813" s="16"/>
      <c r="AM813" s="37"/>
      <c r="AN813" s="37"/>
      <c r="AO813" s="37"/>
      <c r="AP813" s="37"/>
      <c r="AQ813" s="37"/>
      <c r="AR813" s="37"/>
      <c r="AS813" s="37"/>
    </row>
    <row r="814" spans="1:45" ht="14.25" customHeight="1" x14ac:dyDescent="0.3">
      <c r="A814" s="34"/>
      <c r="B814" s="16"/>
      <c r="C814" s="15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5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5"/>
      <c r="AI814" s="16"/>
      <c r="AJ814" s="16"/>
      <c r="AK814" s="16"/>
      <c r="AL814" s="16"/>
      <c r="AM814" s="37"/>
      <c r="AN814" s="37"/>
      <c r="AO814" s="37"/>
      <c r="AP814" s="37"/>
      <c r="AQ814" s="37"/>
      <c r="AR814" s="37"/>
      <c r="AS814" s="37"/>
    </row>
    <row r="815" spans="1:45" ht="14.25" customHeight="1" x14ac:dyDescent="0.3">
      <c r="A815" s="34"/>
      <c r="B815" s="16"/>
      <c r="C815" s="15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5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5"/>
      <c r="AI815" s="16"/>
      <c r="AJ815" s="16"/>
      <c r="AK815" s="16"/>
      <c r="AL815" s="16"/>
      <c r="AM815" s="37"/>
      <c r="AN815" s="37"/>
      <c r="AO815" s="37"/>
      <c r="AP815" s="37"/>
      <c r="AQ815" s="37"/>
      <c r="AR815" s="37"/>
      <c r="AS815" s="37"/>
    </row>
    <row r="816" spans="1:45" ht="14.25" customHeight="1" x14ac:dyDescent="0.3">
      <c r="A816" s="34"/>
      <c r="B816" s="16"/>
      <c r="C816" s="15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5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5"/>
      <c r="AI816" s="16"/>
      <c r="AJ816" s="16"/>
      <c r="AK816" s="16"/>
      <c r="AL816" s="16"/>
      <c r="AM816" s="37"/>
      <c r="AN816" s="37"/>
      <c r="AO816" s="37"/>
      <c r="AP816" s="37"/>
      <c r="AQ816" s="37"/>
      <c r="AR816" s="37"/>
      <c r="AS816" s="37"/>
    </row>
    <row r="817" spans="1:45" ht="14.25" customHeight="1" x14ac:dyDescent="0.3">
      <c r="A817" s="34"/>
      <c r="B817" s="16"/>
      <c r="C817" s="15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5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5"/>
      <c r="AI817" s="16"/>
      <c r="AJ817" s="16"/>
      <c r="AK817" s="16"/>
      <c r="AL817" s="16"/>
      <c r="AM817" s="37"/>
      <c r="AN817" s="37"/>
      <c r="AO817" s="37"/>
      <c r="AP817" s="37"/>
      <c r="AQ817" s="37"/>
      <c r="AR817" s="37"/>
      <c r="AS817" s="37"/>
    </row>
    <row r="818" spans="1:45" ht="14.25" customHeight="1" x14ac:dyDescent="0.3">
      <c r="A818" s="34"/>
      <c r="B818" s="16"/>
      <c r="C818" s="15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5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5"/>
      <c r="AI818" s="16"/>
      <c r="AJ818" s="16"/>
      <c r="AK818" s="16"/>
      <c r="AL818" s="16"/>
      <c r="AM818" s="37"/>
      <c r="AN818" s="37"/>
      <c r="AO818" s="37"/>
      <c r="AP818" s="37"/>
      <c r="AQ818" s="37"/>
      <c r="AR818" s="37"/>
      <c r="AS818" s="37"/>
    </row>
    <row r="819" spans="1:45" ht="14.25" customHeight="1" x14ac:dyDescent="0.3">
      <c r="A819" s="34"/>
      <c r="B819" s="16"/>
      <c r="C819" s="15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5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5"/>
      <c r="AI819" s="16"/>
      <c r="AJ819" s="16"/>
      <c r="AK819" s="16"/>
      <c r="AL819" s="16"/>
      <c r="AM819" s="37"/>
      <c r="AN819" s="37"/>
      <c r="AO819" s="37"/>
      <c r="AP819" s="37"/>
      <c r="AQ819" s="37"/>
      <c r="AR819" s="37"/>
      <c r="AS819" s="37"/>
    </row>
    <row r="820" spans="1:45" ht="14.25" customHeight="1" x14ac:dyDescent="0.3">
      <c r="A820" s="34"/>
      <c r="B820" s="16"/>
      <c r="C820" s="15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5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5"/>
      <c r="AI820" s="16"/>
      <c r="AJ820" s="16"/>
      <c r="AK820" s="16"/>
      <c r="AL820" s="16"/>
      <c r="AM820" s="37"/>
      <c r="AN820" s="37"/>
      <c r="AO820" s="37"/>
      <c r="AP820" s="37"/>
      <c r="AQ820" s="37"/>
      <c r="AR820" s="37"/>
      <c r="AS820" s="37"/>
    </row>
    <row r="821" spans="1:45" ht="14.25" customHeight="1" x14ac:dyDescent="0.3">
      <c r="A821" s="34"/>
      <c r="B821" s="16"/>
      <c r="C821" s="15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5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5"/>
      <c r="AI821" s="16"/>
      <c r="AJ821" s="16"/>
      <c r="AK821" s="16"/>
      <c r="AL821" s="16"/>
      <c r="AM821" s="37"/>
      <c r="AN821" s="37"/>
      <c r="AO821" s="37"/>
      <c r="AP821" s="37"/>
      <c r="AQ821" s="37"/>
      <c r="AR821" s="37"/>
      <c r="AS821" s="37"/>
    </row>
    <row r="822" spans="1:45" ht="14.25" customHeight="1" x14ac:dyDescent="0.3">
      <c r="A822" s="34"/>
      <c r="B822" s="16"/>
      <c r="C822" s="15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5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5"/>
      <c r="AI822" s="16"/>
      <c r="AJ822" s="16"/>
      <c r="AK822" s="16"/>
      <c r="AL822" s="16"/>
      <c r="AM822" s="37"/>
      <c r="AN822" s="37"/>
      <c r="AO822" s="37"/>
      <c r="AP822" s="37"/>
      <c r="AQ822" s="37"/>
      <c r="AR822" s="37"/>
      <c r="AS822" s="37"/>
    </row>
    <row r="823" spans="1:45" ht="14.25" customHeight="1" x14ac:dyDescent="0.3">
      <c r="A823" s="34"/>
      <c r="B823" s="16"/>
      <c r="C823" s="15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5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5"/>
      <c r="AI823" s="16"/>
      <c r="AJ823" s="16"/>
      <c r="AK823" s="16"/>
      <c r="AL823" s="16"/>
      <c r="AM823" s="37"/>
      <c r="AN823" s="37"/>
      <c r="AO823" s="37"/>
      <c r="AP823" s="37"/>
      <c r="AQ823" s="37"/>
      <c r="AR823" s="37"/>
      <c r="AS823" s="37"/>
    </row>
    <row r="824" spans="1:45" ht="14.25" customHeight="1" x14ac:dyDescent="0.3">
      <c r="A824" s="34"/>
      <c r="B824" s="16"/>
      <c r="C824" s="15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5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5"/>
      <c r="AI824" s="16"/>
      <c r="AJ824" s="16"/>
      <c r="AK824" s="16"/>
      <c r="AL824" s="16"/>
      <c r="AM824" s="37"/>
      <c r="AN824" s="37"/>
      <c r="AO824" s="37"/>
      <c r="AP824" s="37"/>
      <c r="AQ824" s="37"/>
      <c r="AR824" s="37"/>
      <c r="AS824" s="37"/>
    </row>
    <row r="825" spans="1:45" ht="14.25" customHeight="1" x14ac:dyDescent="0.3">
      <c r="A825" s="34"/>
      <c r="B825" s="16"/>
      <c r="C825" s="15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5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5"/>
      <c r="AI825" s="16"/>
      <c r="AJ825" s="16"/>
      <c r="AK825" s="16"/>
      <c r="AL825" s="16"/>
      <c r="AM825" s="37"/>
      <c r="AN825" s="37"/>
      <c r="AO825" s="37"/>
      <c r="AP825" s="37"/>
      <c r="AQ825" s="37"/>
      <c r="AR825" s="37"/>
      <c r="AS825" s="37"/>
    </row>
    <row r="826" spans="1:45" ht="14.25" customHeight="1" x14ac:dyDescent="0.3">
      <c r="A826" s="34"/>
      <c r="B826" s="16"/>
      <c r="C826" s="15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5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5"/>
      <c r="AI826" s="16"/>
      <c r="AJ826" s="16"/>
      <c r="AK826" s="16"/>
      <c r="AL826" s="16"/>
      <c r="AM826" s="37"/>
      <c r="AN826" s="37"/>
      <c r="AO826" s="37"/>
      <c r="AP826" s="37"/>
      <c r="AQ826" s="37"/>
      <c r="AR826" s="37"/>
      <c r="AS826" s="37"/>
    </row>
    <row r="827" spans="1:45" ht="14.25" customHeight="1" x14ac:dyDescent="0.3">
      <c r="A827" s="34"/>
      <c r="B827" s="16"/>
      <c r="C827" s="15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5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5"/>
      <c r="AI827" s="16"/>
      <c r="AJ827" s="16"/>
      <c r="AK827" s="16"/>
      <c r="AL827" s="16"/>
      <c r="AM827" s="37"/>
      <c r="AN827" s="37"/>
      <c r="AO827" s="37"/>
      <c r="AP827" s="37"/>
      <c r="AQ827" s="37"/>
      <c r="AR827" s="37"/>
      <c r="AS827" s="37"/>
    </row>
    <row r="828" spans="1:45" ht="14.25" customHeight="1" x14ac:dyDescent="0.3">
      <c r="A828" s="34"/>
      <c r="B828" s="16"/>
      <c r="C828" s="15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5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5"/>
      <c r="AI828" s="16"/>
      <c r="AJ828" s="16"/>
      <c r="AK828" s="16"/>
      <c r="AL828" s="16"/>
      <c r="AM828" s="37"/>
      <c r="AN828" s="37"/>
      <c r="AO828" s="37"/>
      <c r="AP828" s="37"/>
      <c r="AQ828" s="37"/>
      <c r="AR828" s="37"/>
      <c r="AS828" s="37"/>
    </row>
    <row r="829" spans="1:45" ht="14.25" customHeight="1" x14ac:dyDescent="0.3">
      <c r="A829" s="34"/>
      <c r="B829" s="16"/>
      <c r="C829" s="15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5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5"/>
      <c r="AI829" s="16"/>
      <c r="AJ829" s="16"/>
      <c r="AK829" s="16"/>
      <c r="AL829" s="16"/>
      <c r="AM829" s="37"/>
      <c r="AN829" s="37"/>
      <c r="AO829" s="37"/>
      <c r="AP829" s="37"/>
      <c r="AQ829" s="37"/>
      <c r="AR829" s="37"/>
      <c r="AS829" s="37"/>
    </row>
    <row r="830" spans="1:45" ht="14.25" customHeight="1" x14ac:dyDescent="0.3">
      <c r="A830" s="34"/>
      <c r="B830" s="16"/>
      <c r="C830" s="15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5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5"/>
      <c r="AI830" s="16"/>
      <c r="AJ830" s="16"/>
      <c r="AK830" s="16"/>
      <c r="AL830" s="16"/>
      <c r="AM830" s="37"/>
      <c r="AN830" s="37"/>
      <c r="AO830" s="37"/>
      <c r="AP830" s="37"/>
      <c r="AQ830" s="37"/>
      <c r="AR830" s="37"/>
      <c r="AS830" s="37"/>
    </row>
    <row r="831" spans="1:45" ht="14.25" customHeight="1" x14ac:dyDescent="0.3">
      <c r="A831" s="34"/>
      <c r="B831" s="16"/>
      <c r="C831" s="15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5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5"/>
      <c r="AI831" s="16"/>
      <c r="AJ831" s="16"/>
      <c r="AK831" s="16"/>
      <c r="AL831" s="16"/>
      <c r="AM831" s="37"/>
      <c r="AN831" s="37"/>
      <c r="AO831" s="37"/>
      <c r="AP831" s="37"/>
      <c r="AQ831" s="37"/>
      <c r="AR831" s="37"/>
      <c r="AS831" s="37"/>
    </row>
    <row r="832" spans="1:45" ht="14.25" customHeight="1" x14ac:dyDescent="0.3">
      <c r="A832" s="34"/>
      <c r="B832" s="16"/>
      <c r="C832" s="15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5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5"/>
      <c r="AI832" s="16"/>
      <c r="AJ832" s="16"/>
      <c r="AK832" s="16"/>
      <c r="AL832" s="16"/>
      <c r="AM832" s="37"/>
      <c r="AN832" s="37"/>
      <c r="AO832" s="37"/>
      <c r="AP832" s="37"/>
      <c r="AQ832" s="37"/>
      <c r="AR832" s="37"/>
      <c r="AS832" s="37"/>
    </row>
    <row r="833" spans="1:45" ht="14.25" customHeight="1" x14ac:dyDescent="0.3">
      <c r="A833" s="34"/>
      <c r="B833" s="16"/>
      <c r="C833" s="15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5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5"/>
      <c r="AI833" s="16"/>
      <c r="AJ833" s="16"/>
      <c r="AK833" s="16"/>
      <c r="AL833" s="16"/>
      <c r="AM833" s="37"/>
      <c r="AN833" s="37"/>
      <c r="AO833" s="37"/>
      <c r="AP833" s="37"/>
      <c r="AQ833" s="37"/>
      <c r="AR833" s="37"/>
      <c r="AS833" s="37"/>
    </row>
    <row r="834" spans="1:45" ht="14.25" customHeight="1" x14ac:dyDescent="0.3">
      <c r="A834" s="34"/>
      <c r="B834" s="16"/>
      <c r="C834" s="15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5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5"/>
      <c r="AI834" s="16"/>
      <c r="AJ834" s="16"/>
      <c r="AK834" s="16"/>
      <c r="AL834" s="16"/>
      <c r="AM834" s="37"/>
      <c r="AN834" s="37"/>
      <c r="AO834" s="37"/>
      <c r="AP834" s="37"/>
      <c r="AQ834" s="37"/>
      <c r="AR834" s="37"/>
      <c r="AS834" s="37"/>
    </row>
    <row r="835" spans="1:45" ht="14.25" customHeight="1" x14ac:dyDescent="0.3">
      <c r="A835" s="34"/>
      <c r="B835" s="16"/>
      <c r="C835" s="15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5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5"/>
      <c r="AI835" s="16"/>
      <c r="AJ835" s="16"/>
      <c r="AK835" s="16"/>
      <c r="AL835" s="16"/>
      <c r="AM835" s="37"/>
      <c r="AN835" s="37"/>
      <c r="AO835" s="37"/>
      <c r="AP835" s="37"/>
      <c r="AQ835" s="37"/>
      <c r="AR835" s="37"/>
      <c r="AS835" s="37"/>
    </row>
    <row r="836" spans="1:45" ht="14.25" customHeight="1" x14ac:dyDescent="0.3">
      <c r="A836" s="34"/>
      <c r="B836" s="16"/>
      <c r="C836" s="15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5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5"/>
      <c r="AI836" s="16"/>
      <c r="AJ836" s="16"/>
      <c r="AK836" s="16"/>
      <c r="AL836" s="16"/>
      <c r="AM836" s="37"/>
      <c r="AN836" s="37"/>
      <c r="AO836" s="37"/>
      <c r="AP836" s="37"/>
      <c r="AQ836" s="37"/>
      <c r="AR836" s="37"/>
      <c r="AS836" s="37"/>
    </row>
    <row r="837" spans="1:45" ht="14.25" customHeight="1" x14ac:dyDescent="0.3">
      <c r="A837" s="34"/>
      <c r="B837" s="16"/>
      <c r="C837" s="15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5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5"/>
      <c r="AI837" s="16"/>
      <c r="AJ837" s="16"/>
      <c r="AK837" s="16"/>
      <c r="AL837" s="16"/>
      <c r="AM837" s="37"/>
      <c r="AN837" s="37"/>
      <c r="AO837" s="37"/>
      <c r="AP837" s="37"/>
      <c r="AQ837" s="37"/>
      <c r="AR837" s="37"/>
      <c r="AS837" s="37"/>
    </row>
    <row r="838" spans="1:45" ht="14.25" customHeight="1" x14ac:dyDescent="0.3">
      <c r="A838" s="34"/>
      <c r="B838" s="16"/>
      <c r="C838" s="15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5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5"/>
      <c r="AI838" s="16"/>
      <c r="AJ838" s="16"/>
      <c r="AK838" s="16"/>
      <c r="AL838" s="16"/>
      <c r="AM838" s="37"/>
      <c r="AN838" s="37"/>
      <c r="AO838" s="37"/>
      <c r="AP838" s="37"/>
      <c r="AQ838" s="37"/>
      <c r="AR838" s="37"/>
      <c r="AS838" s="37"/>
    </row>
    <row r="839" spans="1:45" ht="14.25" customHeight="1" x14ac:dyDescent="0.3">
      <c r="A839" s="34"/>
      <c r="B839" s="16"/>
      <c r="C839" s="15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5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5"/>
      <c r="AI839" s="16"/>
      <c r="AJ839" s="16"/>
      <c r="AK839" s="16"/>
      <c r="AL839" s="16"/>
      <c r="AM839" s="37"/>
      <c r="AN839" s="37"/>
      <c r="AO839" s="37"/>
      <c r="AP839" s="37"/>
      <c r="AQ839" s="37"/>
      <c r="AR839" s="37"/>
      <c r="AS839" s="37"/>
    </row>
    <row r="840" spans="1:45" ht="14.25" customHeight="1" x14ac:dyDescent="0.3">
      <c r="A840" s="34"/>
      <c r="B840" s="16"/>
      <c r="C840" s="15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5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5"/>
      <c r="AI840" s="16"/>
      <c r="AJ840" s="16"/>
      <c r="AK840" s="16"/>
      <c r="AL840" s="16"/>
      <c r="AM840" s="37"/>
      <c r="AN840" s="37"/>
      <c r="AO840" s="37"/>
      <c r="AP840" s="37"/>
      <c r="AQ840" s="37"/>
      <c r="AR840" s="37"/>
      <c r="AS840" s="37"/>
    </row>
    <row r="841" spans="1:45" ht="14.25" customHeight="1" x14ac:dyDescent="0.3">
      <c r="A841" s="34"/>
      <c r="B841" s="16"/>
      <c r="C841" s="15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5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5"/>
      <c r="AI841" s="16"/>
      <c r="AJ841" s="16"/>
      <c r="AK841" s="16"/>
      <c r="AL841" s="16"/>
      <c r="AM841" s="37"/>
      <c r="AN841" s="37"/>
      <c r="AO841" s="37"/>
      <c r="AP841" s="37"/>
      <c r="AQ841" s="37"/>
      <c r="AR841" s="37"/>
      <c r="AS841" s="37"/>
    </row>
    <row r="842" spans="1:45" ht="14.25" customHeight="1" x14ac:dyDescent="0.3">
      <c r="A842" s="34"/>
      <c r="B842" s="16"/>
      <c r="C842" s="15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5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5"/>
      <c r="AI842" s="16"/>
      <c r="AJ842" s="16"/>
      <c r="AK842" s="16"/>
      <c r="AL842" s="16"/>
      <c r="AM842" s="37"/>
      <c r="AN842" s="37"/>
      <c r="AO842" s="37"/>
      <c r="AP842" s="37"/>
      <c r="AQ842" s="37"/>
      <c r="AR842" s="37"/>
      <c r="AS842" s="37"/>
    </row>
    <row r="843" spans="1:45" ht="14.25" customHeight="1" x14ac:dyDescent="0.3">
      <c r="A843" s="34"/>
      <c r="B843" s="16"/>
      <c r="C843" s="15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5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5"/>
      <c r="AI843" s="16"/>
      <c r="AJ843" s="16"/>
      <c r="AK843" s="16"/>
      <c r="AL843" s="16"/>
      <c r="AM843" s="37"/>
      <c r="AN843" s="37"/>
      <c r="AO843" s="37"/>
      <c r="AP843" s="37"/>
      <c r="AQ843" s="37"/>
      <c r="AR843" s="37"/>
      <c r="AS843" s="37"/>
    </row>
    <row r="844" spans="1:45" ht="14.25" customHeight="1" x14ac:dyDescent="0.3">
      <c r="A844" s="34"/>
      <c r="B844" s="16"/>
      <c r="C844" s="15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5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5"/>
      <c r="AI844" s="16"/>
      <c r="AJ844" s="16"/>
      <c r="AK844" s="16"/>
      <c r="AL844" s="16"/>
      <c r="AM844" s="37"/>
      <c r="AN844" s="37"/>
      <c r="AO844" s="37"/>
      <c r="AP844" s="37"/>
      <c r="AQ844" s="37"/>
      <c r="AR844" s="37"/>
      <c r="AS844" s="37"/>
    </row>
    <row r="845" spans="1:45" ht="14.25" customHeight="1" x14ac:dyDescent="0.3">
      <c r="A845" s="34"/>
      <c r="B845" s="16"/>
      <c r="C845" s="15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5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5"/>
      <c r="AI845" s="16"/>
      <c r="AJ845" s="16"/>
      <c r="AK845" s="16"/>
      <c r="AL845" s="16"/>
      <c r="AM845" s="37"/>
      <c r="AN845" s="37"/>
      <c r="AO845" s="37"/>
      <c r="AP845" s="37"/>
      <c r="AQ845" s="37"/>
      <c r="AR845" s="37"/>
      <c r="AS845" s="37"/>
    </row>
    <row r="846" spans="1:45" ht="14.25" customHeight="1" x14ac:dyDescent="0.3">
      <c r="A846" s="34"/>
      <c r="B846" s="16"/>
      <c r="C846" s="15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5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5"/>
      <c r="AI846" s="16"/>
      <c r="AJ846" s="16"/>
      <c r="AK846" s="16"/>
      <c r="AL846" s="16"/>
      <c r="AM846" s="37"/>
      <c r="AN846" s="37"/>
      <c r="AO846" s="37"/>
      <c r="AP846" s="37"/>
      <c r="AQ846" s="37"/>
      <c r="AR846" s="37"/>
      <c r="AS846" s="37"/>
    </row>
    <row r="847" spans="1:45" ht="14.25" customHeight="1" x14ac:dyDescent="0.3">
      <c r="A847" s="34"/>
      <c r="B847" s="16"/>
      <c r="C847" s="15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5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5"/>
      <c r="AI847" s="16"/>
      <c r="AJ847" s="16"/>
      <c r="AK847" s="16"/>
      <c r="AL847" s="16"/>
      <c r="AM847" s="37"/>
      <c r="AN847" s="37"/>
      <c r="AO847" s="37"/>
      <c r="AP847" s="37"/>
      <c r="AQ847" s="37"/>
      <c r="AR847" s="37"/>
      <c r="AS847" s="37"/>
    </row>
    <row r="848" spans="1:45" ht="14.25" customHeight="1" x14ac:dyDescent="0.3">
      <c r="A848" s="34"/>
      <c r="B848" s="16"/>
      <c r="C848" s="15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5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5"/>
      <c r="AI848" s="16"/>
      <c r="AJ848" s="16"/>
      <c r="AK848" s="16"/>
      <c r="AL848" s="16"/>
      <c r="AM848" s="37"/>
      <c r="AN848" s="37"/>
      <c r="AO848" s="37"/>
      <c r="AP848" s="37"/>
      <c r="AQ848" s="37"/>
      <c r="AR848" s="37"/>
      <c r="AS848" s="37"/>
    </row>
    <row r="849" spans="1:45" ht="14.25" customHeight="1" x14ac:dyDescent="0.3">
      <c r="A849" s="34"/>
      <c r="B849" s="16"/>
      <c r="C849" s="15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5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5"/>
      <c r="AI849" s="16"/>
      <c r="AJ849" s="16"/>
      <c r="AK849" s="16"/>
      <c r="AL849" s="16"/>
      <c r="AM849" s="37"/>
      <c r="AN849" s="37"/>
      <c r="AO849" s="37"/>
      <c r="AP849" s="37"/>
      <c r="AQ849" s="37"/>
      <c r="AR849" s="37"/>
      <c r="AS849" s="37"/>
    </row>
    <row r="850" spans="1:45" ht="14.25" customHeight="1" x14ac:dyDescent="0.3">
      <c r="A850" s="34"/>
      <c r="B850" s="16"/>
      <c r="C850" s="15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5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5"/>
      <c r="AI850" s="16"/>
      <c r="AJ850" s="16"/>
      <c r="AK850" s="16"/>
      <c r="AL850" s="16"/>
      <c r="AM850" s="37"/>
      <c r="AN850" s="37"/>
      <c r="AO850" s="37"/>
      <c r="AP850" s="37"/>
      <c r="AQ850" s="37"/>
      <c r="AR850" s="37"/>
      <c r="AS850" s="37"/>
    </row>
    <row r="851" spans="1:45" ht="14.25" customHeight="1" x14ac:dyDescent="0.3">
      <c r="A851" s="34"/>
      <c r="B851" s="16"/>
      <c r="C851" s="15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5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5"/>
      <c r="AI851" s="16"/>
      <c r="AJ851" s="16"/>
      <c r="AK851" s="16"/>
      <c r="AL851" s="16"/>
      <c r="AM851" s="37"/>
      <c r="AN851" s="37"/>
      <c r="AO851" s="37"/>
      <c r="AP851" s="37"/>
      <c r="AQ851" s="37"/>
      <c r="AR851" s="37"/>
      <c r="AS851" s="37"/>
    </row>
    <row r="852" spans="1:45" ht="14.25" customHeight="1" x14ac:dyDescent="0.3">
      <c r="A852" s="34"/>
      <c r="B852" s="16"/>
      <c r="C852" s="15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5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5"/>
      <c r="AI852" s="16"/>
      <c r="AJ852" s="16"/>
      <c r="AK852" s="16"/>
      <c r="AL852" s="16"/>
      <c r="AM852" s="37"/>
      <c r="AN852" s="37"/>
      <c r="AO852" s="37"/>
      <c r="AP852" s="37"/>
      <c r="AQ852" s="37"/>
      <c r="AR852" s="37"/>
      <c r="AS852" s="37"/>
    </row>
    <row r="853" spans="1:45" ht="14.25" customHeight="1" x14ac:dyDescent="0.3">
      <c r="A853" s="34"/>
      <c r="B853" s="16"/>
      <c r="C853" s="15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5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5"/>
      <c r="AI853" s="16"/>
      <c r="AJ853" s="16"/>
      <c r="AK853" s="16"/>
      <c r="AL853" s="16"/>
      <c r="AM853" s="37"/>
      <c r="AN853" s="37"/>
      <c r="AO853" s="37"/>
      <c r="AP853" s="37"/>
      <c r="AQ853" s="37"/>
      <c r="AR853" s="37"/>
      <c r="AS853" s="37"/>
    </row>
    <row r="854" spans="1:45" ht="14.25" customHeight="1" x14ac:dyDescent="0.3">
      <c r="A854" s="34"/>
      <c r="B854" s="16"/>
      <c r="C854" s="15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5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5"/>
      <c r="AI854" s="16"/>
      <c r="AJ854" s="16"/>
      <c r="AK854" s="16"/>
      <c r="AL854" s="16"/>
      <c r="AM854" s="37"/>
      <c r="AN854" s="37"/>
      <c r="AO854" s="37"/>
      <c r="AP854" s="37"/>
      <c r="AQ854" s="37"/>
      <c r="AR854" s="37"/>
      <c r="AS854" s="37"/>
    </row>
    <row r="855" spans="1:45" ht="14.25" customHeight="1" x14ac:dyDescent="0.3">
      <c r="A855" s="34"/>
      <c r="B855" s="16"/>
      <c r="C855" s="15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5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5"/>
      <c r="AI855" s="16"/>
      <c r="AJ855" s="16"/>
      <c r="AK855" s="16"/>
      <c r="AL855" s="16"/>
      <c r="AM855" s="37"/>
      <c r="AN855" s="37"/>
      <c r="AO855" s="37"/>
      <c r="AP855" s="37"/>
      <c r="AQ855" s="37"/>
      <c r="AR855" s="37"/>
      <c r="AS855" s="37"/>
    </row>
    <row r="856" spans="1:45" ht="14.25" customHeight="1" x14ac:dyDescent="0.3">
      <c r="A856" s="34"/>
      <c r="B856" s="16"/>
      <c r="C856" s="15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5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5"/>
      <c r="AI856" s="16"/>
      <c r="AJ856" s="16"/>
      <c r="AK856" s="16"/>
      <c r="AL856" s="16"/>
      <c r="AM856" s="37"/>
      <c r="AN856" s="37"/>
      <c r="AO856" s="37"/>
      <c r="AP856" s="37"/>
      <c r="AQ856" s="37"/>
      <c r="AR856" s="37"/>
      <c r="AS856" s="37"/>
    </row>
    <row r="857" spans="1:45" ht="14.25" customHeight="1" x14ac:dyDescent="0.3">
      <c r="A857" s="34"/>
      <c r="B857" s="16"/>
      <c r="C857" s="15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5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5"/>
      <c r="AI857" s="16"/>
      <c r="AJ857" s="16"/>
      <c r="AK857" s="16"/>
      <c r="AL857" s="16"/>
      <c r="AM857" s="37"/>
      <c r="AN857" s="37"/>
      <c r="AO857" s="37"/>
      <c r="AP857" s="37"/>
      <c r="AQ857" s="37"/>
      <c r="AR857" s="37"/>
      <c r="AS857" s="37"/>
    </row>
    <row r="858" spans="1:45" ht="14.25" customHeight="1" x14ac:dyDescent="0.3">
      <c r="A858" s="34"/>
      <c r="B858" s="16"/>
      <c r="C858" s="15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5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5"/>
      <c r="AI858" s="16"/>
      <c r="AJ858" s="16"/>
      <c r="AK858" s="16"/>
      <c r="AL858" s="16"/>
      <c r="AM858" s="37"/>
      <c r="AN858" s="37"/>
      <c r="AO858" s="37"/>
      <c r="AP858" s="37"/>
      <c r="AQ858" s="37"/>
      <c r="AR858" s="37"/>
      <c r="AS858" s="37"/>
    </row>
    <row r="859" spans="1:45" ht="14.25" customHeight="1" x14ac:dyDescent="0.3">
      <c r="A859" s="34"/>
      <c r="B859" s="16"/>
      <c r="C859" s="15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5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5"/>
      <c r="AI859" s="16"/>
      <c r="AJ859" s="16"/>
      <c r="AK859" s="16"/>
      <c r="AL859" s="16"/>
      <c r="AM859" s="37"/>
      <c r="AN859" s="37"/>
      <c r="AO859" s="37"/>
      <c r="AP859" s="37"/>
      <c r="AQ859" s="37"/>
      <c r="AR859" s="37"/>
      <c r="AS859" s="37"/>
    </row>
    <row r="860" spans="1:45" ht="14.25" customHeight="1" x14ac:dyDescent="0.3">
      <c r="A860" s="34"/>
      <c r="B860" s="16"/>
      <c r="C860" s="15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5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5"/>
      <c r="AI860" s="16"/>
      <c r="AJ860" s="16"/>
      <c r="AK860" s="16"/>
      <c r="AL860" s="16"/>
      <c r="AM860" s="37"/>
      <c r="AN860" s="37"/>
      <c r="AO860" s="37"/>
      <c r="AP860" s="37"/>
      <c r="AQ860" s="37"/>
      <c r="AR860" s="37"/>
      <c r="AS860" s="37"/>
    </row>
    <row r="861" spans="1:45" ht="14.25" customHeight="1" x14ac:dyDescent="0.3">
      <c r="A861" s="34"/>
      <c r="B861" s="16"/>
      <c r="C861" s="15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5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5"/>
      <c r="AI861" s="16"/>
      <c r="AJ861" s="16"/>
      <c r="AK861" s="16"/>
      <c r="AL861" s="16"/>
      <c r="AM861" s="37"/>
      <c r="AN861" s="37"/>
      <c r="AO861" s="37"/>
      <c r="AP861" s="37"/>
      <c r="AQ861" s="37"/>
      <c r="AR861" s="37"/>
      <c r="AS861" s="37"/>
    </row>
    <row r="862" spans="1:45" ht="14.25" customHeight="1" x14ac:dyDescent="0.3">
      <c r="A862" s="34"/>
      <c r="B862" s="16"/>
      <c r="C862" s="15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5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5"/>
      <c r="AI862" s="16"/>
      <c r="AJ862" s="16"/>
      <c r="AK862" s="16"/>
      <c r="AL862" s="16"/>
      <c r="AM862" s="37"/>
      <c r="AN862" s="37"/>
      <c r="AO862" s="37"/>
      <c r="AP862" s="37"/>
      <c r="AQ862" s="37"/>
      <c r="AR862" s="37"/>
      <c r="AS862" s="37"/>
    </row>
    <row r="863" spans="1:45" ht="14.25" customHeight="1" x14ac:dyDescent="0.3">
      <c r="A863" s="34"/>
      <c r="B863" s="16"/>
      <c r="C863" s="15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5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5"/>
      <c r="AI863" s="16"/>
      <c r="AJ863" s="16"/>
      <c r="AK863" s="16"/>
      <c r="AL863" s="16"/>
      <c r="AM863" s="37"/>
      <c r="AN863" s="37"/>
      <c r="AO863" s="37"/>
      <c r="AP863" s="37"/>
      <c r="AQ863" s="37"/>
      <c r="AR863" s="37"/>
      <c r="AS863" s="37"/>
    </row>
    <row r="864" spans="1:45" ht="14.25" customHeight="1" x14ac:dyDescent="0.3">
      <c r="A864" s="34"/>
      <c r="B864" s="16"/>
      <c r="C864" s="15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5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5"/>
      <c r="AI864" s="16"/>
      <c r="AJ864" s="16"/>
      <c r="AK864" s="16"/>
      <c r="AL864" s="16"/>
      <c r="AM864" s="37"/>
      <c r="AN864" s="37"/>
      <c r="AO864" s="37"/>
      <c r="AP864" s="37"/>
      <c r="AQ864" s="37"/>
      <c r="AR864" s="37"/>
      <c r="AS864" s="37"/>
    </row>
    <row r="865" spans="1:45" ht="14.25" customHeight="1" x14ac:dyDescent="0.3">
      <c r="A865" s="34"/>
      <c r="B865" s="16"/>
      <c r="C865" s="15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5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5"/>
      <c r="AI865" s="16"/>
      <c r="AJ865" s="16"/>
      <c r="AK865" s="16"/>
      <c r="AL865" s="16"/>
      <c r="AM865" s="37"/>
      <c r="AN865" s="37"/>
      <c r="AO865" s="37"/>
      <c r="AP865" s="37"/>
      <c r="AQ865" s="37"/>
      <c r="AR865" s="37"/>
      <c r="AS865" s="37"/>
    </row>
    <row r="866" spans="1:45" ht="14.25" customHeight="1" x14ac:dyDescent="0.3">
      <c r="A866" s="34"/>
      <c r="B866" s="16"/>
      <c r="C866" s="15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5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5"/>
      <c r="AI866" s="16"/>
      <c r="AJ866" s="16"/>
      <c r="AK866" s="16"/>
      <c r="AL866" s="16"/>
      <c r="AM866" s="37"/>
      <c r="AN866" s="37"/>
      <c r="AO866" s="37"/>
      <c r="AP866" s="37"/>
      <c r="AQ866" s="37"/>
      <c r="AR866" s="37"/>
      <c r="AS866" s="37"/>
    </row>
    <row r="867" spans="1:45" ht="14.25" customHeight="1" x14ac:dyDescent="0.3">
      <c r="A867" s="34"/>
      <c r="B867" s="16"/>
      <c r="C867" s="15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5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5"/>
      <c r="AI867" s="16"/>
      <c r="AJ867" s="16"/>
      <c r="AK867" s="16"/>
      <c r="AL867" s="16"/>
      <c r="AM867" s="37"/>
      <c r="AN867" s="37"/>
      <c r="AO867" s="37"/>
      <c r="AP867" s="37"/>
      <c r="AQ867" s="37"/>
      <c r="AR867" s="37"/>
      <c r="AS867" s="37"/>
    </row>
    <row r="868" spans="1:45" ht="14.25" customHeight="1" x14ac:dyDescent="0.3">
      <c r="A868" s="34"/>
      <c r="B868" s="16"/>
      <c r="C868" s="15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5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5"/>
      <c r="AI868" s="16"/>
      <c r="AJ868" s="16"/>
      <c r="AK868" s="16"/>
      <c r="AL868" s="16"/>
      <c r="AM868" s="37"/>
      <c r="AN868" s="37"/>
      <c r="AO868" s="37"/>
      <c r="AP868" s="37"/>
      <c r="AQ868" s="37"/>
      <c r="AR868" s="37"/>
      <c r="AS868" s="37"/>
    </row>
    <row r="869" spans="1:45" ht="14.25" customHeight="1" x14ac:dyDescent="0.3">
      <c r="A869" s="34"/>
      <c r="B869" s="16"/>
      <c r="C869" s="15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5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5"/>
      <c r="AI869" s="16"/>
      <c r="AJ869" s="16"/>
      <c r="AK869" s="16"/>
      <c r="AL869" s="16"/>
      <c r="AM869" s="37"/>
      <c r="AN869" s="37"/>
      <c r="AO869" s="37"/>
      <c r="AP869" s="37"/>
      <c r="AQ869" s="37"/>
      <c r="AR869" s="37"/>
      <c r="AS869" s="37"/>
    </row>
    <row r="870" spans="1:45" ht="14.25" customHeight="1" x14ac:dyDescent="0.3">
      <c r="A870" s="34"/>
      <c r="B870" s="16"/>
      <c r="C870" s="15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5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5"/>
      <c r="AI870" s="16"/>
      <c r="AJ870" s="16"/>
      <c r="AK870" s="16"/>
      <c r="AL870" s="16"/>
      <c r="AM870" s="37"/>
      <c r="AN870" s="37"/>
      <c r="AO870" s="37"/>
      <c r="AP870" s="37"/>
      <c r="AQ870" s="37"/>
      <c r="AR870" s="37"/>
      <c r="AS870" s="37"/>
    </row>
    <row r="871" spans="1:45" ht="14.25" customHeight="1" x14ac:dyDescent="0.3">
      <c r="A871" s="34"/>
      <c r="B871" s="16"/>
      <c r="C871" s="15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5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5"/>
      <c r="AI871" s="16"/>
      <c r="AJ871" s="16"/>
      <c r="AK871" s="16"/>
      <c r="AL871" s="16"/>
      <c r="AM871" s="37"/>
      <c r="AN871" s="37"/>
      <c r="AO871" s="37"/>
      <c r="AP871" s="37"/>
      <c r="AQ871" s="37"/>
      <c r="AR871" s="37"/>
      <c r="AS871" s="37"/>
    </row>
    <row r="872" spans="1:45" ht="14.25" customHeight="1" x14ac:dyDescent="0.3">
      <c r="A872" s="34"/>
      <c r="B872" s="16"/>
      <c r="C872" s="15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5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5"/>
      <c r="AI872" s="16"/>
      <c r="AJ872" s="16"/>
      <c r="AK872" s="16"/>
      <c r="AL872" s="16"/>
      <c r="AM872" s="37"/>
      <c r="AN872" s="37"/>
      <c r="AO872" s="37"/>
      <c r="AP872" s="37"/>
      <c r="AQ872" s="37"/>
      <c r="AR872" s="37"/>
      <c r="AS872" s="37"/>
    </row>
    <row r="873" spans="1:45" ht="14.25" customHeight="1" x14ac:dyDescent="0.3">
      <c r="A873" s="34"/>
      <c r="B873" s="16"/>
      <c r="C873" s="15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5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5"/>
      <c r="AI873" s="16"/>
      <c r="AJ873" s="16"/>
      <c r="AK873" s="16"/>
      <c r="AL873" s="16"/>
      <c r="AM873" s="37"/>
      <c r="AN873" s="37"/>
      <c r="AO873" s="37"/>
      <c r="AP873" s="37"/>
      <c r="AQ873" s="37"/>
      <c r="AR873" s="37"/>
      <c r="AS873" s="37"/>
    </row>
    <row r="874" spans="1:45" ht="14.25" customHeight="1" x14ac:dyDescent="0.3">
      <c r="A874" s="34"/>
      <c r="B874" s="16"/>
      <c r="C874" s="15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5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5"/>
      <c r="AI874" s="16"/>
      <c r="AJ874" s="16"/>
      <c r="AK874" s="16"/>
      <c r="AL874" s="16"/>
      <c r="AM874" s="37"/>
      <c r="AN874" s="37"/>
      <c r="AO874" s="37"/>
      <c r="AP874" s="37"/>
      <c r="AQ874" s="37"/>
      <c r="AR874" s="37"/>
      <c r="AS874" s="37"/>
    </row>
    <row r="875" spans="1:45" ht="14.25" customHeight="1" x14ac:dyDescent="0.3">
      <c r="A875" s="34"/>
      <c r="B875" s="16"/>
      <c r="C875" s="15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5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5"/>
      <c r="AI875" s="16"/>
      <c r="AJ875" s="16"/>
      <c r="AK875" s="16"/>
      <c r="AL875" s="16"/>
      <c r="AM875" s="37"/>
      <c r="AN875" s="37"/>
      <c r="AO875" s="37"/>
      <c r="AP875" s="37"/>
      <c r="AQ875" s="37"/>
      <c r="AR875" s="37"/>
      <c r="AS875" s="37"/>
    </row>
    <row r="876" spans="1:45" ht="14.25" customHeight="1" x14ac:dyDescent="0.3">
      <c r="A876" s="34"/>
      <c r="B876" s="16"/>
      <c r="C876" s="15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5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5"/>
      <c r="AI876" s="16"/>
      <c r="AJ876" s="16"/>
      <c r="AK876" s="16"/>
      <c r="AL876" s="16"/>
      <c r="AM876" s="37"/>
      <c r="AN876" s="37"/>
      <c r="AO876" s="37"/>
      <c r="AP876" s="37"/>
      <c r="AQ876" s="37"/>
      <c r="AR876" s="37"/>
      <c r="AS876" s="37"/>
    </row>
    <row r="877" spans="1:45" ht="14.25" customHeight="1" x14ac:dyDescent="0.3">
      <c r="A877" s="34"/>
      <c r="B877" s="16"/>
      <c r="C877" s="15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5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5"/>
      <c r="AI877" s="16"/>
      <c r="AJ877" s="16"/>
      <c r="AK877" s="16"/>
      <c r="AL877" s="16"/>
      <c r="AM877" s="37"/>
      <c r="AN877" s="37"/>
      <c r="AO877" s="37"/>
      <c r="AP877" s="37"/>
      <c r="AQ877" s="37"/>
      <c r="AR877" s="37"/>
      <c r="AS877" s="37"/>
    </row>
    <row r="878" spans="1:45" ht="14.25" customHeight="1" x14ac:dyDescent="0.3">
      <c r="A878" s="34"/>
      <c r="B878" s="16"/>
      <c r="C878" s="15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5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5"/>
      <c r="AI878" s="16"/>
      <c r="AJ878" s="16"/>
      <c r="AK878" s="16"/>
      <c r="AL878" s="16"/>
      <c r="AM878" s="37"/>
      <c r="AN878" s="37"/>
      <c r="AO878" s="37"/>
      <c r="AP878" s="37"/>
      <c r="AQ878" s="37"/>
      <c r="AR878" s="37"/>
      <c r="AS878" s="37"/>
    </row>
    <row r="879" spans="1:45" ht="14.25" customHeight="1" x14ac:dyDescent="0.3">
      <c r="A879" s="34"/>
      <c r="B879" s="16"/>
      <c r="C879" s="15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5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5"/>
      <c r="AI879" s="16"/>
      <c r="AJ879" s="16"/>
      <c r="AK879" s="16"/>
      <c r="AL879" s="16"/>
      <c r="AM879" s="37"/>
      <c r="AN879" s="37"/>
      <c r="AO879" s="37"/>
      <c r="AP879" s="37"/>
      <c r="AQ879" s="37"/>
      <c r="AR879" s="37"/>
      <c r="AS879" s="37"/>
    </row>
    <row r="880" spans="1:45" ht="14.25" customHeight="1" x14ac:dyDescent="0.3">
      <c r="A880" s="34"/>
      <c r="B880" s="16"/>
      <c r="C880" s="15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5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5"/>
      <c r="AI880" s="16"/>
      <c r="AJ880" s="16"/>
      <c r="AK880" s="16"/>
      <c r="AL880" s="16"/>
      <c r="AM880" s="37"/>
      <c r="AN880" s="37"/>
      <c r="AO880" s="37"/>
      <c r="AP880" s="37"/>
      <c r="AQ880" s="37"/>
      <c r="AR880" s="37"/>
      <c r="AS880" s="37"/>
    </row>
    <row r="881" spans="1:45" ht="14.25" customHeight="1" x14ac:dyDescent="0.3">
      <c r="A881" s="34"/>
      <c r="B881" s="16"/>
      <c r="C881" s="15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5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5"/>
      <c r="AI881" s="16"/>
      <c r="AJ881" s="16"/>
      <c r="AK881" s="16"/>
      <c r="AL881" s="16"/>
      <c r="AM881" s="37"/>
      <c r="AN881" s="37"/>
      <c r="AO881" s="37"/>
      <c r="AP881" s="37"/>
      <c r="AQ881" s="37"/>
      <c r="AR881" s="37"/>
      <c r="AS881" s="37"/>
    </row>
    <row r="882" spans="1:45" ht="14.25" customHeight="1" x14ac:dyDescent="0.3">
      <c r="A882" s="34"/>
      <c r="B882" s="16"/>
      <c r="C882" s="15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5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5"/>
      <c r="AI882" s="16"/>
      <c r="AJ882" s="16"/>
      <c r="AK882" s="16"/>
      <c r="AL882" s="16"/>
      <c r="AM882" s="37"/>
      <c r="AN882" s="37"/>
      <c r="AO882" s="37"/>
      <c r="AP882" s="37"/>
      <c r="AQ882" s="37"/>
      <c r="AR882" s="37"/>
      <c r="AS882" s="37"/>
    </row>
    <row r="883" spans="1:45" ht="14.25" customHeight="1" x14ac:dyDescent="0.3">
      <c r="A883" s="34"/>
      <c r="B883" s="16"/>
      <c r="C883" s="15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5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5"/>
      <c r="AI883" s="16"/>
      <c r="AJ883" s="16"/>
      <c r="AK883" s="16"/>
      <c r="AL883" s="16"/>
      <c r="AM883" s="37"/>
      <c r="AN883" s="37"/>
      <c r="AO883" s="37"/>
      <c r="AP883" s="37"/>
      <c r="AQ883" s="37"/>
      <c r="AR883" s="37"/>
      <c r="AS883" s="37"/>
    </row>
    <row r="884" spans="1:45" ht="14.25" customHeight="1" x14ac:dyDescent="0.3">
      <c r="A884" s="34"/>
      <c r="B884" s="16"/>
      <c r="C884" s="15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5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5"/>
      <c r="AI884" s="16"/>
      <c r="AJ884" s="16"/>
      <c r="AK884" s="16"/>
      <c r="AL884" s="16"/>
      <c r="AM884" s="37"/>
      <c r="AN884" s="37"/>
      <c r="AO884" s="37"/>
      <c r="AP884" s="37"/>
      <c r="AQ884" s="37"/>
      <c r="AR884" s="37"/>
      <c r="AS884" s="37"/>
    </row>
    <row r="885" spans="1:45" ht="14.25" customHeight="1" x14ac:dyDescent="0.3">
      <c r="A885" s="34"/>
      <c r="B885" s="16"/>
      <c r="C885" s="15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5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5"/>
      <c r="AI885" s="16"/>
      <c r="AJ885" s="16"/>
      <c r="AK885" s="16"/>
      <c r="AL885" s="16"/>
      <c r="AM885" s="37"/>
      <c r="AN885" s="37"/>
      <c r="AO885" s="37"/>
      <c r="AP885" s="37"/>
      <c r="AQ885" s="37"/>
      <c r="AR885" s="37"/>
      <c r="AS885" s="37"/>
    </row>
    <row r="886" spans="1:45" ht="14.25" customHeight="1" x14ac:dyDescent="0.3">
      <c r="A886" s="34"/>
      <c r="B886" s="16"/>
      <c r="C886" s="15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5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5"/>
      <c r="AI886" s="16"/>
      <c r="AJ886" s="16"/>
      <c r="AK886" s="16"/>
      <c r="AL886" s="16"/>
      <c r="AM886" s="37"/>
      <c r="AN886" s="37"/>
      <c r="AO886" s="37"/>
      <c r="AP886" s="37"/>
      <c r="AQ886" s="37"/>
      <c r="AR886" s="37"/>
      <c r="AS886" s="37"/>
    </row>
    <row r="887" spans="1:45" ht="14.25" customHeight="1" x14ac:dyDescent="0.3">
      <c r="A887" s="34"/>
      <c r="B887" s="16"/>
      <c r="C887" s="15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5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5"/>
      <c r="AI887" s="16"/>
      <c r="AJ887" s="16"/>
      <c r="AK887" s="16"/>
      <c r="AL887" s="16"/>
      <c r="AM887" s="37"/>
      <c r="AN887" s="37"/>
      <c r="AO887" s="37"/>
      <c r="AP887" s="37"/>
      <c r="AQ887" s="37"/>
      <c r="AR887" s="37"/>
      <c r="AS887" s="37"/>
    </row>
    <row r="888" spans="1:45" ht="14.25" customHeight="1" x14ac:dyDescent="0.3">
      <c r="A888" s="34"/>
      <c r="B888" s="16"/>
      <c r="C888" s="15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5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5"/>
      <c r="AI888" s="16"/>
      <c r="AJ888" s="16"/>
      <c r="AK888" s="16"/>
      <c r="AL888" s="16"/>
      <c r="AM888" s="37"/>
      <c r="AN888" s="37"/>
      <c r="AO888" s="37"/>
      <c r="AP888" s="37"/>
      <c r="AQ888" s="37"/>
      <c r="AR888" s="37"/>
      <c r="AS888" s="37"/>
    </row>
    <row r="889" spans="1:45" ht="14.25" customHeight="1" x14ac:dyDescent="0.3">
      <c r="A889" s="34"/>
      <c r="B889" s="16"/>
      <c r="C889" s="15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5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5"/>
      <c r="AI889" s="16"/>
      <c r="AJ889" s="16"/>
      <c r="AK889" s="16"/>
      <c r="AL889" s="16"/>
      <c r="AM889" s="37"/>
      <c r="AN889" s="37"/>
      <c r="AO889" s="37"/>
      <c r="AP889" s="37"/>
      <c r="AQ889" s="37"/>
      <c r="AR889" s="37"/>
      <c r="AS889" s="37"/>
    </row>
    <row r="890" spans="1:45" ht="14.25" customHeight="1" x14ac:dyDescent="0.3">
      <c r="A890" s="34"/>
      <c r="B890" s="16"/>
      <c r="C890" s="15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5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5"/>
      <c r="AI890" s="16"/>
      <c r="AJ890" s="16"/>
      <c r="AK890" s="16"/>
      <c r="AL890" s="16"/>
      <c r="AM890" s="37"/>
      <c r="AN890" s="37"/>
      <c r="AO890" s="37"/>
      <c r="AP890" s="37"/>
      <c r="AQ890" s="37"/>
      <c r="AR890" s="37"/>
      <c r="AS890" s="37"/>
    </row>
    <row r="891" spans="1:45" ht="14.25" customHeight="1" x14ac:dyDescent="0.3">
      <c r="A891" s="34"/>
      <c r="B891" s="16"/>
      <c r="C891" s="15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5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5"/>
      <c r="AI891" s="16"/>
      <c r="AJ891" s="16"/>
      <c r="AK891" s="16"/>
      <c r="AL891" s="16"/>
      <c r="AM891" s="37"/>
      <c r="AN891" s="37"/>
      <c r="AO891" s="37"/>
      <c r="AP891" s="37"/>
      <c r="AQ891" s="37"/>
      <c r="AR891" s="37"/>
      <c r="AS891" s="37"/>
    </row>
    <row r="892" spans="1:45" ht="14.25" customHeight="1" x14ac:dyDescent="0.3">
      <c r="A892" s="34"/>
      <c r="B892" s="16"/>
      <c r="C892" s="15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5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5"/>
      <c r="AI892" s="16"/>
      <c r="AJ892" s="16"/>
      <c r="AK892" s="16"/>
      <c r="AL892" s="16"/>
      <c r="AM892" s="37"/>
      <c r="AN892" s="37"/>
      <c r="AO892" s="37"/>
      <c r="AP892" s="37"/>
      <c r="AQ892" s="37"/>
      <c r="AR892" s="37"/>
      <c r="AS892" s="37"/>
    </row>
    <row r="893" spans="1:45" ht="14.25" customHeight="1" x14ac:dyDescent="0.3">
      <c r="A893" s="34"/>
      <c r="B893" s="16"/>
      <c r="C893" s="15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5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5"/>
      <c r="AI893" s="16"/>
      <c r="AJ893" s="16"/>
      <c r="AK893" s="16"/>
      <c r="AL893" s="16"/>
      <c r="AM893" s="37"/>
      <c r="AN893" s="37"/>
      <c r="AO893" s="37"/>
      <c r="AP893" s="37"/>
      <c r="AQ893" s="37"/>
      <c r="AR893" s="37"/>
      <c r="AS893" s="37"/>
    </row>
    <row r="894" spans="1:45" ht="14.25" customHeight="1" x14ac:dyDescent="0.3">
      <c r="A894" s="34"/>
      <c r="B894" s="16"/>
      <c r="C894" s="15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5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5"/>
      <c r="AI894" s="16"/>
      <c r="AJ894" s="16"/>
      <c r="AK894" s="16"/>
      <c r="AL894" s="16"/>
      <c r="AM894" s="37"/>
      <c r="AN894" s="37"/>
      <c r="AO894" s="37"/>
      <c r="AP894" s="37"/>
      <c r="AQ894" s="37"/>
      <c r="AR894" s="37"/>
      <c r="AS894" s="37"/>
    </row>
    <row r="895" spans="1:45" ht="14.25" customHeight="1" x14ac:dyDescent="0.3">
      <c r="A895" s="34"/>
      <c r="B895" s="16"/>
      <c r="C895" s="15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5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5"/>
      <c r="AI895" s="16"/>
      <c r="AJ895" s="16"/>
      <c r="AK895" s="16"/>
      <c r="AL895" s="16"/>
      <c r="AM895" s="37"/>
      <c r="AN895" s="37"/>
      <c r="AO895" s="37"/>
      <c r="AP895" s="37"/>
      <c r="AQ895" s="37"/>
      <c r="AR895" s="37"/>
      <c r="AS895" s="37"/>
    </row>
    <row r="896" spans="1:45" ht="14.25" customHeight="1" x14ac:dyDescent="0.3">
      <c r="A896" s="34"/>
      <c r="B896" s="16"/>
      <c r="C896" s="15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5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5"/>
      <c r="AI896" s="16"/>
      <c r="AJ896" s="16"/>
      <c r="AK896" s="16"/>
      <c r="AL896" s="16"/>
      <c r="AM896" s="37"/>
      <c r="AN896" s="37"/>
      <c r="AO896" s="37"/>
      <c r="AP896" s="37"/>
      <c r="AQ896" s="37"/>
      <c r="AR896" s="37"/>
      <c r="AS896" s="37"/>
    </row>
    <row r="897" spans="1:45" ht="14.25" customHeight="1" x14ac:dyDescent="0.3">
      <c r="A897" s="34"/>
      <c r="B897" s="16"/>
      <c r="C897" s="15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5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5"/>
      <c r="AI897" s="16"/>
      <c r="AJ897" s="16"/>
      <c r="AK897" s="16"/>
      <c r="AL897" s="16"/>
      <c r="AM897" s="37"/>
      <c r="AN897" s="37"/>
      <c r="AO897" s="37"/>
      <c r="AP897" s="37"/>
      <c r="AQ897" s="37"/>
      <c r="AR897" s="37"/>
      <c r="AS897" s="37"/>
    </row>
    <row r="898" spans="1:45" ht="14.25" customHeight="1" x14ac:dyDescent="0.3">
      <c r="A898" s="34"/>
      <c r="B898" s="16"/>
      <c r="C898" s="15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5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5"/>
      <c r="AI898" s="16"/>
      <c r="AJ898" s="16"/>
      <c r="AK898" s="16"/>
      <c r="AL898" s="16"/>
      <c r="AM898" s="37"/>
      <c r="AN898" s="37"/>
      <c r="AO898" s="37"/>
      <c r="AP898" s="37"/>
      <c r="AQ898" s="37"/>
      <c r="AR898" s="37"/>
      <c r="AS898" s="37"/>
    </row>
    <row r="899" spans="1:45" ht="14.25" customHeight="1" x14ac:dyDescent="0.3">
      <c r="A899" s="34"/>
      <c r="B899" s="16"/>
      <c r="C899" s="15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5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5"/>
      <c r="AI899" s="16"/>
      <c r="AJ899" s="16"/>
      <c r="AK899" s="16"/>
      <c r="AL899" s="16"/>
      <c r="AM899" s="37"/>
      <c r="AN899" s="37"/>
      <c r="AO899" s="37"/>
      <c r="AP899" s="37"/>
      <c r="AQ899" s="37"/>
      <c r="AR899" s="37"/>
      <c r="AS899" s="37"/>
    </row>
    <row r="900" spans="1:45" ht="14.25" customHeight="1" x14ac:dyDescent="0.3">
      <c r="A900" s="34"/>
      <c r="B900" s="16"/>
      <c r="C900" s="15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5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5"/>
      <c r="AI900" s="16"/>
      <c r="AJ900" s="16"/>
      <c r="AK900" s="16"/>
      <c r="AL900" s="16"/>
      <c r="AM900" s="37"/>
      <c r="AN900" s="37"/>
      <c r="AO900" s="37"/>
      <c r="AP900" s="37"/>
      <c r="AQ900" s="37"/>
      <c r="AR900" s="37"/>
      <c r="AS900" s="37"/>
    </row>
    <row r="901" spans="1:45" ht="14.25" customHeight="1" x14ac:dyDescent="0.3">
      <c r="A901" s="34"/>
      <c r="B901" s="16"/>
      <c r="C901" s="15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5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5"/>
      <c r="AI901" s="16"/>
      <c r="AJ901" s="16"/>
      <c r="AK901" s="16"/>
      <c r="AL901" s="16"/>
      <c r="AM901" s="37"/>
      <c r="AN901" s="37"/>
      <c r="AO901" s="37"/>
      <c r="AP901" s="37"/>
      <c r="AQ901" s="37"/>
      <c r="AR901" s="37"/>
      <c r="AS901" s="37"/>
    </row>
    <row r="902" spans="1:45" ht="14.25" customHeight="1" x14ac:dyDescent="0.3">
      <c r="A902" s="34"/>
      <c r="B902" s="16"/>
      <c r="C902" s="15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5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5"/>
      <c r="AI902" s="16"/>
      <c r="AJ902" s="16"/>
      <c r="AK902" s="16"/>
      <c r="AL902" s="16"/>
      <c r="AM902" s="37"/>
      <c r="AN902" s="37"/>
      <c r="AO902" s="37"/>
      <c r="AP902" s="37"/>
      <c r="AQ902" s="37"/>
      <c r="AR902" s="37"/>
      <c r="AS902" s="37"/>
    </row>
    <row r="903" spans="1:45" ht="14.25" customHeight="1" x14ac:dyDescent="0.3">
      <c r="A903" s="34"/>
      <c r="B903" s="16"/>
      <c r="C903" s="15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5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5"/>
      <c r="AI903" s="16"/>
      <c r="AJ903" s="16"/>
      <c r="AK903" s="16"/>
      <c r="AL903" s="16"/>
      <c r="AM903" s="37"/>
      <c r="AN903" s="37"/>
      <c r="AO903" s="37"/>
      <c r="AP903" s="37"/>
      <c r="AQ903" s="37"/>
      <c r="AR903" s="37"/>
      <c r="AS903" s="37"/>
    </row>
    <row r="904" spans="1:45" ht="14.25" customHeight="1" x14ac:dyDescent="0.3">
      <c r="A904" s="34"/>
      <c r="B904" s="16"/>
      <c r="C904" s="15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5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5"/>
      <c r="AI904" s="16"/>
      <c r="AJ904" s="16"/>
      <c r="AK904" s="16"/>
      <c r="AL904" s="16"/>
      <c r="AM904" s="37"/>
      <c r="AN904" s="37"/>
      <c r="AO904" s="37"/>
      <c r="AP904" s="37"/>
      <c r="AQ904" s="37"/>
      <c r="AR904" s="37"/>
      <c r="AS904" s="37"/>
    </row>
    <row r="905" spans="1:45" ht="14.25" customHeight="1" x14ac:dyDescent="0.3">
      <c r="A905" s="34"/>
      <c r="B905" s="16"/>
      <c r="C905" s="15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5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5"/>
      <c r="AI905" s="16"/>
      <c r="AJ905" s="16"/>
      <c r="AK905" s="16"/>
      <c r="AL905" s="16"/>
      <c r="AM905" s="37"/>
      <c r="AN905" s="37"/>
      <c r="AO905" s="37"/>
      <c r="AP905" s="37"/>
      <c r="AQ905" s="37"/>
      <c r="AR905" s="37"/>
      <c r="AS905" s="37"/>
    </row>
    <row r="906" spans="1:45" ht="14.25" customHeight="1" x14ac:dyDescent="0.3">
      <c r="A906" s="34"/>
      <c r="B906" s="16"/>
      <c r="C906" s="15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5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5"/>
      <c r="AI906" s="16"/>
      <c r="AJ906" s="16"/>
      <c r="AK906" s="16"/>
      <c r="AL906" s="16"/>
      <c r="AM906" s="37"/>
      <c r="AN906" s="37"/>
      <c r="AO906" s="37"/>
      <c r="AP906" s="37"/>
      <c r="AQ906" s="37"/>
      <c r="AR906" s="37"/>
      <c r="AS906" s="37"/>
    </row>
    <row r="907" spans="1:45" ht="14.25" customHeight="1" x14ac:dyDescent="0.3">
      <c r="A907" s="34"/>
      <c r="B907" s="16"/>
      <c r="C907" s="15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5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5"/>
      <c r="AI907" s="16"/>
      <c r="AJ907" s="16"/>
      <c r="AK907" s="16"/>
      <c r="AL907" s="16"/>
      <c r="AM907" s="37"/>
      <c r="AN907" s="37"/>
      <c r="AO907" s="37"/>
      <c r="AP907" s="37"/>
      <c r="AQ907" s="37"/>
      <c r="AR907" s="37"/>
      <c r="AS907" s="37"/>
    </row>
    <row r="908" spans="1:45" ht="14.25" customHeight="1" x14ac:dyDescent="0.3">
      <c r="A908" s="34"/>
      <c r="B908" s="16"/>
      <c r="C908" s="15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5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5"/>
      <c r="AI908" s="16"/>
      <c r="AJ908" s="16"/>
      <c r="AK908" s="16"/>
      <c r="AL908" s="16"/>
      <c r="AM908" s="37"/>
      <c r="AN908" s="37"/>
      <c r="AO908" s="37"/>
      <c r="AP908" s="37"/>
      <c r="AQ908" s="37"/>
      <c r="AR908" s="37"/>
      <c r="AS908" s="37"/>
    </row>
    <row r="909" spans="1:45" ht="14.25" customHeight="1" x14ac:dyDescent="0.3">
      <c r="A909" s="34"/>
      <c r="B909" s="16"/>
      <c r="C909" s="15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5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5"/>
      <c r="AI909" s="16"/>
      <c r="AJ909" s="16"/>
      <c r="AK909" s="16"/>
      <c r="AL909" s="16"/>
      <c r="AM909" s="37"/>
      <c r="AN909" s="37"/>
      <c r="AO909" s="37"/>
      <c r="AP909" s="37"/>
      <c r="AQ909" s="37"/>
      <c r="AR909" s="37"/>
      <c r="AS909" s="37"/>
    </row>
    <row r="910" spans="1:45" ht="14.25" customHeight="1" x14ac:dyDescent="0.3">
      <c r="A910" s="34"/>
      <c r="B910" s="16"/>
      <c r="C910" s="15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5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5"/>
      <c r="AI910" s="16"/>
      <c r="AJ910" s="16"/>
      <c r="AK910" s="16"/>
      <c r="AL910" s="16"/>
      <c r="AM910" s="37"/>
      <c r="AN910" s="37"/>
      <c r="AO910" s="37"/>
      <c r="AP910" s="37"/>
      <c r="AQ910" s="37"/>
      <c r="AR910" s="37"/>
      <c r="AS910" s="37"/>
    </row>
    <row r="911" spans="1:45" ht="14.25" customHeight="1" x14ac:dyDescent="0.3">
      <c r="A911" s="34"/>
      <c r="B911" s="16"/>
      <c r="C911" s="15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5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5"/>
      <c r="AI911" s="16"/>
      <c r="AJ911" s="16"/>
      <c r="AK911" s="16"/>
      <c r="AL911" s="16"/>
      <c r="AM911" s="37"/>
      <c r="AN911" s="37"/>
      <c r="AO911" s="37"/>
      <c r="AP911" s="37"/>
      <c r="AQ911" s="37"/>
      <c r="AR911" s="37"/>
      <c r="AS911" s="37"/>
    </row>
    <row r="912" spans="1:45" ht="14.25" customHeight="1" x14ac:dyDescent="0.3">
      <c r="A912" s="34"/>
      <c r="B912" s="16"/>
      <c r="C912" s="15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5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5"/>
      <c r="AI912" s="16"/>
      <c r="AJ912" s="16"/>
      <c r="AK912" s="16"/>
      <c r="AL912" s="16"/>
      <c r="AM912" s="37"/>
      <c r="AN912" s="37"/>
      <c r="AO912" s="37"/>
      <c r="AP912" s="37"/>
      <c r="AQ912" s="37"/>
      <c r="AR912" s="37"/>
      <c r="AS912" s="37"/>
    </row>
    <row r="913" spans="1:45" ht="14.25" customHeight="1" x14ac:dyDescent="0.3">
      <c r="A913" s="34"/>
      <c r="B913" s="16"/>
      <c r="C913" s="15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5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5"/>
      <c r="AI913" s="16"/>
      <c r="AJ913" s="16"/>
      <c r="AK913" s="16"/>
      <c r="AL913" s="16"/>
      <c r="AM913" s="37"/>
      <c r="AN913" s="37"/>
      <c r="AO913" s="37"/>
      <c r="AP913" s="37"/>
      <c r="AQ913" s="37"/>
      <c r="AR913" s="37"/>
      <c r="AS913" s="37"/>
    </row>
    <row r="914" spans="1:45" ht="14.25" customHeight="1" x14ac:dyDescent="0.3">
      <c r="A914" s="34"/>
      <c r="B914" s="16"/>
      <c r="C914" s="15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5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5"/>
      <c r="AI914" s="16"/>
      <c r="AJ914" s="16"/>
      <c r="AK914" s="16"/>
      <c r="AL914" s="16"/>
      <c r="AM914" s="37"/>
      <c r="AN914" s="37"/>
      <c r="AO914" s="37"/>
      <c r="AP914" s="37"/>
      <c r="AQ914" s="37"/>
      <c r="AR914" s="37"/>
      <c r="AS914" s="37"/>
    </row>
    <row r="915" spans="1:45" ht="14.25" customHeight="1" x14ac:dyDescent="0.3">
      <c r="A915" s="34"/>
      <c r="B915" s="16"/>
      <c r="C915" s="15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5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5"/>
      <c r="AI915" s="16"/>
      <c r="AJ915" s="16"/>
      <c r="AK915" s="16"/>
      <c r="AL915" s="16"/>
      <c r="AM915" s="37"/>
      <c r="AN915" s="37"/>
      <c r="AO915" s="37"/>
      <c r="AP915" s="37"/>
      <c r="AQ915" s="37"/>
      <c r="AR915" s="37"/>
      <c r="AS915" s="37"/>
    </row>
    <row r="916" spans="1:45" ht="14.25" customHeight="1" x14ac:dyDescent="0.3">
      <c r="A916" s="34"/>
      <c r="B916" s="16"/>
      <c r="C916" s="15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5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5"/>
      <c r="AI916" s="16"/>
      <c r="AJ916" s="16"/>
      <c r="AK916" s="16"/>
      <c r="AL916" s="16"/>
      <c r="AM916" s="37"/>
      <c r="AN916" s="37"/>
      <c r="AO916" s="37"/>
      <c r="AP916" s="37"/>
      <c r="AQ916" s="37"/>
      <c r="AR916" s="37"/>
      <c r="AS916" s="37"/>
    </row>
    <row r="917" spans="1:45" ht="14.25" customHeight="1" x14ac:dyDescent="0.3">
      <c r="A917" s="34"/>
      <c r="B917" s="16"/>
      <c r="C917" s="15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5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5"/>
      <c r="AI917" s="16"/>
      <c r="AJ917" s="16"/>
      <c r="AK917" s="16"/>
      <c r="AL917" s="16"/>
      <c r="AM917" s="37"/>
      <c r="AN917" s="37"/>
      <c r="AO917" s="37"/>
      <c r="AP917" s="37"/>
      <c r="AQ917" s="37"/>
      <c r="AR917" s="37"/>
      <c r="AS917" s="37"/>
    </row>
    <row r="918" spans="1:45" ht="14.25" customHeight="1" x14ac:dyDescent="0.3">
      <c r="A918" s="34"/>
      <c r="B918" s="16"/>
      <c r="C918" s="15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5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5"/>
      <c r="AI918" s="16"/>
      <c r="AJ918" s="16"/>
      <c r="AK918" s="16"/>
      <c r="AL918" s="16"/>
      <c r="AM918" s="37"/>
      <c r="AN918" s="37"/>
      <c r="AO918" s="37"/>
      <c r="AP918" s="37"/>
      <c r="AQ918" s="37"/>
      <c r="AR918" s="37"/>
      <c r="AS918" s="37"/>
    </row>
    <row r="919" spans="1:45" ht="14.25" customHeight="1" x14ac:dyDescent="0.3">
      <c r="A919" s="34"/>
      <c r="B919" s="16"/>
      <c r="C919" s="15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5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5"/>
      <c r="AI919" s="16"/>
      <c r="AJ919" s="16"/>
      <c r="AK919" s="16"/>
      <c r="AL919" s="16"/>
      <c r="AM919" s="37"/>
      <c r="AN919" s="37"/>
      <c r="AO919" s="37"/>
      <c r="AP919" s="37"/>
      <c r="AQ919" s="37"/>
      <c r="AR919" s="37"/>
      <c r="AS919" s="37"/>
    </row>
    <row r="920" spans="1:45" ht="14.25" customHeight="1" x14ac:dyDescent="0.3">
      <c r="A920" s="34"/>
      <c r="B920" s="16"/>
      <c r="C920" s="15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5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5"/>
      <c r="AI920" s="16"/>
      <c r="AJ920" s="16"/>
      <c r="AK920" s="16"/>
      <c r="AL920" s="16"/>
      <c r="AM920" s="37"/>
      <c r="AN920" s="37"/>
      <c r="AO920" s="37"/>
      <c r="AP920" s="37"/>
      <c r="AQ920" s="37"/>
      <c r="AR920" s="37"/>
      <c r="AS920" s="37"/>
    </row>
    <row r="921" spans="1:45" ht="14.25" customHeight="1" x14ac:dyDescent="0.3">
      <c r="A921" s="34"/>
      <c r="B921" s="16"/>
      <c r="C921" s="15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5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5"/>
      <c r="AI921" s="16"/>
      <c r="AJ921" s="16"/>
      <c r="AK921" s="16"/>
      <c r="AL921" s="16"/>
      <c r="AM921" s="37"/>
      <c r="AN921" s="37"/>
      <c r="AO921" s="37"/>
      <c r="AP921" s="37"/>
      <c r="AQ921" s="37"/>
      <c r="AR921" s="37"/>
      <c r="AS921" s="37"/>
    </row>
    <row r="922" spans="1:45" ht="14.25" customHeight="1" x14ac:dyDescent="0.3">
      <c r="A922" s="34"/>
      <c r="B922" s="16"/>
      <c r="C922" s="15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5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5"/>
      <c r="AI922" s="16"/>
      <c r="AJ922" s="16"/>
      <c r="AK922" s="16"/>
      <c r="AL922" s="16"/>
      <c r="AM922" s="37"/>
      <c r="AN922" s="37"/>
      <c r="AO922" s="37"/>
      <c r="AP922" s="37"/>
      <c r="AQ922" s="37"/>
      <c r="AR922" s="37"/>
      <c r="AS922" s="37"/>
    </row>
    <row r="923" spans="1:45" ht="14.25" customHeight="1" x14ac:dyDescent="0.3">
      <c r="A923" s="34"/>
      <c r="B923" s="16"/>
      <c r="C923" s="15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5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5"/>
      <c r="AI923" s="16"/>
      <c r="AJ923" s="16"/>
      <c r="AK923" s="16"/>
      <c r="AL923" s="16"/>
      <c r="AM923" s="37"/>
      <c r="AN923" s="37"/>
      <c r="AO923" s="37"/>
      <c r="AP923" s="37"/>
      <c r="AQ923" s="37"/>
      <c r="AR923" s="37"/>
      <c r="AS923" s="37"/>
    </row>
    <row r="924" spans="1:45" ht="14.25" customHeight="1" x14ac:dyDescent="0.3">
      <c r="A924" s="34"/>
      <c r="B924" s="16"/>
      <c r="C924" s="15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5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5"/>
      <c r="AI924" s="16"/>
      <c r="AJ924" s="16"/>
      <c r="AK924" s="16"/>
      <c r="AL924" s="16"/>
      <c r="AM924" s="37"/>
      <c r="AN924" s="37"/>
      <c r="AO924" s="37"/>
      <c r="AP924" s="37"/>
      <c r="AQ924" s="37"/>
      <c r="AR924" s="37"/>
      <c r="AS924" s="37"/>
    </row>
    <row r="925" spans="1:45" ht="14.25" customHeight="1" x14ac:dyDescent="0.3">
      <c r="A925" s="34"/>
      <c r="B925" s="16"/>
      <c r="C925" s="15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5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5"/>
      <c r="AI925" s="16"/>
      <c r="AJ925" s="16"/>
      <c r="AK925" s="16"/>
      <c r="AL925" s="16"/>
      <c r="AM925" s="37"/>
      <c r="AN925" s="37"/>
      <c r="AO925" s="37"/>
      <c r="AP925" s="37"/>
      <c r="AQ925" s="37"/>
      <c r="AR925" s="37"/>
      <c r="AS925" s="37"/>
    </row>
    <row r="926" spans="1:45" ht="14.25" customHeight="1" x14ac:dyDescent="0.3">
      <c r="A926" s="34"/>
      <c r="B926" s="16"/>
      <c r="C926" s="15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5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5"/>
      <c r="AI926" s="16"/>
      <c r="AJ926" s="16"/>
      <c r="AK926" s="16"/>
      <c r="AL926" s="16"/>
      <c r="AM926" s="37"/>
      <c r="AN926" s="37"/>
      <c r="AO926" s="37"/>
      <c r="AP926" s="37"/>
      <c r="AQ926" s="37"/>
      <c r="AR926" s="37"/>
      <c r="AS926" s="37"/>
    </row>
    <row r="927" spans="1:45" ht="14.25" customHeight="1" x14ac:dyDescent="0.3">
      <c r="A927" s="34"/>
      <c r="B927" s="16"/>
      <c r="C927" s="15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5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5"/>
      <c r="AI927" s="16"/>
      <c r="AJ927" s="16"/>
      <c r="AK927" s="16"/>
      <c r="AL927" s="16"/>
      <c r="AM927" s="37"/>
      <c r="AN927" s="37"/>
      <c r="AO927" s="37"/>
      <c r="AP927" s="37"/>
      <c r="AQ927" s="37"/>
      <c r="AR927" s="37"/>
      <c r="AS927" s="37"/>
    </row>
    <row r="928" spans="1:45" ht="14.25" customHeight="1" x14ac:dyDescent="0.3">
      <c r="A928" s="34"/>
      <c r="B928" s="16"/>
      <c r="C928" s="15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5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5"/>
      <c r="AI928" s="16"/>
      <c r="AJ928" s="16"/>
      <c r="AK928" s="16"/>
      <c r="AL928" s="16"/>
      <c r="AM928" s="37"/>
      <c r="AN928" s="37"/>
      <c r="AO928" s="37"/>
      <c r="AP928" s="37"/>
      <c r="AQ928" s="37"/>
      <c r="AR928" s="37"/>
      <c r="AS928" s="37"/>
    </row>
    <row r="929" spans="1:45" ht="14.25" customHeight="1" x14ac:dyDescent="0.3">
      <c r="A929" s="34"/>
      <c r="B929" s="16"/>
      <c r="C929" s="15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5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5"/>
      <c r="AI929" s="16"/>
      <c r="AJ929" s="16"/>
      <c r="AK929" s="16"/>
      <c r="AL929" s="16"/>
      <c r="AM929" s="37"/>
      <c r="AN929" s="37"/>
      <c r="AO929" s="37"/>
      <c r="AP929" s="37"/>
      <c r="AQ929" s="37"/>
      <c r="AR929" s="37"/>
      <c r="AS929" s="37"/>
    </row>
    <row r="930" spans="1:45" ht="14.25" customHeight="1" x14ac:dyDescent="0.3">
      <c r="A930" s="34"/>
      <c r="B930" s="16"/>
      <c r="C930" s="15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5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5"/>
      <c r="AI930" s="16"/>
      <c r="AJ930" s="16"/>
      <c r="AK930" s="16"/>
      <c r="AL930" s="16"/>
      <c r="AM930" s="37"/>
      <c r="AN930" s="37"/>
      <c r="AO930" s="37"/>
      <c r="AP930" s="37"/>
      <c r="AQ930" s="37"/>
      <c r="AR930" s="37"/>
      <c r="AS930" s="37"/>
    </row>
    <row r="931" spans="1:45" ht="14.25" customHeight="1" x14ac:dyDescent="0.3">
      <c r="A931" s="34"/>
      <c r="B931" s="16"/>
      <c r="C931" s="15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5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5"/>
      <c r="AI931" s="16"/>
      <c r="AJ931" s="16"/>
      <c r="AK931" s="16"/>
      <c r="AL931" s="16"/>
      <c r="AM931" s="37"/>
      <c r="AN931" s="37"/>
      <c r="AO931" s="37"/>
      <c r="AP931" s="37"/>
      <c r="AQ931" s="37"/>
      <c r="AR931" s="37"/>
      <c r="AS931" s="37"/>
    </row>
    <row r="932" spans="1:45" ht="14.25" customHeight="1" x14ac:dyDescent="0.3">
      <c r="A932" s="34"/>
      <c r="B932" s="16"/>
      <c r="C932" s="15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5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5"/>
      <c r="AI932" s="16"/>
      <c r="AJ932" s="16"/>
      <c r="AK932" s="16"/>
      <c r="AL932" s="16"/>
      <c r="AM932" s="37"/>
      <c r="AN932" s="37"/>
      <c r="AO932" s="37"/>
      <c r="AP932" s="37"/>
      <c r="AQ932" s="37"/>
      <c r="AR932" s="37"/>
      <c r="AS932" s="37"/>
    </row>
    <row r="933" spans="1:45" ht="14.25" customHeight="1" x14ac:dyDescent="0.3">
      <c r="A933" s="34"/>
      <c r="B933" s="16"/>
      <c r="C933" s="15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5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5"/>
      <c r="AI933" s="16"/>
      <c r="AJ933" s="16"/>
      <c r="AK933" s="16"/>
      <c r="AL933" s="16"/>
      <c r="AM933" s="37"/>
      <c r="AN933" s="37"/>
      <c r="AO933" s="37"/>
      <c r="AP933" s="37"/>
      <c r="AQ933" s="37"/>
      <c r="AR933" s="37"/>
      <c r="AS933" s="37"/>
    </row>
    <row r="934" spans="1:45" ht="14.25" customHeight="1" x14ac:dyDescent="0.3">
      <c r="A934" s="34"/>
      <c r="B934" s="16"/>
      <c r="C934" s="15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5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5"/>
      <c r="AI934" s="16"/>
      <c r="AJ934" s="16"/>
      <c r="AK934" s="16"/>
      <c r="AL934" s="16"/>
      <c r="AM934" s="37"/>
      <c r="AN934" s="37"/>
      <c r="AO934" s="37"/>
      <c r="AP934" s="37"/>
      <c r="AQ934" s="37"/>
      <c r="AR934" s="37"/>
      <c r="AS934" s="37"/>
    </row>
    <row r="935" spans="1:45" ht="14.25" customHeight="1" x14ac:dyDescent="0.3">
      <c r="A935" s="34"/>
      <c r="B935" s="16"/>
      <c r="C935" s="15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5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5"/>
      <c r="AI935" s="16"/>
      <c r="AJ935" s="16"/>
      <c r="AK935" s="16"/>
      <c r="AL935" s="16"/>
      <c r="AM935" s="37"/>
      <c r="AN935" s="37"/>
      <c r="AO935" s="37"/>
      <c r="AP935" s="37"/>
      <c r="AQ935" s="37"/>
      <c r="AR935" s="37"/>
      <c r="AS935" s="37"/>
    </row>
    <row r="936" spans="1:45" ht="14.25" customHeight="1" x14ac:dyDescent="0.3">
      <c r="A936" s="34"/>
      <c r="B936" s="16"/>
      <c r="C936" s="15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5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5"/>
      <c r="AI936" s="16"/>
      <c r="AJ936" s="16"/>
      <c r="AK936" s="16"/>
      <c r="AL936" s="16"/>
      <c r="AM936" s="37"/>
      <c r="AN936" s="37"/>
      <c r="AO936" s="37"/>
      <c r="AP936" s="37"/>
      <c r="AQ936" s="37"/>
      <c r="AR936" s="37"/>
      <c r="AS936" s="37"/>
    </row>
    <row r="937" spans="1:45" ht="14.25" customHeight="1" x14ac:dyDescent="0.3">
      <c r="A937" s="34"/>
      <c r="B937" s="16"/>
      <c r="C937" s="15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5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5"/>
      <c r="AI937" s="16"/>
      <c r="AJ937" s="16"/>
      <c r="AK937" s="16"/>
      <c r="AL937" s="16"/>
      <c r="AM937" s="37"/>
      <c r="AN937" s="37"/>
      <c r="AO937" s="37"/>
      <c r="AP937" s="37"/>
      <c r="AQ937" s="37"/>
      <c r="AR937" s="37"/>
      <c r="AS937" s="37"/>
    </row>
    <row r="938" spans="1:45" ht="14.25" customHeight="1" x14ac:dyDescent="0.3">
      <c r="A938" s="34"/>
      <c r="B938" s="16"/>
      <c r="C938" s="15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5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5"/>
      <c r="AI938" s="16"/>
      <c r="AJ938" s="16"/>
      <c r="AK938" s="16"/>
      <c r="AL938" s="16"/>
      <c r="AM938" s="37"/>
      <c r="AN938" s="37"/>
      <c r="AO938" s="37"/>
      <c r="AP938" s="37"/>
      <c r="AQ938" s="37"/>
      <c r="AR938" s="37"/>
      <c r="AS938" s="37"/>
    </row>
    <row r="939" spans="1:45" ht="14.25" customHeight="1" x14ac:dyDescent="0.3">
      <c r="A939" s="34"/>
      <c r="B939" s="16"/>
      <c r="C939" s="15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5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5"/>
      <c r="AI939" s="16"/>
      <c r="AJ939" s="16"/>
      <c r="AK939" s="16"/>
      <c r="AL939" s="16"/>
      <c r="AM939" s="37"/>
      <c r="AN939" s="37"/>
      <c r="AO939" s="37"/>
      <c r="AP939" s="37"/>
      <c r="AQ939" s="37"/>
      <c r="AR939" s="37"/>
      <c r="AS939" s="37"/>
    </row>
    <row r="940" spans="1:45" ht="14.25" customHeight="1" x14ac:dyDescent="0.3">
      <c r="A940" s="34"/>
      <c r="B940" s="16"/>
      <c r="C940" s="15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5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5"/>
      <c r="AI940" s="16"/>
      <c r="AJ940" s="16"/>
      <c r="AK940" s="16"/>
      <c r="AL940" s="16"/>
      <c r="AM940" s="37"/>
      <c r="AN940" s="37"/>
      <c r="AO940" s="37"/>
      <c r="AP940" s="37"/>
      <c r="AQ940" s="37"/>
      <c r="AR940" s="37"/>
      <c r="AS940" s="37"/>
    </row>
    <row r="941" spans="1:45" ht="14.25" customHeight="1" x14ac:dyDescent="0.3">
      <c r="A941" s="34"/>
      <c r="B941" s="16"/>
      <c r="C941" s="15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5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5"/>
      <c r="AI941" s="16"/>
      <c r="AJ941" s="16"/>
      <c r="AK941" s="16"/>
      <c r="AL941" s="16"/>
      <c r="AM941" s="37"/>
      <c r="AN941" s="37"/>
      <c r="AO941" s="37"/>
      <c r="AP941" s="37"/>
      <c r="AQ941" s="37"/>
      <c r="AR941" s="37"/>
      <c r="AS941" s="37"/>
    </row>
    <row r="942" spans="1:45" ht="14.25" customHeight="1" x14ac:dyDescent="0.3">
      <c r="A942" s="34"/>
      <c r="B942" s="16"/>
      <c r="C942" s="15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5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5"/>
      <c r="AI942" s="16"/>
      <c r="AJ942" s="16"/>
      <c r="AK942" s="16"/>
      <c r="AL942" s="16"/>
      <c r="AM942" s="37"/>
      <c r="AN942" s="37"/>
      <c r="AO942" s="37"/>
      <c r="AP942" s="37"/>
      <c r="AQ942" s="37"/>
      <c r="AR942" s="37"/>
      <c r="AS942" s="37"/>
    </row>
    <row r="943" spans="1:45" ht="14.25" customHeight="1" x14ac:dyDescent="0.3">
      <c r="A943" s="34"/>
      <c r="B943" s="16"/>
      <c r="C943" s="15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5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5"/>
      <c r="AI943" s="16"/>
      <c r="AJ943" s="16"/>
      <c r="AK943" s="16"/>
      <c r="AL943" s="16"/>
      <c r="AM943" s="37"/>
      <c r="AN943" s="37"/>
      <c r="AO943" s="37"/>
      <c r="AP943" s="37"/>
      <c r="AQ943" s="37"/>
      <c r="AR943" s="37"/>
      <c r="AS943" s="37"/>
    </row>
    <row r="944" spans="1:45" ht="14.25" customHeight="1" x14ac:dyDescent="0.3">
      <c r="A944" s="34"/>
      <c r="B944" s="16"/>
      <c r="C944" s="15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5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5"/>
      <c r="AI944" s="16"/>
      <c r="AJ944" s="16"/>
      <c r="AK944" s="16"/>
      <c r="AL944" s="16"/>
      <c r="AM944" s="37"/>
      <c r="AN944" s="37"/>
      <c r="AO944" s="37"/>
      <c r="AP944" s="37"/>
      <c r="AQ944" s="37"/>
      <c r="AR944" s="37"/>
      <c r="AS944" s="37"/>
    </row>
    <row r="945" spans="1:45" ht="14.25" customHeight="1" x14ac:dyDescent="0.3">
      <c r="A945" s="34"/>
      <c r="B945" s="16"/>
      <c r="C945" s="15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5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5"/>
      <c r="AI945" s="16"/>
      <c r="AJ945" s="16"/>
      <c r="AK945" s="16"/>
      <c r="AL945" s="16"/>
      <c r="AM945" s="37"/>
      <c r="AN945" s="37"/>
      <c r="AO945" s="37"/>
      <c r="AP945" s="37"/>
      <c r="AQ945" s="37"/>
      <c r="AR945" s="37"/>
      <c r="AS945" s="37"/>
    </row>
    <row r="946" spans="1:45" ht="14.25" customHeight="1" x14ac:dyDescent="0.3">
      <c r="A946" s="34"/>
      <c r="B946" s="16"/>
      <c r="C946" s="15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5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5"/>
      <c r="AI946" s="16"/>
      <c r="AJ946" s="16"/>
      <c r="AK946" s="16"/>
      <c r="AL946" s="16"/>
      <c r="AM946" s="37"/>
      <c r="AN946" s="37"/>
      <c r="AO946" s="37"/>
      <c r="AP946" s="37"/>
      <c r="AQ946" s="37"/>
      <c r="AR946" s="37"/>
      <c r="AS946" s="37"/>
    </row>
    <row r="947" spans="1:45" ht="14.25" customHeight="1" x14ac:dyDescent="0.3">
      <c r="A947" s="34"/>
      <c r="B947" s="16"/>
      <c r="C947" s="15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5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5"/>
      <c r="AI947" s="16"/>
      <c r="AJ947" s="16"/>
      <c r="AK947" s="16"/>
      <c r="AL947" s="16"/>
      <c r="AM947" s="37"/>
      <c r="AN947" s="37"/>
      <c r="AO947" s="37"/>
      <c r="AP947" s="37"/>
      <c r="AQ947" s="37"/>
      <c r="AR947" s="37"/>
      <c r="AS947" s="37"/>
    </row>
    <row r="948" spans="1:45" ht="14.25" customHeight="1" x14ac:dyDescent="0.3">
      <c r="A948" s="34"/>
      <c r="B948" s="16"/>
      <c r="C948" s="15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5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5"/>
      <c r="AI948" s="16"/>
      <c r="AJ948" s="16"/>
      <c r="AK948" s="16"/>
      <c r="AL948" s="16"/>
      <c r="AM948" s="37"/>
      <c r="AN948" s="37"/>
      <c r="AO948" s="37"/>
      <c r="AP948" s="37"/>
      <c r="AQ948" s="37"/>
      <c r="AR948" s="37"/>
      <c r="AS948" s="37"/>
    </row>
    <row r="949" spans="1:45" ht="14.25" customHeight="1" x14ac:dyDescent="0.3">
      <c r="A949" s="34"/>
      <c r="B949" s="16"/>
      <c r="C949" s="15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5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5"/>
      <c r="AI949" s="16"/>
      <c r="AJ949" s="16"/>
      <c r="AK949" s="16"/>
      <c r="AL949" s="16"/>
      <c r="AM949" s="37"/>
      <c r="AN949" s="37"/>
      <c r="AO949" s="37"/>
      <c r="AP949" s="37"/>
      <c r="AQ949" s="37"/>
      <c r="AR949" s="37"/>
      <c r="AS949" s="37"/>
    </row>
    <row r="950" spans="1:45" ht="14.25" customHeight="1" x14ac:dyDescent="0.3">
      <c r="A950" s="34"/>
      <c r="B950" s="16"/>
      <c r="C950" s="15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5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5"/>
      <c r="AI950" s="16"/>
      <c r="AJ950" s="16"/>
      <c r="AK950" s="16"/>
      <c r="AL950" s="16"/>
      <c r="AM950" s="37"/>
      <c r="AN950" s="37"/>
      <c r="AO950" s="37"/>
      <c r="AP950" s="37"/>
      <c r="AQ950" s="37"/>
      <c r="AR950" s="37"/>
      <c r="AS950" s="37"/>
    </row>
    <row r="951" spans="1:45" ht="14.25" customHeight="1" x14ac:dyDescent="0.3">
      <c r="A951" s="34"/>
      <c r="B951" s="16"/>
      <c r="C951" s="15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5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5"/>
      <c r="AI951" s="16"/>
      <c r="AJ951" s="16"/>
      <c r="AK951" s="16"/>
      <c r="AL951" s="16"/>
      <c r="AM951" s="37"/>
      <c r="AN951" s="37"/>
      <c r="AO951" s="37"/>
      <c r="AP951" s="37"/>
      <c r="AQ951" s="37"/>
      <c r="AR951" s="37"/>
      <c r="AS951" s="37"/>
    </row>
    <row r="952" spans="1:45" ht="14.25" customHeight="1" x14ac:dyDescent="0.3">
      <c r="A952" s="34"/>
      <c r="B952" s="16"/>
      <c r="C952" s="15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5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5"/>
      <c r="AI952" s="16"/>
      <c r="AJ952" s="16"/>
      <c r="AK952" s="16"/>
      <c r="AL952" s="16"/>
      <c r="AM952" s="37"/>
      <c r="AN952" s="37"/>
      <c r="AO952" s="37"/>
      <c r="AP952" s="37"/>
      <c r="AQ952" s="37"/>
      <c r="AR952" s="37"/>
      <c r="AS952" s="37"/>
    </row>
    <row r="953" spans="1:45" ht="14.25" customHeight="1" x14ac:dyDescent="0.3">
      <c r="A953" s="34"/>
      <c r="B953" s="16"/>
      <c r="C953" s="15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5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5"/>
      <c r="AI953" s="16"/>
      <c r="AJ953" s="16"/>
      <c r="AK953" s="16"/>
      <c r="AL953" s="16"/>
      <c r="AM953" s="37"/>
      <c r="AN953" s="37"/>
      <c r="AO953" s="37"/>
      <c r="AP953" s="37"/>
      <c r="AQ953" s="37"/>
      <c r="AR953" s="37"/>
      <c r="AS953" s="37"/>
    </row>
    <row r="954" spans="1:45" ht="14.25" customHeight="1" x14ac:dyDescent="0.3">
      <c r="A954" s="34"/>
      <c r="B954" s="16"/>
      <c r="C954" s="15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5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5"/>
      <c r="AI954" s="16"/>
      <c r="AJ954" s="16"/>
      <c r="AK954" s="16"/>
      <c r="AL954" s="16"/>
      <c r="AM954" s="37"/>
      <c r="AN954" s="37"/>
      <c r="AO954" s="37"/>
      <c r="AP954" s="37"/>
      <c r="AQ954" s="37"/>
      <c r="AR954" s="37"/>
      <c r="AS954" s="37"/>
    </row>
    <row r="955" spans="1:45" ht="14.25" customHeight="1" x14ac:dyDescent="0.3">
      <c r="A955" s="34"/>
      <c r="B955" s="16"/>
      <c r="C955" s="15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5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5"/>
      <c r="AI955" s="16"/>
      <c r="AJ955" s="16"/>
      <c r="AK955" s="16"/>
      <c r="AL955" s="16"/>
      <c r="AM955" s="37"/>
      <c r="AN955" s="37"/>
      <c r="AO955" s="37"/>
      <c r="AP955" s="37"/>
      <c r="AQ955" s="37"/>
      <c r="AR955" s="37"/>
      <c r="AS955" s="37"/>
    </row>
    <row r="956" spans="1:45" ht="14.25" customHeight="1" x14ac:dyDescent="0.3">
      <c r="A956" s="34"/>
      <c r="B956" s="16"/>
      <c r="C956" s="15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5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5"/>
      <c r="AI956" s="16"/>
      <c r="AJ956" s="16"/>
      <c r="AK956" s="16"/>
      <c r="AL956" s="16"/>
      <c r="AM956" s="37"/>
      <c r="AN956" s="37"/>
      <c r="AO956" s="37"/>
      <c r="AP956" s="37"/>
      <c r="AQ956" s="37"/>
      <c r="AR956" s="37"/>
      <c r="AS956" s="37"/>
    </row>
    <row r="957" spans="1:45" ht="14.25" customHeight="1" x14ac:dyDescent="0.3">
      <c r="A957" s="34"/>
      <c r="B957" s="16"/>
      <c r="C957" s="15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5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5"/>
      <c r="AI957" s="16"/>
      <c r="AJ957" s="16"/>
      <c r="AK957" s="16"/>
      <c r="AL957" s="16"/>
      <c r="AM957" s="37"/>
      <c r="AN957" s="37"/>
      <c r="AO957" s="37"/>
      <c r="AP957" s="37"/>
      <c r="AQ957" s="37"/>
      <c r="AR957" s="37"/>
      <c r="AS957" s="37"/>
    </row>
    <row r="958" spans="1:45" ht="14.25" customHeight="1" x14ac:dyDescent="0.3">
      <c r="A958" s="34"/>
      <c r="B958" s="16"/>
      <c r="C958" s="15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5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5"/>
      <c r="AI958" s="16"/>
      <c r="AJ958" s="16"/>
      <c r="AK958" s="16"/>
      <c r="AL958" s="16"/>
      <c r="AM958" s="37"/>
      <c r="AN958" s="37"/>
      <c r="AO958" s="37"/>
      <c r="AP958" s="37"/>
      <c r="AQ958" s="37"/>
      <c r="AR958" s="37"/>
      <c r="AS958" s="37"/>
    </row>
    <row r="959" spans="1:45" ht="14.25" customHeight="1" x14ac:dyDescent="0.3">
      <c r="A959" s="34"/>
      <c r="B959" s="16"/>
      <c r="C959" s="15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5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5"/>
      <c r="AI959" s="16"/>
      <c r="AJ959" s="16"/>
      <c r="AK959" s="16"/>
      <c r="AL959" s="16"/>
      <c r="AM959" s="37"/>
      <c r="AN959" s="37"/>
      <c r="AO959" s="37"/>
      <c r="AP959" s="37"/>
      <c r="AQ959" s="37"/>
      <c r="AR959" s="37"/>
      <c r="AS959" s="37"/>
    </row>
    <row r="960" spans="1:45" ht="14.25" customHeight="1" x14ac:dyDescent="0.3">
      <c r="A960" s="34"/>
      <c r="B960" s="16"/>
      <c r="C960" s="15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5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5"/>
      <c r="AI960" s="16"/>
      <c r="AJ960" s="16"/>
      <c r="AK960" s="16"/>
      <c r="AL960" s="16"/>
      <c r="AM960" s="37"/>
      <c r="AN960" s="37"/>
      <c r="AO960" s="37"/>
      <c r="AP960" s="37"/>
      <c r="AQ960" s="37"/>
      <c r="AR960" s="37"/>
      <c r="AS960" s="37"/>
    </row>
    <row r="961" spans="1:45" ht="14.25" customHeight="1" x14ac:dyDescent="0.3">
      <c r="A961" s="34"/>
      <c r="B961" s="16"/>
      <c r="C961" s="15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5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5"/>
      <c r="AI961" s="16"/>
      <c r="AJ961" s="16"/>
      <c r="AK961" s="16"/>
      <c r="AL961" s="16"/>
      <c r="AM961" s="37"/>
      <c r="AN961" s="37"/>
      <c r="AO961" s="37"/>
      <c r="AP961" s="37"/>
      <c r="AQ961" s="37"/>
      <c r="AR961" s="37"/>
      <c r="AS961" s="37"/>
    </row>
    <row r="962" spans="1:45" ht="14.25" customHeight="1" x14ac:dyDescent="0.3">
      <c r="A962" s="34"/>
      <c r="B962" s="16"/>
      <c r="C962" s="15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5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5"/>
      <c r="AI962" s="16"/>
      <c r="AJ962" s="16"/>
      <c r="AK962" s="16"/>
      <c r="AL962" s="16"/>
      <c r="AM962" s="37"/>
      <c r="AN962" s="37"/>
      <c r="AO962" s="37"/>
      <c r="AP962" s="37"/>
      <c r="AQ962" s="37"/>
      <c r="AR962" s="37"/>
      <c r="AS962" s="37"/>
    </row>
    <row r="963" spans="1:45" ht="14.25" customHeight="1" x14ac:dyDescent="0.3">
      <c r="A963" s="34"/>
      <c r="B963" s="16"/>
      <c r="C963" s="15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5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5"/>
      <c r="AI963" s="16"/>
      <c r="AJ963" s="16"/>
      <c r="AK963" s="16"/>
      <c r="AL963" s="16"/>
      <c r="AM963" s="37"/>
      <c r="AN963" s="37"/>
      <c r="AO963" s="37"/>
      <c r="AP963" s="37"/>
      <c r="AQ963" s="37"/>
      <c r="AR963" s="37"/>
      <c r="AS963" s="37"/>
    </row>
    <row r="964" spans="1:45" ht="14.25" customHeight="1" x14ac:dyDescent="0.3">
      <c r="A964" s="34"/>
      <c r="B964" s="16"/>
      <c r="C964" s="15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5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5"/>
      <c r="AI964" s="16"/>
      <c r="AJ964" s="16"/>
      <c r="AK964" s="16"/>
      <c r="AL964" s="16"/>
      <c r="AM964" s="37"/>
      <c r="AN964" s="37"/>
      <c r="AO964" s="37"/>
      <c r="AP964" s="37"/>
      <c r="AQ964" s="37"/>
      <c r="AR964" s="37"/>
      <c r="AS964" s="37"/>
    </row>
    <row r="965" spans="1:45" ht="14.25" customHeight="1" x14ac:dyDescent="0.3">
      <c r="A965" s="34"/>
      <c r="B965" s="16"/>
      <c r="C965" s="15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5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5"/>
      <c r="AI965" s="16"/>
      <c r="AJ965" s="16"/>
      <c r="AK965" s="16"/>
      <c r="AL965" s="16"/>
      <c r="AM965" s="37"/>
      <c r="AN965" s="37"/>
      <c r="AO965" s="37"/>
      <c r="AP965" s="37"/>
      <c r="AQ965" s="37"/>
      <c r="AR965" s="37"/>
      <c r="AS965" s="37"/>
    </row>
    <row r="966" spans="1:45" ht="14.25" customHeight="1" x14ac:dyDescent="0.3">
      <c r="A966" s="34"/>
      <c r="B966" s="16"/>
      <c r="C966" s="15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5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5"/>
      <c r="AI966" s="16"/>
      <c r="AJ966" s="16"/>
      <c r="AK966" s="16"/>
      <c r="AL966" s="16"/>
      <c r="AM966" s="37"/>
      <c r="AN966" s="37"/>
      <c r="AO966" s="37"/>
      <c r="AP966" s="37"/>
      <c r="AQ966" s="37"/>
      <c r="AR966" s="37"/>
      <c r="AS966" s="37"/>
    </row>
    <row r="967" spans="1:45" ht="14.25" customHeight="1" x14ac:dyDescent="0.3">
      <c r="A967" s="34"/>
      <c r="B967" s="16"/>
      <c r="C967" s="15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5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5"/>
      <c r="AI967" s="16"/>
      <c r="AJ967" s="16"/>
      <c r="AK967" s="16"/>
      <c r="AL967" s="16"/>
      <c r="AM967" s="37"/>
      <c r="AN967" s="37"/>
      <c r="AO967" s="37"/>
      <c r="AP967" s="37"/>
      <c r="AQ967" s="37"/>
      <c r="AR967" s="37"/>
      <c r="AS967" s="37"/>
    </row>
    <row r="968" spans="1:45" ht="14.25" customHeight="1" x14ac:dyDescent="0.3">
      <c r="A968" s="34"/>
      <c r="B968" s="16"/>
      <c r="C968" s="15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5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5"/>
      <c r="AI968" s="16"/>
      <c r="AJ968" s="16"/>
      <c r="AK968" s="16"/>
      <c r="AL968" s="16"/>
      <c r="AM968" s="37"/>
      <c r="AN968" s="37"/>
      <c r="AO968" s="37"/>
      <c r="AP968" s="37"/>
      <c r="AQ968" s="37"/>
      <c r="AR968" s="37"/>
      <c r="AS968" s="37"/>
    </row>
    <row r="969" spans="1:45" ht="14.25" customHeight="1" x14ac:dyDescent="0.3">
      <c r="A969" s="34"/>
      <c r="B969" s="16"/>
      <c r="C969" s="15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5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5"/>
      <c r="AI969" s="16"/>
      <c r="AJ969" s="16"/>
      <c r="AK969" s="16"/>
      <c r="AL969" s="16"/>
      <c r="AM969" s="37"/>
      <c r="AN969" s="37"/>
      <c r="AO969" s="37"/>
      <c r="AP969" s="37"/>
      <c r="AQ969" s="37"/>
      <c r="AR969" s="37"/>
      <c r="AS969" s="37"/>
    </row>
    <row r="970" spans="1:45" ht="14.25" customHeight="1" x14ac:dyDescent="0.3">
      <c r="A970" s="34"/>
      <c r="B970" s="16"/>
      <c r="C970" s="15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5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5"/>
      <c r="AI970" s="16"/>
      <c r="AJ970" s="16"/>
      <c r="AK970" s="16"/>
      <c r="AL970" s="16"/>
      <c r="AM970" s="37"/>
      <c r="AN970" s="37"/>
      <c r="AO970" s="37"/>
      <c r="AP970" s="37"/>
      <c r="AQ970" s="37"/>
      <c r="AR970" s="37"/>
      <c r="AS970" s="37"/>
    </row>
    <row r="971" spans="1:45" ht="14.25" customHeight="1" x14ac:dyDescent="0.3">
      <c r="A971" s="34"/>
      <c r="B971" s="16"/>
      <c r="C971" s="15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5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5"/>
      <c r="AI971" s="16"/>
      <c r="AJ971" s="16"/>
      <c r="AK971" s="16"/>
      <c r="AL971" s="16"/>
      <c r="AM971" s="37"/>
      <c r="AN971" s="37"/>
      <c r="AO971" s="37"/>
      <c r="AP971" s="37"/>
      <c r="AQ971" s="37"/>
      <c r="AR971" s="37"/>
      <c r="AS971" s="37"/>
    </row>
    <row r="972" spans="1:45" ht="14.25" customHeight="1" x14ac:dyDescent="0.3">
      <c r="A972" s="34"/>
      <c r="B972" s="16"/>
      <c r="C972" s="15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5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5"/>
      <c r="AI972" s="16"/>
      <c r="AJ972" s="16"/>
      <c r="AK972" s="16"/>
      <c r="AL972" s="16"/>
      <c r="AM972" s="37"/>
      <c r="AN972" s="37"/>
      <c r="AO972" s="37"/>
      <c r="AP972" s="37"/>
      <c r="AQ972" s="37"/>
      <c r="AR972" s="37"/>
      <c r="AS972" s="37"/>
    </row>
    <row r="973" spans="1:45" ht="14.25" customHeight="1" x14ac:dyDescent="0.3">
      <c r="A973" s="34"/>
      <c r="B973" s="16"/>
      <c r="C973" s="15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5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5"/>
      <c r="AI973" s="16"/>
      <c r="AJ973" s="16"/>
      <c r="AK973" s="16"/>
      <c r="AL973" s="16"/>
      <c r="AM973" s="37"/>
      <c r="AN973" s="37"/>
      <c r="AO973" s="37"/>
      <c r="AP973" s="37"/>
      <c r="AQ973" s="37"/>
      <c r="AR973" s="37"/>
      <c r="AS973" s="37"/>
    </row>
    <row r="974" spans="1:45" ht="14.25" customHeight="1" x14ac:dyDescent="0.3">
      <c r="A974" s="34"/>
      <c r="B974" s="16"/>
      <c r="C974" s="15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5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5"/>
      <c r="AI974" s="16"/>
      <c r="AJ974" s="16"/>
      <c r="AK974" s="16"/>
      <c r="AL974" s="16"/>
      <c r="AM974" s="37"/>
      <c r="AN974" s="37"/>
      <c r="AO974" s="37"/>
      <c r="AP974" s="37"/>
      <c r="AQ974" s="37"/>
      <c r="AR974" s="37"/>
      <c r="AS974" s="37"/>
    </row>
    <row r="975" spans="1:45" ht="14.25" customHeight="1" x14ac:dyDescent="0.3">
      <c r="A975" s="34"/>
      <c r="B975" s="16"/>
      <c r="C975" s="15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5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5"/>
      <c r="AI975" s="16"/>
      <c r="AJ975" s="16"/>
      <c r="AK975" s="16"/>
      <c r="AL975" s="16"/>
      <c r="AM975" s="37"/>
      <c r="AN975" s="37"/>
      <c r="AO975" s="37"/>
      <c r="AP975" s="37"/>
      <c r="AQ975" s="37"/>
      <c r="AR975" s="37"/>
      <c r="AS975" s="37"/>
    </row>
    <row r="976" spans="1:45" ht="14.25" customHeight="1" x14ac:dyDescent="0.3">
      <c r="A976" s="34"/>
      <c r="B976" s="16"/>
      <c r="C976" s="15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5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5"/>
      <c r="AI976" s="16"/>
      <c r="AJ976" s="16"/>
      <c r="AK976" s="16"/>
      <c r="AL976" s="16"/>
      <c r="AM976" s="37"/>
      <c r="AN976" s="37"/>
      <c r="AO976" s="37"/>
      <c r="AP976" s="37"/>
      <c r="AQ976" s="37"/>
      <c r="AR976" s="37"/>
      <c r="AS976" s="37"/>
    </row>
    <row r="977" spans="1:45" ht="14.25" customHeight="1" x14ac:dyDescent="0.3">
      <c r="A977" s="34"/>
      <c r="B977" s="16"/>
      <c r="C977" s="15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5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5"/>
      <c r="AI977" s="16"/>
      <c r="AJ977" s="16"/>
      <c r="AK977" s="16"/>
      <c r="AL977" s="16"/>
      <c r="AM977" s="37"/>
      <c r="AN977" s="37"/>
      <c r="AO977" s="37"/>
      <c r="AP977" s="37"/>
      <c r="AQ977" s="37"/>
      <c r="AR977" s="37"/>
      <c r="AS977" s="37"/>
    </row>
    <row r="978" spans="1:45" ht="14.25" customHeight="1" x14ac:dyDescent="0.3">
      <c r="A978" s="34"/>
      <c r="B978" s="16"/>
      <c r="C978" s="15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5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5"/>
      <c r="AI978" s="16"/>
      <c r="AJ978" s="16"/>
      <c r="AK978" s="16"/>
      <c r="AL978" s="16"/>
      <c r="AM978" s="37"/>
      <c r="AN978" s="37"/>
      <c r="AO978" s="37"/>
      <c r="AP978" s="37"/>
      <c r="AQ978" s="37"/>
      <c r="AR978" s="37"/>
      <c r="AS978" s="37"/>
    </row>
    <row r="979" spans="1:45" ht="14.25" customHeight="1" x14ac:dyDescent="0.3">
      <c r="A979" s="34"/>
      <c r="B979" s="16"/>
      <c r="C979" s="15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5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5"/>
      <c r="AI979" s="16"/>
      <c r="AJ979" s="16"/>
      <c r="AK979" s="16"/>
      <c r="AL979" s="16"/>
      <c r="AM979" s="37"/>
      <c r="AN979" s="37"/>
      <c r="AO979" s="37"/>
      <c r="AP979" s="37"/>
      <c r="AQ979" s="37"/>
      <c r="AR979" s="37"/>
      <c r="AS979" s="37"/>
    </row>
    <row r="980" spans="1:45" ht="14.25" customHeight="1" x14ac:dyDescent="0.3">
      <c r="A980" s="34"/>
      <c r="B980" s="16"/>
      <c r="C980" s="15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5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5"/>
      <c r="AI980" s="16"/>
      <c r="AJ980" s="16"/>
      <c r="AK980" s="16"/>
      <c r="AL980" s="16"/>
      <c r="AM980" s="37"/>
      <c r="AN980" s="37"/>
      <c r="AO980" s="37"/>
      <c r="AP980" s="37"/>
      <c r="AQ980" s="37"/>
      <c r="AR980" s="37"/>
      <c r="AS980" s="37"/>
    </row>
    <row r="981" spans="1:45" ht="14.25" customHeight="1" x14ac:dyDescent="0.3">
      <c r="A981" s="34"/>
      <c r="B981" s="16"/>
      <c r="C981" s="15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5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5"/>
      <c r="AI981" s="16"/>
      <c r="AJ981" s="16"/>
      <c r="AK981" s="16"/>
      <c r="AL981" s="16"/>
      <c r="AM981" s="37"/>
      <c r="AN981" s="37"/>
      <c r="AO981" s="37"/>
      <c r="AP981" s="37"/>
      <c r="AQ981" s="37"/>
      <c r="AR981" s="37"/>
      <c r="AS981" s="37"/>
    </row>
    <row r="982" spans="1:45" ht="14.25" customHeight="1" x14ac:dyDescent="0.3">
      <c r="A982" s="34"/>
      <c r="B982" s="16"/>
      <c r="C982" s="15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5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5"/>
      <c r="AI982" s="16"/>
      <c r="AJ982" s="16"/>
      <c r="AK982" s="16"/>
      <c r="AL982" s="16"/>
      <c r="AM982" s="37"/>
      <c r="AN982" s="37"/>
      <c r="AO982" s="37"/>
      <c r="AP982" s="37"/>
      <c r="AQ982" s="37"/>
      <c r="AR982" s="37"/>
      <c r="AS982" s="37"/>
    </row>
    <row r="983" spans="1:45" ht="14.25" customHeight="1" x14ac:dyDescent="0.3">
      <c r="A983" s="34"/>
      <c r="B983" s="16"/>
      <c r="C983" s="15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5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5"/>
      <c r="AI983" s="16"/>
      <c r="AJ983" s="16"/>
      <c r="AK983" s="16"/>
      <c r="AL983" s="16"/>
      <c r="AM983" s="37"/>
      <c r="AN983" s="37"/>
      <c r="AO983" s="37"/>
      <c r="AP983" s="37"/>
      <c r="AQ983" s="37"/>
      <c r="AR983" s="37"/>
      <c r="AS983" s="37"/>
    </row>
    <row r="984" spans="1:45" ht="14.25" customHeight="1" x14ac:dyDescent="0.3">
      <c r="A984" s="34"/>
      <c r="B984" s="16"/>
      <c r="C984" s="15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5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5"/>
      <c r="AI984" s="16"/>
      <c r="AJ984" s="16"/>
      <c r="AK984" s="16"/>
      <c r="AL984" s="16"/>
      <c r="AM984" s="37"/>
      <c r="AN984" s="37"/>
      <c r="AO984" s="37"/>
      <c r="AP984" s="37"/>
      <c r="AQ984" s="37"/>
      <c r="AR984" s="37"/>
      <c r="AS984" s="37"/>
    </row>
    <row r="985" spans="1:45" ht="14.25" customHeight="1" x14ac:dyDescent="0.3">
      <c r="A985" s="34"/>
      <c r="B985" s="16"/>
      <c r="C985" s="15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5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5"/>
      <c r="AI985" s="16"/>
      <c r="AJ985" s="16"/>
      <c r="AK985" s="16"/>
      <c r="AL985" s="16"/>
      <c r="AM985" s="37"/>
      <c r="AN985" s="37"/>
      <c r="AO985" s="37"/>
      <c r="AP985" s="37"/>
      <c r="AQ985" s="37"/>
      <c r="AR985" s="37"/>
      <c r="AS985" s="37"/>
    </row>
    <row r="986" spans="1:45" ht="14.25" customHeight="1" x14ac:dyDescent="0.3">
      <c r="A986" s="34"/>
      <c r="B986" s="16"/>
      <c r="C986" s="15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5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5"/>
      <c r="AI986" s="16"/>
      <c r="AJ986" s="16"/>
      <c r="AK986" s="16"/>
      <c r="AL986" s="16"/>
      <c r="AM986" s="37"/>
      <c r="AN986" s="37"/>
      <c r="AO986" s="37"/>
      <c r="AP986" s="37"/>
      <c r="AQ986" s="37"/>
      <c r="AR986" s="37"/>
      <c r="AS986" s="37"/>
    </row>
    <row r="987" spans="1:45" ht="14.25" customHeight="1" x14ac:dyDescent="0.3">
      <c r="A987" s="34"/>
      <c r="B987" s="16"/>
      <c r="C987" s="15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5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5"/>
      <c r="AI987" s="16"/>
      <c r="AJ987" s="16"/>
      <c r="AK987" s="16"/>
      <c r="AL987" s="16"/>
      <c r="AM987" s="37"/>
      <c r="AN987" s="37"/>
      <c r="AO987" s="37"/>
      <c r="AP987" s="37"/>
      <c r="AQ987" s="37"/>
      <c r="AR987" s="37"/>
      <c r="AS987" s="37"/>
    </row>
    <row r="988" spans="1:45" ht="14.25" customHeight="1" x14ac:dyDescent="0.3">
      <c r="A988" s="34"/>
      <c r="B988" s="16"/>
      <c r="C988" s="15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5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5"/>
      <c r="AI988" s="16"/>
      <c r="AJ988" s="16"/>
      <c r="AK988" s="16"/>
      <c r="AL988" s="16"/>
      <c r="AM988" s="37"/>
      <c r="AN988" s="37"/>
      <c r="AO988" s="37"/>
      <c r="AP988" s="37"/>
      <c r="AQ988" s="37"/>
      <c r="AR988" s="37"/>
      <c r="AS988" s="37"/>
    </row>
    <row r="989" spans="1:45" ht="14.25" customHeight="1" x14ac:dyDescent="0.3">
      <c r="A989" s="34"/>
      <c r="B989" s="16"/>
      <c r="C989" s="15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5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5"/>
      <c r="AI989" s="16"/>
      <c r="AJ989" s="16"/>
      <c r="AK989" s="16"/>
      <c r="AL989" s="16"/>
      <c r="AM989" s="37"/>
      <c r="AN989" s="37"/>
      <c r="AO989" s="37"/>
      <c r="AP989" s="37"/>
      <c r="AQ989" s="37"/>
      <c r="AR989" s="37"/>
      <c r="AS989" s="37"/>
    </row>
    <row r="990" spans="1:45" ht="14.25" customHeight="1" x14ac:dyDescent="0.3">
      <c r="A990" s="34"/>
      <c r="B990" s="16"/>
      <c r="C990" s="15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5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5"/>
      <c r="AI990" s="16"/>
      <c r="AJ990" s="16"/>
      <c r="AK990" s="16"/>
      <c r="AL990" s="16"/>
      <c r="AM990" s="37"/>
      <c r="AN990" s="37"/>
      <c r="AO990" s="37"/>
      <c r="AP990" s="37"/>
      <c r="AQ990" s="37"/>
      <c r="AR990" s="37"/>
      <c r="AS990" s="37"/>
    </row>
    <row r="991" spans="1:45" ht="14.25" customHeight="1" x14ac:dyDescent="0.3">
      <c r="A991" s="34"/>
      <c r="B991" s="16"/>
      <c r="C991" s="15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5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5"/>
      <c r="AI991" s="16"/>
      <c r="AJ991" s="16"/>
      <c r="AK991" s="16"/>
      <c r="AL991" s="16"/>
      <c r="AM991" s="37"/>
      <c r="AN991" s="37"/>
      <c r="AO991" s="37"/>
      <c r="AP991" s="37"/>
      <c r="AQ991" s="37"/>
      <c r="AR991" s="37"/>
      <c r="AS991" s="37"/>
    </row>
    <row r="992" spans="1:45" ht="14.25" customHeight="1" x14ac:dyDescent="0.3">
      <c r="A992" s="34"/>
      <c r="B992" s="16"/>
      <c r="C992" s="15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5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5"/>
      <c r="AI992" s="16"/>
      <c r="AJ992" s="16"/>
      <c r="AK992" s="16"/>
      <c r="AL992" s="16"/>
      <c r="AM992" s="37"/>
      <c r="AN992" s="37"/>
      <c r="AO992" s="37"/>
      <c r="AP992" s="37"/>
      <c r="AQ992" s="37"/>
      <c r="AR992" s="37"/>
      <c r="AS992" s="37"/>
    </row>
    <row r="993" spans="1:45" ht="14.25" customHeight="1" x14ac:dyDescent="0.3">
      <c r="A993" s="34"/>
      <c r="B993" s="16"/>
      <c r="C993" s="15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5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5"/>
      <c r="AI993" s="16"/>
      <c r="AJ993" s="16"/>
      <c r="AK993" s="16"/>
      <c r="AL993" s="16"/>
      <c r="AM993" s="37"/>
      <c r="AN993" s="37"/>
      <c r="AO993" s="37"/>
      <c r="AP993" s="37"/>
      <c r="AQ993" s="37"/>
      <c r="AR993" s="37"/>
      <c r="AS993" s="37"/>
    </row>
    <row r="994" spans="1:45" ht="14.25" customHeight="1" x14ac:dyDescent="0.3">
      <c r="A994" s="34"/>
      <c r="B994" s="16"/>
      <c r="C994" s="15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5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5"/>
      <c r="AI994" s="16"/>
      <c r="AJ994" s="16"/>
      <c r="AK994" s="16"/>
      <c r="AL994" s="16"/>
      <c r="AM994" s="37"/>
      <c r="AN994" s="37"/>
      <c r="AO994" s="37"/>
      <c r="AP994" s="37"/>
      <c r="AQ994" s="37"/>
      <c r="AR994" s="37"/>
      <c r="AS994" s="37"/>
    </row>
    <row r="995" spans="1:45" ht="14.25" customHeight="1" x14ac:dyDescent="0.3">
      <c r="A995" s="34"/>
      <c r="B995" s="16"/>
      <c r="C995" s="15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5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5"/>
      <c r="AI995" s="16"/>
      <c r="AJ995" s="16"/>
      <c r="AK995" s="16"/>
      <c r="AL995" s="16"/>
      <c r="AM995" s="37"/>
      <c r="AN995" s="37"/>
      <c r="AO995" s="37"/>
      <c r="AP995" s="37"/>
      <c r="AQ995" s="37"/>
      <c r="AR995" s="37"/>
      <c r="AS995" s="37"/>
    </row>
    <row r="996" spans="1:45" ht="14.25" customHeight="1" x14ac:dyDescent="0.3">
      <c r="A996" s="34"/>
      <c r="B996" s="16"/>
      <c r="C996" s="15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5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5"/>
      <c r="AI996" s="16"/>
      <c r="AJ996" s="16"/>
      <c r="AK996" s="16"/>
      <c r="AL996" s="16"/>
      <c r="AM996" s="37"/>
      <c r="AN996" s="37"/>
      <c r="AO996" s="37"/>
      <c r="AP996" s="37"/>
      <c r="AQ996" s="37"/>
      <c r="AR996" s="37"/>
      <c r="AS996" s="37"/>
    </row>
    <row r="997" spans="1:45" ht="14.25" customHeight="1" x14ac:dyDescent="0.3">
      <c r="A997" s="34"/>
      <c r="B997" s="16"/>
      <c r="C997" s="15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5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5"/>
      <c r="AI997" s="16"/>
      <c r="AJ997" s="16"/>
      <c r="AK997" s="16"/>
      <c r="AL997" s="16"/>
      <c r="AM997" s="37"/>
      <c r="AN997" s="37"/>
      <c r="AO997" s="37"/>
      <c r="AP997" s="37"/>
      <c r="AQ997" s="37"/>
      <c r="AR997" s="37"/>
      <c r="AS997" s="37"/>
    </row>
    <row r="998" spans="1:45" ht="14.25" customHeight="1" x14ac:dyDescent="0.3">
      <c r="A998" s="34"/>
      <c r="B998" s="16"/>
      <c r="C998" s="15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5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5"/>
      <c r="AI998" s="16"/>
      <c r="AJ998" s="16"/>
      <c r="AK998" s="16"/>
      <c r="AL998" s="16"/>
      <c r="AM998" s="37"/>
      <c r="AN998" s="37"/>
      <c r="AO998" s="37"/>
      <c r="AP998" s="37"/>
      <c r="AQ998" s="37"/>
      <c r="AR998" s="37"/>
      <c r="AS998" s="37"/>
    </row>
    <row r="999" spans="1:45" ht="14.25" customHeight="1" x14ac:dyDescent="0.3">
      <c r="A999" s="34"/>
      <c r="B999" s="16"/>
      <c r="C999" s="15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5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5"/>
      <c r="AI999" s="16"/>
      <c r="AJ999" s="16"/>
      <c r="AK999" s="16"/>
      <c r="AL999" s="16"/>
      <c r="AM999" s="37"/>
      <c r="AN999" s="37"/>
      <c r="AO999" s="37"/>
      <c r="AP999" s="37"/>
      <c r="AQ999" s="37"/>
      <c r="AR999" s="37"/>
      <c r="AS999" s="37"/>
    </row>
    <row r="1000" spans="1:45" ht="14.25" customHeight="1" x14ac:dyDescent="0.3">
      <c r="A1000" s="34"/>
      <c r="B1000" s="16"/>
      <c r="C1000" s="15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5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5"/>
      <c r="AI1000" s="16"/>
      <c r="AJ1000" s="16"/>
      <c r="AK1000" s="16"/>
      <c r="AL1000" s="16"/>
      <c r="AM1000" s="37"/>
      <c r="AN1000" s="37"/>
      <c r="AO1000" s="37"/>
      <c r="AP1000" s="37"/>
      <c r="AQ1000" s="37"/>
      <c r="AR1000" s="37"/>
      <c r="AS1000" s="37"/>
    </row>
  </sheetData>
  <mergeCells count="55">
    <mergeCell ref="C8:D8"/>
    <mergeCell ref="E8:F8"/>
    <mergeCell ref="G8:H8"/>
    <mergeCell ref="I8:J8"/>
    <mergeCell ref="A1:AM1"/>
    <mergeCell ref="E2:M2"/>
    <mergeCell ref="P2:Q2"/>
    <mergeCell ref="E3:M3"/>
    <mergeCell ref="E4:M4"/>
    <mergeCell ref="P4:Q4"/>
    <mergeCell ref="R4:Z4"/>
    <mergeCell ref="A6:B8"/>
    <mergeCell ref="C6:K6"/>
    <mergeCell ref="L6:T6"/>
    <mergeCell ref="P8:Q8"/>
    <mergeCell ref="P3:Q3"/>
    <mergeCell ref="R3:Z3"/>
    <mergeCell ref="C7:D7"/>
    <mergeCell ref="E7:F7"/>
    <mergeCell ref="G7:H7"/>
    <mergeCell ref="I7:J7"/>
    <mergeCell ref="K7:K8"/>
    <mergeCell ref="L7:M7"/>
    <mergeCell ref="R7:S7"/>
    <mergeCell ref="T7:T8"/>
    <mergeCell ref="R8:S8"/>
    <mergeCell ref="L8:M8"/>
    <mergeCell ref="N8:O8"/>
    <mergeCell ref="N7:O7"/>
    <mergeCell ref="P7:Q7"/>
    <mergeCell ref="AF84:AM84"/>
    <mergeCell ref="AF87:AM87"/>
    <mergeCell ref="AF88:AM88"/>
    <mergeCell ref="AF6:AG7"/>
    <mergeCell ref="AH6:AI7"/>
    <mergeCell ref="AJ6:AJ8"/>
    <mergeCell ref="AK6:AK8"/>
    <mergeCell ref="AL6:AL8"/>
    <mergeCell ref="AM6:AM8"/>
    <mergeCell ref="AD6:AE7"/>
    <mergeCell ref="AD8:AE8"/>
    <mergeCell ref="AF8:AG8"/>
    <mergeCell ref="AH8:AI8"/>
    <mergeCell ref="AF83:AM83"/>
    <mergeCell ref="R2:AC2"/>
    <mergeCell ref="Y8:Z8"/>
    <mergeCell ref="AA8:AB8"/>
    <mergeCell ref="U6:AC6"/>
    <mergeCell ref="U7:V7"/>
    <mergeCell ref="W7:X7"/>
    <mergeCell ref="Y7:Z7"/>
    <mergeCell ref="AA7:AB7"/>
    <mergeCell ref="U8:V8"/>
    <mergeCell ref="W8:X8"/>
    <mergeCell ref="AC7:AC8"/>
  </mergeCells>
  <conditionalFormatting sqref="D9:D79 F9:F79 H9:H79 J9:K79 M9:M79 O9:O79 Q9:Q79 S9:T79 V9:V79 X9:X79 Z9:Z79 AB9:AC79 AE9:AE79 AG9:AG79 AI9:AM79">
    <cfRule type="cellIs" dxfId="28" priority="1" operator="greaterThan">
      <formula>3</formula>
    </cfRule>
  </conditionalFormatting>
  <conditionalFormatting sqref="D9:D79 F9:F79 H9:H79 J9:K79 M9:M79 O9:O79 Q9:Q79 S9:T79 V9:V79 X9:X79 Z9:Z79 AB9:AC79 AE9:AE79 AG9:AG79 AI9:AM79">
    <cfRule type="cellIs" dxfId="27" priority="2" operator="greaterThan">
      <formula>3</formula>
    </cfRule>
  </conditionalFormatting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R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4" sqref="E4:M4"/>
    </sheetView>
  </sheetViews>
  <sheetFormatPr defaultColWidth="14.44140625" defaultRowHeight="15" customHeight="1" x14ac:dyDescent="0.3"/>
  <cols>
    <col min="1" max="1" width="2.5546875" customWidth="1"/>
    <col min="2" max="2" width="28.5546875" customWidth="1"/>
    <col min="3" max="29" width="3.44140625" customWidth="1"/>
    <col min="30" max="31" width="3.44140625" hidden="1" customWidth="1"/>
    <col min="32" max="33" width="3.33203125" customWidth="1"/>
    <col min="34" max="34" width="4" customWidth="1"/>
    <col min="35" max="41" width="3.33203125" customWidth="1"/>
    <col min="42" max="44" width="4.6640625" customWidth="1"/>
  </cols>
  <sheetData>
    <row r="1" spans="1:44" ht="12" customHeight="1" x14ac:dyDescent="0.3">
      <c r="A1" s="271" t="s">
        <v>35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  <c r="AM1" s="272"/>
      <c r="AN1" s="272"/>
      <c r="AO1" s="272"/>
      <c r="AP1" s="33"/>
      <c r="AQ1" s="33"/>
      <c r="AR1" s="33"/>
    </row>
    <row r="2" spans="1:44" ht="12" customHeight="1" thickBot="1" x14ac:dyDescent="0.35">
      <c r="A2" s="34"/>
      <c r="B2" s="16"/>
      <c r="C2" s="16"/>
      <c r="D2" s="35" t="s">
        <v>21</v>
      </c>
      <c r="E2" s="273" t="str">
        <f>IF(Settings!$H$1&lt;&gt;0,Settings!$H$1,"")</f>
        <v/>
      </c>
      <c r="F2" s="274"/>
      <c r="G2" s="274"/>
      <c r="H2" s="274"/>
      <c r="I2" s="274"/>
      <c r="J2" s="274"/>
      <c r="K2" s="274"/>
      <c r="L2" s="274"/>
      <c r="M2" s="274"/>
      <c r="N2" s="15"/>
      <c r="O2" s="16"/>
      <c r="P2" s="243" t="s">
        <v>23</v>
      </c>
      <c r="Q2" s="241"/>
      <c r="R2" s="275" t="str">
        <f>IF(Settings!$B$7&lt;&gt;0,Settings!$B$7,"")</f>
        <v/>
      </c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16"/>
      <c r="AE2" s="16"/>
      <c r="AF2" s="16"/>
      <c r="AG2" s="16"/>
      <c r="AH2" s="16"/>
      <c r="AI2" s="16"/>
      <c r="AJ2" s="16"/>
      <c r="AK2" s="37"/>
      <c r="AL2" s="37"/>
      <c r="AM2" s="37"/>
      <c r="AN2" s="37"/>
      <c r="AO2" s="37"/>
      <c r="AP2" s="37"/>
      <c r="AQ2" s="37"/>
      <c r="AR2" s="37"/>
    </row>
    <row r="3" spans="1:44" ht="12" customHeight="1" thickTop="1" thickBot="1" x14ac:dyDescent="0.35">
      <c r="A3" s="34"/>
      <c r="B3" s="16"/>
      <c r="C3" s="16"/>
      <c r="D3" s="35" t="s">
        <v>5</v>
      </c>
      <c r="E3" s="276" t="str">
        <f>IF(Settings!$H$3&lt;&gt;0,Settings!$H$3,"")</f>
        <v/>
      </c>
      <c r="F3" s="234"/>
      <c r="G3" s="234"/>
      <c r="H3" s="234"/>
      <c r="I3" s="234"/>
      <c r="J3" s="234"/>
      <c r="K3" s="234"/>
      <c r="L3" s="234"/>
      <c r="M3" s="234"/>
      <c r="N3" s="15"/>
      <c r="O3" s="16"/>
      <c r="P3" s="243" t="s">
        <v>4</v>
      </c>
      <c r="Q3" s="241"/>
      <c r="R3" s="276" t="str">
        <f>IF(Settings!$H$2&lt;&gt;0,Settings!$H$2,"")</f>
        <v/>
      </c>
      <c r="S3" s="234"/>
      <c r="T3" s="234"/>
      <c r="U3" s="234"/>
      <c r="V3" s="234"/>
      <c r="W3" s="234"/>
      <c r="X3" s="234"/>
      <c r="Y3" s="234"/>
      <c r="Z3" s="234"/>
      <c r="AA3" s="12"/>
      <c r="AB3" s="12"/>
      <c r="AC3" s="12"/>
      <c r="AD3" s="16"/>
      <c r="AE3" s="16"/>
      <c r="AF3" s="16"/>
      <c r="AG3" s="16"/>
      <c r="AH3" s="16"/>
      <c r="AI3" s="16"/>
      <c r="AJ3" s="16"/>
      <c r="AK3" s="37"/>
      <c r="AL3" s="37"/>
      <c r="AM3" s="37"/>
      <c r="AN3" s="37"/>
      <c r="AO3" s="37"/>
      <c r="AP3" s="37"/>
      <c r="AQ3" s="37"/>
      <c r="AR3" s="37"/>
    </row>
    <row r="4" spans="1:44" ht="12" customHeight="1" thickTop="1" thickBot="1" x14ac:dyDescent="0.35">
      <c r="A4" s="34"/>
      <c r="B4" s="16"/>
      <c r="C4" s="16"/>
      <c r="D4" s="35" t="s">
        <v>25</v>
      </c>
      <c r="E4" s="277" t="str">
        <f>IF(Settings!$B$6&lt;&gt;0,Settings!$B$6,"")</f>
        <v/>
      </c>
      <c r="F4" s="234"/>
      <c r="G4" s="234"/>
      <c r="H4" s="234"/>
      <c r="I4" s="234"/>
      <c r="J4" s="234"/>
      <c r="K4" s="234"/>
      <c r="L4" s="234"/>
      <c r="M4" s="234"/>
      <c r="N4" s="15"/>
      <c r="O4" s="16"/>
      <c r="P4" s="240" t="s">
        <v>26</v>
      </c>
      <c r="Q4" s="241"/>
      <c r="R4" s="233" t="str">
        <f>IF(Settings!$B$4&lt;&gt;0,Settings!$B$4,"")</f>
        <v/>
      </c>
      <c r="S4" s="234"/>
      <c r="T4" s="234"/>
      <c r="U4" s="234"/>
      <c r="V4" s="234"/>
      <c r="W4" s="234"/>
      <c r="X4" s="234"/>
      <c r="Y4" s="234"/>
      <c r="Z4" s="234"/>
      <c r="AA4" s="15"/>
      <c r="AB4" s="16"/>
      <c r="AC4" s="16"/>
      <c r="AD4" s="38"/>
      <c r="AE4" s="16"/>
      <c r="AF4" s="16"/>
      <c r="AG4" s="38"/>
      <c r="AH4" s="38"/>
      <c r="AI4" s="38"/>
      <c r="AJ4" s="38"/>
      <c r="AK4" s="37"/>
      <c r="AL4" s="37"/>
      <c r="AM4" s="37"/>
      <c r="AN4" s="37"/>
      <c r="AO4" s="37"/>
      <c r="AP4" s="37"/>
      <c r="AQ4" s="37"/>
      <c r="AR4" s="37"/>
    </row>
    <row r="5" spans="1:44" ht="14.25" customHeight="1" thickTop="1" thickBot="1" x14ac:dyDescent="0.35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37"/>
      <c r="AL5" s="37"/>
      <c r="AM5" s="37"/>
      <c r="AN5" s="37"/>
      <c r="AO5" s="37"/>
      <c r="AP5" s="37"/>
      <c r="AQ5" s="37"/>
      <c r="AR5" s="37"/>
    </row>
    <row r="6" spans="1:44" ht="15" customHeight="1" x14ac:dyDescent="0.3">
      <c r="A6" s="282" t="s">
        <v>36</v>
      </c>
      <c r="B6" s="283"/>
      <c r="C6" s="280" t="str">
        <f>IF(Settings!H17&lt;&gt;0,Settings!H17&amp;"("&amp;Settings!I17&amp;"%)","")</f>
        <v>Quiz(20%)</v>
      </c>
      <c r="D6" s="281"/>
      <c r="E6" s="281"/>
      <c r="F6" s="281"/>
      <c r="G6" s="281"/>
      <c r="H6" s="281"/>
      <c r="I6" s="281"/>
      <c r="J6" s="281"/>
      <c r="K6" s="265"/>
      <c r="L6" s="280" t="str">
        <f>IF(Settings!H18&lt;&gt;0,Settings!H18&amp;"("&amp;Settings!I18&amp;"%)","")</f>
        <v>Assignment(10%)</v>
      </c>
      <c r="M6" s="281"/>
      <c r="N6" s="281"/>
      <c r="O6" s="281"/>
      <c r="P6" s="281"/>
      <c r="Q6" s="281"/>
      <c r="R6" s="281"/>
      <c r="S6" s="281"/>
      <c r="T6" s="265"/>
      <c r="U6" s="280" t="str">
        <f>IF(Settings!H19&gt;0,Settings!H19&amp;"("&amp;Settings!F19&amp;"%)","")</f>
        <v>Graded Activity(30%)</v>
      </c>
      <c r="V6" s="281"/>
      <c r="W6" s="281"/>
      <c r="X6" s="281"/>
      <c r="Y6" s="281"/>
      <c r="Z6" s="281"/>
      <c r="AA6" s="281"/>
      <c r="AB6" s="281"/>
      <c r="AC6" s="265"/>
      <c r="AD6" s="292"/>
      <c r="AE6" s="265"/>
      <c r="AF6" s="294" t="str">
        <f>IF(Settings!H20&lt;&gt;0,LEFT(Settings!H20)&amp;"("&amp;Settings!I20&amp;"%)","")</f>
        <v>A(5%)</v>
      </c>
      <c r="AG6" s="265"/>
      <c r="AH6" s="292" t="str">
        <f>IF(Settings!H21&lt;&gt;0,LEFT(Settings!H21)&amp;"("&amp;Settings!I21&amp;"%)","")</f>
        <v>E(35%)</v>
      </c>
      <c r="AI6" s="265"/>
      <c r="AJ6" s="301" t="s">
        <v>37</v>
      </c>
      <c r="AK6" s="301" t="s">
        <v>38</v>
      </c>
      <c r="AL6" s="301" t="s">
        <v>39</v>
      </c>
      <c r="AM6" s="301" t="s">
        <v>40</v>
      </c>
      <c r="AN6" s="268"/>
      <c r="AO6" s="268" t="s">
        <v>41</v>
      </c>
      <c r="AP6" s="37"/>
      <c r="AQ6" s="37"/>
      <c r="AR6" s="37"/>
    </row>
    <row r="7" spans="1:44" ht="14.25" customHeight="1" x14ac:dyDescent="0.3">
      <c r="A7" s="284"/>
      <c r="B7" s="285"/>
      <c r="C7" s="254"/>
      <c r="D7" s="261"/>
      <c r="E7" s="254"/>
      <c r="F7" s="261"/>
      <c r="G7" s="254"/>
      <c r="H7" s="261"/>
      <c r="I7" s="254"/>
      <c r="J7" s="250"/>
      <c r="K7" s="245" t="s">
        <v>42</v>
      </c>
      <c r="L7" s="254"/>
      <c r="M7" s="261"/>
      <c r="N7" s="254"/>
      <c r="O7" s="261"/>
      <c r="P7" s="254"/>
      <c r="Q7" s="261"/>
      <c r="R7" s="254"/>
      <c r="S7" s="250"/>
      <c r="T7" s="245" t="s">
        <v>42</v>
      </c>
      <c r="U7" s="254"/>
      <c r="V7" s="261"/>
      <c r="W7" s="254"/>
      <c r="X7" s="261"/>
      <c r="Y7" s="254"/>
      <c r="Z7" s="261"/>
      <c r="AA7" s="254"/>
      <c r="AB7" s="250"/>
      <c r="AC7" s="245" t="s">
        <v>42</v>
      </c>
      <c r="AD7" s="266"/>
      <c r="AE7" s="267"/>
      <c r="AF7" s="266"/>
      <c r="AG7" s="267"/>
      <c r="AH7" s="266"/>
      <c r="AI7" s="267"/>
      <c r="AJ7" s="269"/>
      <c r="AK7" s="269"/>
      <c r="AL7" s="269"/>
      <c r="AM7" s="269"/>
      <c r="AN7" s="269"/>
      <c r="AO7" s="269"/>
      <c r="AP7" s="37"/>
      <c r="AQ7" s="37"/>
      <c r="AR7" s="37"/>
    </row>
    <row r="8" spans="1:44" ht="15" customHeight="1" thickBot="1" x14ac:dyDescent="0.35">
      <c r="A8" s="286"/>
      <c r="B8" s="287"/>
      <c r="C8" s="288" t="str">
        <f>CONCATENATE(LEFT(Settings!E9),1)</f>
        <v>Q1</v>
      </c>
      <c r="D8" s="252"/>
      <c r="E8" s="289" t="str">
        <f>CONCATENATE(LEFT(Settings!$E$9),2)</f>
        <v>Q2</v>
      </c>
      <c r="F8" s="256"/>
      <c r="G8" s="289" t="str">
        <f>CONCATENATE(LEFT(Settings!$E$9),3)</f>
        <v>Q3</v>
      </c>
      <c r="H8" s="256"/>
      <c r="I8" s="289" t="str">
        <f>CONCATENATE(LEFT(Settings!$E$9),4)</f>
        <v>Q4</v>
      </c>
      <c r="J8" s="290"/>
      <c r="K8" s="246"/>
      <c r="L8" s="253" t="str">
        <f>CONCATENATE(LEFT(Settings!$E$10),1)</f>
        <v>A1</v>
      </c>
      <c r="M8" s="252"/>
      <c r="N8" s="253" t="str">
        <f>CONCATENATE(LEFT(Settings!$E$10),2)</f>
        <v>A2</v>
      </c>
      <c r="O8" s="252"/>
      <c r="P8" s="253" t="str">
        <f>CONCATENATE(LEFT(Settings!$E$10),3)</f>
        <v>A3</v>
      </c>
      <c r="Q8" s="252"/>
      <c r="R8" s="253" t="str">
        <f>CONCATENATE(LEFT(Settings!$E$10),4)</f>
        <v>A4</v>
      </c>
      <c r="S8" s="252"/>
      <c r="T8" s="246"/>
      <c r="U8" s="255" t="str">
        <f>CONCATENATE(LEFT(Settings!$E$11),1)</f>
        <v>G1</v>
      </c>
      <c r="V8" s="256"/>
      <c r="W8" s="255" t="str">
        <f>CONCATENATE(LEFT(Settings!$E$11),2)</f>
        <v>G2</v>
      </c>
      <c r="X8" s="256"/>
      <c r="Y8" s="255" t="str">
        <f>CONCATENATE(LEFT(Settings!$E$11),3)</f>
        <v>G3</v>
      </c>
      <c r="Z8" s="256"/>
      <c r="AA8" s="255" t="str">
        <f>CONCATENATE(LEFT(Settings!$E$11),4)</f>
        <v>G4</v>
      </c>
      <c r="AB8" s="256"/>
      <c r="AC8" s="246"/>
      <c r="AD8" s="257"/>
      <c r="AE8" s="258"/>
      <c r="AF8" s="270" t="s">
        <v>87</v>
      </c>
      <c r="AG8" s="293"/>
      <c r="AH8" s="270" t="s">
        <v>82</v>
      </c>
      <c r="AI8" s="293"/>
      <c r="AJ8" s="302"/>
      <c r="AK8" s="302"/>
      <c r="AL8" s="302"/>
      <c r="AM8" s="302"/>
      <c r="AN8" s="269"/>
      <c r="AO8" s="302"/>
      <c r="AP8" s="37"/>
      <c r="AQ8" s="37"/>
      <c r="AR8" s="37"/>
    </row>
    <row r="9" spans="1:44" ht="15" customHeight="1" thickBot="1" x14ac:dyDescent="0.35">
      <c r="A9" s="39" t="s">
        <v>43</v>
      </c>
      <c r="B9" s="40" t="s">
        <v>34</v>
      </c>
      <c r="C9" s="41"/>
      <c r="D9" s="42" t="str">
        <f>IF($C$9&lt;&gt;0,VLOOKUP(C9/$C$9*100,TRANSMUTATION_TABLE!$A$2:$B$102,2),"")</f>
        <v/>
      </c>
      <c r="E9" s="41"/>
      <c r="F9" s="42" t="str">
        <f>IF($E$9&lt;&gt;0,VLOOKUP(E9/$E$9*100,TRANSMUTATION_TABLE!$A$2:$B$102,2),"")</f>
        <v/>
      </c>
      <c r="G9" s="41"/>
      <c r="H9" s="42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 t="shared" ref="K9:K69" si="0">IF(COUNT(D9,F9,H9,J9)&gt;0,AVERAGE(D9,F9,H9,J9),"")</f>
        <v/>
      </c>
      <c r="L9" s="41"/>
      <c r="M9" s="42" t="str">
        <f>IF($L$9&lt;&gt;0,VLOOKUP(L9/$L$9*100,TRANSMUTATION_TABLE!$A$2:$B$102,2),"")</f>
        <v/>
      </c>
      <c r="N9" s="41"/>
      <c r="O9" s="42" t="str">
        <f>IF($N$9&lt;&gt;0,VLOOKUP(N9/$N$9*100,TRANSMUTATION_TABLE!$A$2:$B$102,2),"")</f>
        <v/>
      </c>
      <c r="P9" s="41"/>
      <c r="Q9" s="42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 t="shared" ref="T9:T69" si="1">IF(COUNT(M9,O9,Q9,S9)&gt;0,AVERAGE(M9,O9,Q9,S9),"")</f>
        <v/>
      </c>
      <c r="U9" s="41"/>
      <c r="V9" s="42" t="str">
        <f>IF($U$9&lt;&gt;0,VLOOKUP(U9/$U$9*100,TRANSMUTATION_TABLE!$A$2:$B$102,2),"")</f>
        <v/>
      </c>
      <c r="W9" s="41"/>
      <c r="X9" s="42" t="str">
        <f>IF($W$9&lt;&gt;0,VLOOKUP(W9/$W$9*100,TRANSMUTATION_TABLE!$A$2:$B$102,2),"")</f>
        <v/>
      </c>
      <c r="Y9" s="41"/>
      <c r="Z9" s="42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 t="shared" ref="AC9:AC69" si="2">IF(COUNT(V9,X9,Z9,AB9)&gt;0,AVERAGE(V9,X9,Z9,AB9),"")</f>
        <v/>
      </c>
      <c r="AD9" s="41"/>
      <c r="AE9" s="42" t="str">
        <f>IF($AD$9&lt;&gt;0,VLOOKUP(AD9/$AD$9*100,TRANSMUTATION_TABLE!$A$2:$B$102,2),"")</f>
        <v/>
      </c>
      <c r="AF9" s="41">
        <f>Attendance!BW6</f>
        <v>0</v>
      </c>
      <c r="AG9" s="45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45" t="str">
        <f>IF(OR(K9&lt;&gt;"",T9&lt;&gt;"",AC9&lt;&gt;"",AG9&lt;&gt;"",AI9&lt;&gt;""),SUM(PRODUCT(K9,IF(Settings!$I$17&lt;&gt;0,Settings!$I$17/100,0)),PRODUCT(T9,IF(Settings!$I$18&lt;&gt;0,Settings!$I$18/100,0)),PRODUCT(AC9,IF(Settings!$I$19&lt;&gt;0,Settings!$I$19/100,0)),PRODUCT(AG9,IF(Settings!$I$20&lt;&gt;0,Settings!$I$20/100,0)),PRODUCT(AI9,IF(Settings!$I$21&lt;&gt;0,Settings!$I$21/100,0))),"")</f>
        <v/>
      </c>
      <c r="AK9" s="45">
        <v>1</v>
      </c>
      <c r="AL9" s="45">
        <v>1</v>
      </c>
      <c r="AM9" s="45">
        <v>1</v>
      </c>
      <c r="AN9" s="46" t="str">
        <f>IF(AJ9&lt;&gt;"",AVERAGE(AVERAGE(Prelim!AJ9,Midterm!AL9),AVERAGE(SemiFinal!AM9,Final!AJ9)),"")</f>
        <v/>
      </c>
      <c r="AO9" s="45">
        <f t="shared" ref="AO9:AO69" si="3">IF(AN9&gt;3,5,AN9)</f>
        <v>5</v>
      </c>
      <c r="AP9" s="37"/>
      <c r="AQ9" s="37"/>
      <c r="AR9" s="37"/>
    </row>
    <row r="10" spans="1:44" ht="12" customHeight="1" thickBot="1" x14ac:dyDescent="0.35">
      <c r="A10" s="47"/>
      <c r="B10" s="60"/>
      <c r="C10" s="5"/>
      <c r="D10" s="42" t="str">
        <f>IF(AND(B10&lt;&gt;""),IF($C$9&lt;&gt;0,VLOOKUP(C10/$C$9*100,TRANSMUTATION_TABLE!$A$2:$B$102,2),""),"")</f>
        <v/>
      </c>
      <c r="E10" s="5"/>
      <c r="F10" s="42" t="str">
        <f>IF(AND(B10&lt;&gt;""),IF($E$9&lt;&gt;0,VLOOKUP(E10/$E$9*100,TRANSMUTATION_TABLE!$A$2:$B$102,2),""),"")</f>
        <v/>
      </c>
      <c r="G10" s="5"/>
      <c r="H10" s="42" t="str">
        <f>IF(AND(B10&lt;&gt;""),IF($G$9&lt;&gt;0,VLOOKUP(G10/$G$9*100,TRANSMUTATION_TABLE!$A$2:$B$102,2),""),"")</f>
        <v/>
      </c>
      <c r="I10" s="5"/>
      <c r="J10" s="43" t="str">
        <f>IF(AND(B10&lt;&gt;""),IF($I$9&lt;&gt;0,VLOOKUP(I10/$I$9*100,TRANSMUTATION_TABLE!$A$2:$B$102,2),""),"")</f>
        <v/>
      </c>
      <c r="K10" s="48" t="str">
        <f t="shared" si="0"/>
        <v/>
      </c>
      <c r="L10" s="5"/>
      <c r="M10" s="42" t="str">
        <f>IF(AND(B10&lt;&gt;""),IF($L$9&lt;&gt;0,VLOOKUP(L10/$L$9*100,TRANSMUTATION_TABLE!$A$2:$B$102,2),""),"")</f>
        <v/>
      </c>
      <c r="N10" s="5"/>
      <c r="O10" s="42" t="str">
        <f>IF(AND(B10&lt;&gt;""),IF($N$9&lt;&gt;0,VLOOKUP(N10/$N$9*100,TRANSMUTATION_TABLE!$A$2:$B$102,2),""),"")</f>
        <v/>
      </c>
      <c r="P10" s="5"/>
      <c r="Q10" s="42" t="str">
        <f>IF(AND(B10&lt;&gt;""),IF($P$9&lt;&gt;0,VLOOKUP(P10/$P$9*100,TRANSMUTATION_TABLE!$A$2:$B$102,2),""),"")</f>
        <v/>
      </c>
      <c r="R10" s="5"/>
      <c r="S10" s="43" t="str">
        <f>IF(AND(B10&lt;&gt;""),IF($R$9&lt;&gt;0,VLOOKUP(R10/$R$9*100,TRANSMUTATION_TABLE!$A$2:$B$102,2),""),"")</f>
        <v/>
      </c>
      <c r="T10" s="48" t="str">
        <f t="shared" si="1"/>
        <v/>
      </c>
      <c r="U10" s="5"/>
      <c r="V10" s="42" t="str">
        <f>IF(AND(B10&lt;&gt;""),IF($U$9&lt;&gt;0,VLOOKUP(U10/$U$9*100,TRANSMUTATION_TABLE!$A$2:$B$102,2),""),"")</f>
        <v/>
      </c>
      <c r="W10" s="5"/>
      <c r="X10" s="42" t="str">
        <f>IF(AND(B10&lt;&gt;""),IF($W$9&lt;&gt;0,VLOOKUP(W10/$W$9*100,TRANSMUTATION_TABLE!$A$2:$B$102,2),""),"")</f>
        <v/>
      </c>
      <c r="Y10" s="5"/>
      <c r="Z10" s="42" t="str">
        <f>IF(AND(B10&lt;&gt;""),IF($Y$9&lt;&gt;0,VLOOKUP(Y10/$Y$9*100,TRANSMUTATION_TABLE!$A$2:$B$102,2),""),"")</f>
        <v/>
      </c>
      <c r="AA10" s="5"/>
      <c r="AB10" s="43" t="str">
        <f>IF(AND(B10&lt;&gt;""),IF($AA$9&lt;&gt;0,VLOOKUP(AA10/$AA$9*100,TRANSMUTATION_TABLE!$A$2:$B$102,2),""),"")</f>
        <v/>
      </c>
      <c r="AC10" s="48" t="str">
        <f t="shared" si="2"/>
        <v/>
      </c>
      <c r="AD10" s="49"/>
      <c r="AE10" s="42" t="str">
        <f>IF(AND(B10&lt;&gt;""),IF($AD$9&lt;&gt;0,VLOOKUP(AD10/$AD$9*100,TRANSMUTATION_TABLE!$A$2:$B$102,2),""),"")</f>
        <v/>
      </c>
      <c r="AF10" s="50">
        <f>Attendance!BW7</f>
        <v>0</v>
      </c>
      <c r="AG10" s="45" t="str">
        <f>IF(AND(B10&lt;&gt;""),IF($AF$9&lt;&gt;0,VLOOKUP(AF10/$AF$9*100,TRANSMUTATION_TABLE!$A$2:$B$102,2),""),"")</f>
        <v/>
      </c>
      <c r="AH10" s="5"/>
      <c r="AI10" s="45" t="str">
        <f>IF(AND(B10&lt;&gt;""),IF($AH$9&lt;&gt;0,VLOOKUP(AH10/$AH$9*100,TRANSMUTATION_TABLE!$A$2:$B$102,2),""),"")</f>
        <v/>
      </c>
      <c r="AJ10" s="45" t="str">
        <f>IF(OR(K10&lt;&gt;"",T10&lt;&gt;"",AC10&lt;&gt;"",AG10&lt;&gt;"",AI10&lt;&gt;""),SUM(PRODUCT(K10,IF(Settings!$I$17&lt;&gt;0,Settings!$I$17/100,0)),PRODUCT(T10,IF(Settings!$I$18&lt;&gt;0,Settings!$I$18/100,0)),PRODUCT(AC10,IF(Settings!$I$19&lt;&gt;0,Settings!$I$19/100,0)),PRODUCT(AG10,IF(Settings!$I$20&lt;&gt;0,Settings!$I$20/100,0)),PRODUCT(AI10,IF(Settings!$I$21&lt;&gt;0,Settings!$I$21/100,0))),"")</f>
        <v/>
      </c>
      <c r="AK10" s="45" t="str">
        <f>Prelim!AJ10</f>
        <v/>
      </c>
      <c r="AL10" s="45" t="str">
        <f>Midterm!AL10</f>
        <v/>
      </c>
      <c r="AM10" s="45" t="str">
        <f>SemiFinal!AM10</f>
        <v/>
      </c>
      <c r="AN10" s="51" t="str">
        <f>IF(AJ10&lt;&gt;"",AVERAGE(AVERAGE(Prelim!AJ10,Midterm!AL10),AVERAGE(SemiFinal!AM10,Final!AJ10)),"")</f>
        <v/>
      </c>
      <c r="AO10" s="45">
        <f t="shared" si="3"/>
        <v>5</v>
      </c>
      <c r="AP10" s="37"/>
      <c r="AQ10" s="37"/>
      <c r="AR10" s="37"/>
    </row>
    <row r="11" spans="1:44" ht="12" customHeight="1" thickBot="1" x14ac:dyDescent="0.35">
      <c r="A11" s="52"/>
      <c r="B11" s="60"/>
      <c r="C11" s="5"/>
      <c r="D11" s="42" t="str">
        <f>IF(AND(B11&lt;&gt;""),IF($C$9&lt;&gt;0,VLOOKUP(C11/$C$9*100,TRANSMUTATION_TABLE!$A$2:$B$102,2),""),"")</f>
        <v/>
      </c>
      <c r="E11" s="5"/>
      <c r="F11" s="42" t="str">
        <f>IF(AND(B11&lt;&gt;""),IF($E$9&lt;&gt;0,VLOOKUP(E11/$E$9*100,TRANSMUTATION_TABLE!$A$2:$B$102,2),""),"")</f>
        <v/>
      </c>
      <c r="G11" s="5"/>
      <c r="H11" s="42" t="str">
        <f>IF(AND(B11&lt;&gt;""),IF($G$9&lt;&gt;0,VLOOKUP(G11/$G$9*100,TRANSMUTATION_TABLE!$A$2:$B$102,2),""),"")</f>
        <v/>
      </c>
      <c r="I11" s="5"/>
      <c r="J11" s="43" t="str">
        <f>IF(AND(B11&lt;&gt;""),IF($I$9&lt;&gt;0,VLOOKUP(I11/$I$9*100,TRANSMUTATION_TABLE!$A$2:$B$102,2),""),"")</f>
        <v/>
      </c>
      <c r="K11" s="48" t="str">
        <f t="shared" si="0"/>
        <v/>
      </c>
      <c r="L11" s="5"/>
      <c r="M11" s="42" t="str">
        <f>IF(AND(B11&lt;&gt;""),IF($L$9&lt;&gt;0,VLOOKUP(L11/$L$9*100,TRANSMUTATION_TABLE!$A$2:$B$102,2),""),"")</f>
        <v/>
      </c>
      <c r="N11" s="5"/>
      <c r="O11" s="42" t="str">
        <f>IF(AND(B11&lt;&gt;""),IF($N$9&lt;&gt;0,VLOOKUP(N11/$N$9*100,TRANSMUTATION_TABLE!$A$2:$B$102,2),""),"")</f>
        <v/>
      </c>
      <c r="P11" s="5"/>
      <c r="Q11" s="42" t="str">
        <f>IF(AND(B11&lt;&gt;""),IF($P$9&lt;&gt;0,VLOOKUP(P11/$P$9*100,TRANSMUTATION_TABLE!$A$2:$B$102,2),""),"")</f>
        <v/>
      </c>
      <c r="R11" s="5"/>
      <c r="S11" s="43" t="str">
        <f>IF(AND(B11&lt;&gt;""),IF($R$9&lt;&gt;0,VLOOKUP(R11/$R$9*100,TRANSMUTATION_TABLE!$A$2:$B$102,2),""),"")</f>
        <v/>
      </c>
      <c r="T11" s="48" t="str">
        <f t="shared" si="1"/>
        <v/>
      </c>
      <c r="U11" s="5"/>
      <c r="V11" s="42" t="str">
        <f>IF(AND(B11&lt;&gt;""),IF($U$9&lt;&gt;0,VLOOKUP(U11/$U$9*100,TRANSMUTATION_TABLE!$A$2:$B$102,2),""),"")</f>
        <v/>
      </c>
      <c r="W11" s="5"/>
      <c r="X11" s="42" t="str">
        <f>IF(AND(B11&lt;&gt;""),IF($W$9&lt;&gt;0,VLOOKUP(W11/$W$9*100,TRANSMUTATION_TABLE!$A$2:$B$102,2),""),"")</f>
        <v/>
      </c>
      <c r="Y11" s="5"/>
      <c r="Z11" s="42" t="str">
        <f>IF(AND(B11&lt;&gt;""),IF($Y$9&lt;&gt;0,VLOOKUP(Y11/$Y$9*100,TRANSMUTATION_TABLE!$A$2:$B$102,2),""),"")</f>
        <v/>
      </c>
      <c r="AA11" s="5"/>
      <c r="AB11" s="43" t="str">
        <f>IF(AND(B11&lt;&gt;""),IF($AA$9&lt;&gt;0,VLOOKUP(AA11/$AA$9*100,TRANSMUTATION_TABLE!$A$2:$B$102,2),""),"")</f>
        <v/>
      </c>
      <c r="AC11" s="48" t="str">
        <f t="shared" si="2"/>
        <v/>
      </c>
      <c r="AD11" s="53"/>
      <c r="AE11" s="42" t="str">
        <f>IF(AND(B11&lt;&gt;""),IF($AD$9&lt;&gt;0,VLOOKUP(AD11/$AD$9*100,TRANSMUTATION_TABLE!$A$2:$B$102,2),""),"")</f>
        <v/>
      </c>
      <c r="AF11" s="50">
        <f>Attendance!BW8</f>
        <v>0</v>
      </c>
      <c r="AG11" s="45" t="str">
        <f>IF(AND(B11&lt;&gt;""),IF($AF$9&lt;&gt;0,VLOOKUP(AF11/$AF$9*100,TRANSMUTATION_TABLE!$A$2:$B$102,2),""),"")</f>
        <v/>
      </c>
      <c r="AH11" s="5"/>
      <c r="AI11" s="45" t="str">
        <f>IF(AND(B11&lt;&gt;""),IF($AH$9&lt;&gt;0,VLOOKUP(AH11/$AH$9*100,TRANSMUTATION_TABLE!$A$2:$B$102,2),""),"")</f>
        <v/>
      </c>
      <c r="AJ11" s="45" t="str">
        <f>IF(OR(K11&lt;&gt;"",T11&lt;&gt;"",AC11&lt;&gt;"",AG11&lt;&gt;"",AI11&lt;&gt;""),SUM(PRODUCT(K11,IF(Settings!$I$17&lt;&gt;0,Settings!$I$17/100,0)),PRODUCT(T11,IF(Settings!$I$18&lt;&gt;0,Settings!$I$18/100,0)),PRODUCT(AC11,IF(Settings!$I$19&lt;&gt;0,Settings!$I$19/100,0)),PRODUCT(AG11,IF(Settings!$I$20&lt;&gt;0,Settings!$I$20/100,0)),PRODUCT(AI11,IF(Settings!$I$21&lt;&gt;0,Settings!$I$21/100,0))),"")</f>
        <v/>
      </c>
      <c r="AK11" s="45" t="str">
        <f>Prelim!AJ11</f>
        <v/>
      </c>
      <c r="AL11" s="45" t="str">
        <f>Midterm!AL11</f>
        <v/>
      </c>
      <c r="AM11" s="45" t="str">
        <f>SemiFinal!AM11</f>
        <v/>
      </c>
      <c r="AN11" s="46" t="str">
        <f>IF(AJ11&lt;&gt;"",AVERAGE(AVERAGE(Prelim!AJ11,Midterm!AL11),AVERAGE(SemiFinal!AM11,Final!AJ11)),"")</f>
        <v/>
      </c>
      <c r="AO11" s="45">
        <f t="shared" si="3"/>
        <v>5</v>
      </c>
      <c r="AP11" s="37"/>
      <c r="AQ11" s="37"/>
      <c r="AR11" s="37"/>
    </row>
    <row r="12" spans="1:44" ht="12" customHeight="1" thickBot="1" x14ac:dyDescent="0.35">
      <c r="A12" s="52"/>
      <c r="B12" s="60"/>
      <c r="C12" s="5"/>
      <c r="D12" s="42" t="str">
        <f>IF(AND(B12&lt;&gt;""),IF($C$9&lt;&gt;0,VLOOKUP(C12/$C$9*100,TRANSMUTATION_TABLE!$A$2:$B$102,2),""),"")</f>
        <v/>
      </c>
      <c r="E12" s="5"/>
      <c r="F12" s="42" t="str">
        <f>IF(AND(B12&lt;&gt;""),IF($E$9&lt;&gt;0,VLOOKUP(E12/$E$9*100,TRANSMUTATION_TABLE!$A$2:$B$102,2),""),"")</f>
        <v/>
      </c>
      <c r="G12" s="5"/>
      <c r="H12" s="42" t="str">
        <f>IF(AND(B12&lt;&gt;""),IF($G$9&lt;&gt;0,VLOOKUP(G12/$G$9*100,TRANSMUTATION_TABLE!$A$2:$B$102,2),""),"")</f>
        <v/>
      </c>
      <c r="I12" s="5"/>
      <c r="J12" s="43" t="str">
        <f>IF(AND(B12&lt;&gt;""),IF($I$9&lt;&gt;0,VLOOKUP(I12/$I$9*100,TRANSMUTATION_TABLE!$A$2:$B$102,2),""),"")</f>
        <v/>
      </c>
      <c r="K12" s="48" t="str">
        <f t="shared" si="0"/>
        <v/>
      </c>
      <c r="L12" s="5"/>
      <c r="M12" s="42" t="str">
        <f>IF(AND(B12&lt;&gt;""),IF($L$9&lt;&gt;0,VLOOKUP(L12/$L$9*100,TRANSMUTATION_TABLE!$A$2:$B$102,2),""),"")</f>
        <v/>
      </c>
      <c r="N12" s="5"/>
      <c r="O12" s="42" t="str">
        <f>IF(AND(B12&lt;&gt;""),IF($N$9&lt;&gt;0,VLOOKUP(N12/$N$9*100,TRANSMUTATION_TABLE!$A$2:$B$102,2),""),"")</f>
        <v/>
      </c>
      <c r="P12" s="5"/>
      <c r="Q12" s="42" t="str">
        <f>IF(AND(B12&lt;&gt;""),IF($P$9&lt;&gt;0,VLOOKUP(P12/$P$9*100,TRANSMUTATION_TABLE!$A$2:$B$102,2),""),"")</f>
        <v/>
      </c>
      <c r="R12" s="5"/>
      <c r="S12" s="43" t="str">
        <f>IF(AND(B12&lt;&gt;""),IF($R$9&lt;&gt;0,VLOOKUP(R12/$R$9*100,TRANSMUTATION_TABLE!$A$2:$B$102,2),""),"")</f>
        <v/>
      </c>
      <c r="T12" s="48" t="str">
        <f t="shared" si="1"/>
        <v/>
      </c>
      <c r="U12" s="5"/>
      <c r="V12" s="42" t="str">
        <f>IF(AND(B12&lt;&gt;""),IF($U$9&lt;&gt;0,VLOOKUP(U12/$U$9*100,TRANSMUTATION_TABLE!$A$2:$B$102,2),""),"")</f>
        <v/>
      </c>
      <c r="W12" s="5"/>
      <c r="X12" s="42" t="str">
        <f>IF(AND(B12&lt;&gt;""),IF($W$9&lt;&gt;0,VLOOKUP(W12/$W$9*100,TRANSMUTATION_TABLE!$A$2:$B$102,2),""),"")</f>
        <v/>
      </c>
      <c r="Y12" s="5"/>
      <c r="Z12" s="42" t="str">
        <f>IF(AND(B12&lt;&gt;""),IF($Y$9&lt;&gt;0,VLOOKUP(Y12/$Y$9*100,TRANSMUTATION_TABLE!$A$2:$B$102,2),""),"")</f>
        <v/>
      </c>
      <c r="AA12" s="5"/>
      <c r="AB12" s="43" t="str">
        <f>IF(AND(B12&lt;&gt;""),IF($AA$9&lt;&gt;0,VLOOKUP(AA12/$AA$9*100,TRANSMUTATION_TABLE!$A$2:$B$102,2),""),"")</f>
        <v/>
      </c>
      <c r="AC12" s="48" t="str">
        <f t="shared" si="2"/>
        <v/>
      </c>
      <c r="AD12" s="53"/>
      <c r="AE12" s="42" t="str">
        <f>IF(AND(B12&lt;&gt;""),IF($AD$9&lt;&gt;0,VLOOKUP(AD12/$AD$9*100,TRANSMUTATION_TABLE!$A$2:$B$102,2),""),"")</f>
        <v/>
      </c>
      <c r="AF12" s="50">
        <f>Attendance!BW9</f>
        <v>0</v>
      </c>
      <c r="AG12" s="45" t="str">
        <f>IF(AND(B12&lt;&gt;""),IF($AF$9&lt;&gt;0,VLOOKUP(AF12/$AF$9*100,TRANSMUTATION_TABLE!$A$2:$B$102,2),""),"")</f>
        <v/>
      </c>
      <c r="AH12" s="5"/>
      <c r="AI12" s="45" t="str">
        <f>IF(AND(B12&lt;&gt;""),IF($AH$9&lt;&gt;0,VLOOKUP(AH12/$AH$9*100,TRANSMUTATION_TABLE!$A$2:$B$102,2),""),"")</f>
        <v/>
      </c>
      <c r="AJ12" s="45" t="str">
        <f>IF(OR(K12&lt;&gt;"",T12&lt;&gt;"",AC12&lt;&gt;"",AG12&lt;&gt;"",AI12&lt;&gt;""),SUM(PRODUCT(K12,IF(Settings!$I$17&lt;&gt;0,Settings!$I$17/100,0)),PRODUCT(T12,IF(Settings!$I$18&lt;&gt;0,Settings!$I$18/100,0)),PRODUCT(AC12,IF(Settings!$I$19&lt;&gt;0,Settings!$I$19/100,0)),PRODUCT(AG12,IF(Settings!$I$20&lt;&gt;0,Settings!$I$20/100,0)),PRODUCT(AI12,IF(Settings!$I$21&lt;&gt;0,Settings!$I$21/100,0))),"")</f>
        <v/>
      </c>
      <c r="AK12" s="45" t="str">
        <f>Prelim!AJ12</f>
        <v/>
      </c>
      <c r="AL12" s="45" t="str">
        <f>Midterm!AL12</f>
        <v/>
      </c>
      <c r="AM12" s="45" t="str">
        <f>SemiFinal!AM12</f>
        <v/>
      </c>
      <c r="AN12" s="46" t="str">
        <f>IF(AJ12&lt;&gt;"",AVERAGE(AVERAGE(Prelim!AJ12,Midterm!AL12),AVERAGE(SemiFinal!AM12,Final!AJ12)),"")</f>
        <v/>
      </c>
      <c r="AO12" s="45">
        <f t="shared" si="3"/>
        <v>5</v>
      </c>
      <c r="AP12" s="37"/>
      <c r="AQ12" s="37"/>
      <c r="AR12" s="37"/>
    </row>
    <row r="13" spans="1:44" ht="12" customHeight="1" thickBot="1" x14ac:dyDescent="0.35">
      <c r="A13" s="52"/>
      <c r="B13" s="60"/>
      <c r="C13" s="5"/>
      <c r="D13" s="42" t="str">
        <f>IF(AND(B13&lt;&gt;""),IF($C$9&lt;&gt;0,VLOOKUP(C13/$C$9*100,TRANSMUTATION_TABLE!$A$2:$B$102,2),""),"")</f>
        <v/>
      </c>
      <c r="E13" s="5"/>
      <c r="F13" s="42" t="str">
        <f>IF(AND(B13&lt;&gt;""),IF($E$9&lt;&gt;0,VLOOKUP(E13/$E$9*100,TRANSMUTATION_TABLE!$A$2:$B$102,2),""),"")</f>
        <v/>
      </c>
      <c r="G13" s="5"/>
      <c r="H13" s="42" t="str">
        <f>IF(AND(B13&lt;&gt;""),IF($G$9&lt;&gt;0,VLOOKUP(G13/$G$9*100,TRANSMUTATION_TABLE!$A$2:$B$102,2),""),"")</f>
        <v/>
      </c>
      <c r="I13" s="5"/>
      <c r="J13" s="43" t="str">
        <f>IF(AND(B13&lt;&gt;""),IF($I$9&lt;&gt;0,VLOOKUP(I13/$I$9*100,TRANSMUTATION_TABLE!$A$2:$B$102,2),""),"")</f>
        <v/>
      </c>
      <c r="K13" s="48" t="str">
        <f t="shared" si="0"/>
        <v/>
      </c>
      <c r="L13" s="5"/>
      <c r="M13" s="42" t="str">
        <f>IF(AND(B13&lt;&gt;""),IF($L$9&lt;&gt;0,VLOOKUP(L13/$L$9*100,TRANSMUTATION_TABLE!$A$2:$B$102,2),""),"")</f>
        <v/>
      </c>
      <c r="N13" s="5"/>
      <c r="O13" s="42" t="str">
        <f>IF(AND(B13&lt;&gt;""),IF($N$9&lt;&gt;0,VLOOKUP(N13/$N$9*100,TRANSMUTATION_TABLE!$A$2:$B$102,2),""),"")</f>
        <v/>
      </c>
      <c r="P13" s="5"/>
      <c r="Q13" s="42" t="str">
        <f>IF(AND(B13&lt;&gt;""),IF($P$9&lt;&gt;0,VLOOKUP(P13/$P$9*100,TRANSMUTATION_TABLE!$A$2:$B$102,2),""),"")</f>
        <v/>
      </c>
      <c r="R13" s="5"/>
      <c r="S13" s="43" t="str">
        <f>IF(AND(B13&lt;&gt;""),IF($R$9&lt;&gt;0,VLOOKUP(R13/$R$9*100,TRANSMUTATION_TABLE!$A$2:$B$102,2),""),"")</f>
        <v/>
      </c>
      <c r="T13" s="48" t="str">
        <f t="shared" si="1"/>
        <v/>
      </c>
      <c r="U13" s="5"/>
      <c r="V13" s="42" t="str">
        <f>IF(AND(B13&lt;&gt;""),IF($U$9&lt;&gt;0,VLOOKUP(U13/$U$9*100,TRANSMUTATION_TABLE!$A$2:$B$102,2),""),"")</f>
        <v/>
      </c>
      <c r="W13" s="5"/>
      <c r="X13" s="42" t="str">
        <f>IF(AND(B13&lt;&gt;""),IF($W$9&lt;&gt;0,VLOOKUP(W13/$W$9*100,TRANSMUTATION_TABLE!$A$2:$B$102,2),""),"")</f>
        <v/>
      </c>
      <c r="Y13" s="5"/>
      <c r="Z13" s="42" t="str">
        <f>IF(AND(B13&lt;&gt;""),IF($Y$9&lt;&gt;0,VLOOKUP(Y13/$Y$9*100,TRANSMUTATION_TABLE!$A$2:$B$102,2),""),"")</f>
        <v/>
      </c>
      <c r="AA13" s="5"/>
      <c r="AB13" s="43" t="str">
        <f>IF(AND(B13&lt;&gt;""),IF($AA$9&lt;&gt;0,VLOOKUP(AA13/$AA$9*100,TRANSMUTATION_TABLE!$A$2:$B$102,2),""),"")</f>
        <v/>
      </c>
      <c r="AC13" s="48" t="str">
        <f t="shared" si="2"/>
        <v/>
      </c>
      <c r="AD13" s="53"/>
      <c r="AE13" s="42" t="str">
        <f>IF(AND(B13&lt;&gt;""),IF($AD$9&lt;&gt;0,VLOOKUP(AD13/$AD$9*100,TRANSMUTATION_TABLE!$A$2:$B$102,2),""),"")</f>
        <v/>
      </c>
      <c r="AF13" s="50">
        <f>Attendance!BW10</f>
        <v>0</v>
      </c>
      <c r="AG13" s="45" t="str">
        <f>IF(AND(B13&lt;&gt;""),IF($AF$9&lt;&gt;0,VLOOKUP(AF13/$AF$9*100,TRANSMUTATION_TABLE!$A$2:$B$102,2),""),"")</f>
        <v/>
      </c>
      <c r="AH13" s="5"/>
      <c r="AI13" s="45" t="str">
        <f>IF(AND(B13&lt;&gt;""),IF($AH$9&lt;&gt;0,VLOOKUP(AH13/$AH$9*100,TRANSMUTATION_TABLE!$A$2:$B$102,2),""),"")</f>
        <v/>
      </c>
      <c r="AJ13" s="45" t="str">
        <f>IF(OR(K13&lt;&gt;"",T13&lt;&gt;"",AC13&lt;&gt;"",AG13&lt;&gt;"",AI13&lt;&gt;""),SUM(PRODUCT(K13,IF(Settings!$I$17&lt;&gt;0,Settings!$I$17/100,0)),PRODUCT(T13,IF(Settings!$I$18&lt;&gt;0,Settings!$I$18/100,0)),PRODUCT(AC13,IF(Settings!$I$19&lt;&gt;0,Settings!$I$19/100,0)),PRODUCT(AG13,IF(Settings!$I$20&lt;&gt;0,Settings!$I$20/100,0)),PRODUCT(AI13,IF(Settings!$I$21&lt;&gt;0,Settings!$I$21/100,0))),"")</f>
        <v/>
      </c>
      <c r="AK13" s="45" t="str">
        <f>Prelim!AJ13</f>
        <v/>
      </c>
      <c r="AL13" s="45" t="str">
        <f>Midterm!AL13</f>
        <v/>
      </c>
      <c r="AM13" s="45" t="str">
        <f>SemiFinal!AM13</f>
        <v/>
      </c>
      <c r="AN13" s="46" t="str">
        <f>IF(AJ13&lt;&gt;"",AVERAGE(AVERAGE(Prelim!AJ13,Midterm!AL13),AVERAGE(SemiFinal!AM13,Final!AJ13)),"")</f>
        <v/>
      </c>
      <c r="AO13" s="45">
        <f t="shared" si="3"/>
        <v>5</v>
      </c>
      <c r="AP13" s="37"/>
      <c r="AQ13" s="37"/>
      <c r="AR13" s="37"/>
    </row>
    <row r="14" spans="1:44" ht="12" customHeight="1" thickBot="1" x14ac:dyDescent="0.35">
      <c r="A14" s="54"/>
      <c r="B14" s="60"/>
      <c r="C14" s="55"/>
      <c r="D14" s="42" t="str">
        <f>IF(AND(B14&lt;&gt;""),IF($C$9&lt;&gt;0,VLOOKUP(C14/$C$9*100,TRANSMUTATION_TABLE!$A$2:$B$102,2),""),"")</f>
        <v/>
      </c>
      <c r="E14" s="55"/>
      <c r="F14" s="42" t="str">
        <f>IF(AND(B14&lt;&gt;""),IF($E$9&lt;&gt;0,VLOOKUP(E14/$E$9*100,TRANSMUTATION_TABLE!$A$2:$B$102,2),""),"")</f>
        <v/>
      </c>
      <c r="G14" s="55"/>
      <c r="H14" s="42" t="str">
        <f>IF(AND(B14&lt;&gt;""),IF($G$9&lt;&gt;0,VLOOKUP(G14/$G$9*100,TRANSMUTATION_TABLE!$A$2:$B$102,2),""),"")</f>
        <v/>
      </c>
      <c r="I14" s="55"/>
      <c r="J14" s="43" t="str">
        <f>IF(AND(B14&lt;&gt;""),IF($I$9&lt;&gt;0,VLOOKUP(I14/$I$9*100,TRANSMUTATION_TABLE!$A$2:$B$102,2),""),"")</f>
        <v/>
      </c>
      <c r="K14" s="48" t="str">
        <f t="shared" si="0"/>
        <v/>
      </c>
      <c r="L14" s="55"/>
      <c r="M14" s="42" t="str">
        <f>IF(AND(B14&lt;&gt;""),IF($L$9&lt;&gt;0,VLOOKUP(L14/$L$9*100,TRANSMUTATION_TABLE!$A$2:$B$102,2),""),"")</f>
        <v/>
      </c>
      <c r="N14" s="55"/>
      <c r="O14" s="42" t="str">
        <f>IF(AND(B14&lt;&gt;""),IF($N$9&lt;&gt;0,VLOOKUP(N14/$N$9*100,TRANSMUTATION_TABLE!$A$2:$B$102,2),""),"")</f>
        <v/>
      </c>
      <c r="P14" s="55"/>
      <c r="Q14" s="42" t="str">
        <f>IF(AND(B14&lt;&gt;""),IF($P$9&lt;&gt;0,VLOOKUP(P14/$P$9*100,TRANSMUTATION_TABLE!$A$2:$B$102,2),""),"")</f>
        <v/>
      </c>
      <c r="R14" s="55"/>
      <c r="S14" s="43" t="str">
        <f>IF(AND(B14&lt;&gt;""),IF($R$9&lt;&gt;0,VLOOKUP(R14/$R$9*100,TRANSMUTATION_TABLE!$A$2:$B$102,2),""),"")</f>
        <v/>
      </c>
      <c r="T14" s="48" t="str">
        <f t="shared" si="1"/>
        <v/>
      </c>
      <c r="U14" s="55"/>
      <c r="V14" s="42" t="str">
        <f>IF(AND(B14&lt;&gt;""),IF($U$9&lt;&gt;0,VLOOKUP(U14/$U$9*100,TRANSMUTATION_TABLE!$A$2:$B$102,2),""),"")</f>
        <v/>
      </c>
      <c r="W14" s="55"/>
      <c r="X14" s="42" t="str">
        <f>IF(AND(B14&lt;&gt;""),IF($W$9&lt;&gt;0,VLOOKUP(W14/$W$9*100,TRANSMUTATION_TABLE!$A$2:$B$102,2),""),"")</f>
        <v/>
      </c>
      <c r="Y14" s="55"/>
      <c r="Z14" s="42" t="str">
        <f>IF(AND(B14&lt;&gt;""),IF($Y$9&lt;&gt;0,VLOOKUP(Y14/$Y$9*100,TRANSMUTATION_TABLE!$A$2:$B$102,2),""),"")</f>
        <v/>
      </c>
      <c r="AA14" s="55"/>
      <c r="AB14" s="43" t="str">
        <f>IF(AND(B14&lt;&gt;""),IF($AA$9&lt;&gt;0,VLOOKUP(AA14/$AA$9*100,TRANSMUTATION_TABLE!$A$2:$B$102,2),""),"")</f>
        <v/>
      </c>
      <c r="AC14" s="48" t="str">
        <f t="shared" si="2"/>
        <v/>
      </c>
      <c r="AD14" s="56"/>
      <c r="AE14" s="42" t="str">
        <f>IF(AND(B14&lt;&gt;""),IF($AD$9&lt;&gt;0,VLOOKUP(AD14/$AD$9*100,TRANSMUTATION_TABLE!$A$2:$B$102,2),""),"")</f>
        <v/>
      </c>
      <c r="AF14" s="50">
        <f>Attendance!BW11</f>
        <v>0</v>
      </c>
      <c r="AG14" s="45" t="str">
        <f>IF(AND(B14&lt;&gt;""),IF($AF$9&lt;&gt;0,VLOOKUP(AF14/$AF$9*100,TRANSMUTATION_TABLE!$A$2:$B$102,2),""),"")</f>
        <v/>
      </c>
      <c r="AH14" s="55"/>
      <c r="AI14" s="45" t="str">
        <f>IF(AND(B14&lt;&gt;""),IF($AH$9&lt;&gt;0,VLOOKUP(AH14/$AH$9*100,TRANSMUTATION_TABLE!$A$2:$B$102,2),""),"")</f>
        <v/>
      </c>
      <c r="AJ14" s="45" t="str">
        <f>IF(OR(K14&lt;&gt;"",T14&lt;&gt;"",AC14&lt;&gt;"",AG14&lt;&gt;"",AI14&lt;&gt;""),SUM(PRODUCT(K14,IF(Settings!$I$17&lt;&gt;0,Settings!$I$17/100,0)),PRODUCT(T14,IF(Settings!$I$18&lt;&gt;0,Settings!$I$18/100,0)),PRODUCT(AC14,IF(Settings!$I$19&lt;&gt;0,Settings!$I$19/100,0)),PRODUCT(AG14,IF(Settings!$I$20&lt;&gt;0,Settings!$I$20/100,0)),PRODUCT(AI14,IF(Settings!$I$21&lt;&gt;0,Settings!$I$21/100,0))),"")</f>
        <v/>
      </c>
      <c r="AK14" s="45" t="str">
        <f>Prelim!AJ14</f>
        <v/>
      </c>
      <c r="AL14" s="45" t="str">
        <f>Midterm!AL14</f>
        <v/>
      </c>
      <c r="AM14" s="45" t="str">
        <f>SemiFinal!AM14</f>
        <v/>
      </c>
      <c r="AN14" s="46" t="str">
        <f>IF(AJ14&lt;&gt;"",AVERAGE(AVERAGE(Prelim!AJ14,Midterm!AL14),AVERAGE(SemiFinal!AM14,Final!AJ14)),"")</f>
        <v/>
      </c>
      <c r="AO14" s="45">
        <f t="shared" si="3"/>
        <v>5</v>
      </c>
      <c r="AP14" s="37"/>
      <c r="AQ14" s="37"/>
      <c r="AR14" s="37"/>
    </row>
    <row r="15" spans="1:44" ht="12" customHeight="1" thickBot="1" x14ac:dyDescent="0.35">
      <c r="A15" s="59"/>
      <c r="B15" s="60"/>
      <c r="C15" s="5"/>
      <c r="D15" s="42" t="str">
        <f>IF(AND(B15&lt;&gt;""),IF($C$9&lt;&gt;0,VLOOKUP(C15/$C$9*100,TRANSMUTATION_TABLE!$A$2:$B$102,2),""),"")</f>
        <v/>
      </c>
      <c r="E15" s="5"/>
      <c r="F15" s="42" t="str">
        <f>IF(AND(B15&lt;&gt;""),IF($E$9&lt;&gt;0,VLOOKUP(E15/$E$9*100,TRANSMUTATION_TABLE!$A$2:$B$102,2),""),"")</f>
        <v/>
      </c>
      <c r="G15" s="5"/>
      <c r="H15" s="42" t="str">
        <f>IF(AND(B15&lt;&gt;""),IF($G$9&lt;&gt;0,VLOOKUP(G15/$G$9*100,TRANSMUTATION_TABLE!$A$2:$B$102,2),""),"")</f>
        <v/>
      </c>
      <c r="I15" s="5"/>
      <c r="J15" s="43" t="str">
        <f>IF(AND(B15&lt;&gt;""),IF($I$9&lt;&gt;0,VLOOKUP(I15/$I$9*100,TRANSMUTATION_TABLE!$A$2:$B$102,2),""),"")</f>
        <v/>
      </c>
      <c r="K15" s="48" t="str">
        <f t="shared" si="0"/>
        <v/>
      </c>
      <c r="L15" s="5"/>
      <c r="M15" s="42" t="str">
        <f>IF(AND(B15&lt;&gt;""),IF($L$9&lt;&gt;0,VLOOKUP(L15/$L$9*100,TRANSMUTATION_TABLE!$A$2:$B$102,2),""),"")</f>
        <v/>
      </c>
      <c r="N15" s="5"/>
      <c r="O15" s="42" t="str">
        <f>IF(AND(B15&lt;&gt;""),IF($N$9&lt;&gt;0,VLOOKUP(N15/$N$9*100,TRANSMUTATION_TABLE!$A$2:$B$102,2),""),"")</f>
        <v/>
      </c>
      <c r="P15" s="5"/>
      <c r="Q15" s="42" t="str">
        <f>IF(AND(B15&lt;&gt;""),IF($P$9&lt;&gt;0,VLOOKUP(P15/$P$9*100,TRANSMUTATION_TABLE!$A$2:$B$102,2),""),"")</f>
        <v/>
      </c>
      <c r="R15" s="5"/>
      <c r="S15" s="43" t="str">
        <f>IF(AND(B15&lt;&gt;""),IF($R$9&lt;&gt;0,VLOOKUP(R15/$R$9*100,TRANSMUTATION_TABLE!$A$2:$B$102,2),""),"")</f>
        <v/>
      </c>
      <c r="T15" s="48" t="str">
        <f t="shared" si="1"/>
        <v/>
      </c>
      <c r="U15" s="5"/>
      <c r="V15" s="42" t="str">
        <f>IF(AND(B15&lt;&gt;""),IF($U$9&lt;&gt;0,VLOOKUP(U15/$U$9*100,TRANSMUTATION_TABLE!$A$2:$B$102,2),""),"")</f>
        <v/>
      </c>
      <c r="W15" s="5"/>
      <c r="X15" s="42" t="str">
        <f>IF(AND(B15&lt;&gt;""),IF($W$9&lt;&gt;0,VLOOKUP(W15/$W$9*100,TRANSMUTATION_TABLE!$A$2:$B$102,2),""),"")</f>
        <v/>
      </c>
      <c r="Y15" s="5"/>
      <c r="Z15" s="42" t="str">
        <f>IF(AND(B15&lt;&gt;""),IF($Y$9&lt;&gt;0,VLOOKUP(Y15/$Y$9*100,TRANSMUTATION_TABLE!$A$2:$B$102,2),""),"")</f>
        <v/>
      </c>
      <c r="AA15" s="5"/>
      <c r="AB15" s="43" t="str">
        <f>IF(AND(B15&lt;&gt;""),IF($AA$9&lt;&gt;0,VLOOKUP(AA15/$AA$9*100,TRANSMUTATION_TABLE!$A$2:$B$102,2),""),"")</f>
        <v/>
      </c>
      <c r="AC15" s="48" t="str">
        <f t="shared" si="2"/>
        <v/>
      </c>
      <c r="AD15" s="49"/>
      <c r="AE15" s="57" t="str">
        <f>IF(AND(B15&lt;&gt;""),IF($AD$9&lt;&gt;0,VLOOKUP(AD15/$AD$9*100,TRANSMUTATION_TABLE!$A$2:$B$102,2),""),"")</f>
        <v/>
      </c>
      <c r="AF15" s="50">
        <f>Attendance!BW12</f>
        <v>0</v>
      </c>
      <c r="AG15" s="45" t="str">
        <f>IF(AND(B15&lt;&gt;""),IF($AF$9&lt;&gt;0,VLOOKUP(AF15/$AF$9*100,TRANSMUTATION_TABLE!$A$2:$B$102,2),""),"")</f>
        <v/>
      </c>
      <c r="AH15" s="5"/>
      <c r="AI15" s="45" t="str">
        <f>IF(AND(B15&lt;&gt;""),IF($AH$9&lt;&gt;0,VLOOKUP(AH15/$AH$9*100,TRANSMUTATION_TABLE!$A$2:$B$102,2),""),"")</f>
        <v/>
      </c>
      <c r="AJ15" s="45" t="str">
        <f>IF(OR(K15&lt;&gt;"",T15&lt;&gt;"",AC15&lt;&gt;"",AG15&lt;&gt;"",AI15&lt;&gt;""),SUM(PRODUCT(K15,IF(Settings!$I$17&lt;&gt;0,Settings!$I$17/100,0)),PRODUCT(T15,IF(Settings!$I$18&lt;&gt;0,Settings!$I$18/100,0)),PRODUCT(AC15,IF(Settings!$I$19&lt;&gt;0,Settings!$I$19/100,0)),PRODUCT(AG15,IF(Settings!$I$20&lt;&gt;0,Settings!$I$20/100,0)),PRODUCT(AI15,IF(Settings!$I$21&lt;&gt;0,Settings!$I$21/100,0))),"")</f>
        <v/>
      </c>
      <c r="AK15" s="45" t="str">
        <f>Prelim!AJ15</f>
        <v/>
      </c>
      <c r="AL15" s="45" t="str">
        <f>Midterm!AL15</f>
        <v/>
      </c>
      <c r="AM15" s="45" t="str">
        <f>SemiFinal!AM15</f>
        <v/>
      </c>
      <c r="AN15" s="46" t="str">
        <f>IF(AJ15&lt;&gt;"",AVERAGE(AVERAGE(Prelim!AJ15,Midterm!AL15),AVERAGE(SemiFinal!AM15,Final!AJ15)),"")</f>
        <v/>
      </c>
      <c r="AO15" s="45">
        <f t="shared" si="3"/>
        <v>5</v>
      </c>
      <c r="AP15" s="37"/>
      <c r="AQ15" s="37"/>
      <c r="AR15" s="37"/>
    </row>
    <row r="16" spans="1:44" ht="12" customHeight="1" thickBot="1" x14ac:dyDescent="0.35">
      <c r="A16" s="52"/>
      <c r="B16" s="60"/>
      <c r="C16" s="5"/>
      <c r="D16" s="42" t="str">
        <f>IF(AND(B16&lt;&gt;""),IF($C$9&lt;&gt;0,VLOOKUP(C16/$C$9*100,TRANSMUTATION_TABLE!$A$2:$B$102,2),""),"")</f>
        <v/>
      </c>
      <c r="E16" s="5"/>
      <c r="F16" s="42" t="str">
        <f>IF(AND(B16&lt;&gt;""),IF($E$9&lt;&gt;0,VLOOKUP(E16/$E$9*100,TRANSMUTATION_TABLE!$A$2:$B$102,2),""),"")</f>
        <v/>
      </c>
      <c r="G16" s="5"/>
      <c r="H16" s="42" t="str">
        <f>IF(AND(B16&lt;&gt;""),IF($G$9&lt;&gt;0,VLOOKUP(G16/$G$9*100,TRANSMUTATION_TABLE!$A$2:$B$102,2),""),"")</f>
        <v/>
      </c>
      <c r="I16" s="5"/>
      <c r="J16" s="43" t="str">
        <f>IF(AND(B16&lt;&gt;""),IF($I$9&lt;&gt;0,VLOOKUP(I16/$I$9*100,TRANSMUTATION_TABLE!$A$2:$B$102,2),""),"")</f>
        <v/>
      </c>
      <c r="K16" s="48" t="str">
        <f t="shared" si="0"/>
        <v/>
      </c>
      <c r="L16" s="5"/>
      <c r="M16" s="42" t="str">
        <f>IF(AND(B16&lt;&gt;""),IF($L$9&lt;&gt;0,VLOOKUP(L16/$L$9*100,TRANSMUTATION_TABLE!$A$2:$B$102,2),""),"")</f>
        <v/>
      </c>
      <c r="N16" s="5"/>
      <c r="O16" s="42" t="str">
        <f>IF(AND(B16&lt;&gt;""),IF($N$9&lt;&gt;0,VLOOKUP(N16/$N$9*100,TRANSMUTATION_TABLE!$A$2:$B$102,2),""),"")</f>
        <v/>
      </c>
      <c r="P16" s="5"/>
      <c r="Q16" s="42" t="str">
        <f>IF(AND(B16&lt;&gt;""),IF($P$9&lt;&gt;0,VLOOKUP(P16/$P$9*100,TRANSMUTATION_TABLE!$A$2:$B$102,2),""),"")</f>
        <v/>
      </c>
      <c r="R16" s="5"/>
      <c r="S16" s="43" t="str">
        <f>IF(AND(B16&lt;&gt;""),IF($R$9&lt;&gt;0,VLOOKUP(R16/$R$9*100,TRANSMUTATION_TABLE!$A$2:$B$102,2),""),"")</f>
        <v/>
      </c>
      <c r="T16" s="48" t="str">
        <f t="shared" si="1"/>
        <v/>
      </c>
      <c r="U16" s="5"/>
      <c r="V16" s="42" t="str">
        <f>IF(AND(B16&lt;&gt;""),IF($U$9&lt;&gt;0,VLOOKUP(U16/$U$9*100,TRANSMUTATION_TABLE!$A$2:$B$102,2),""),"")</f>
        <v/>
      </c>
      <c r="W16" s="5"/>
      <c r="X16" s="42" t="str">
        <f>IF(AND(B16&lt;&gt;""),IF($W$9&lt;&gt;0,VLOOKUP(W16/$W$9*100,TRANSMUTATION_TABLE!$A$2:$B$102,2),""),"")</f>
        <v/>
      </c>
      <c r="Y16" s="5"/>
      <c r="Z16" s="42" t="str">
        <f>IF(AND(B16&lt;&gt;""),IF($Y$9&lt;&gt;0,VLOOKUP(Y16/$Y$9*100,TRANSMUTATION_TABLE!$A$2:$B$102,2),""),"")</f>
        <v/>
      </c>
      <c r="AA16" s="5"/>
      <c r="AB16" s="43" t="str">
        <f>IF(AND(B16&lt;&gt;""),IF($AA$9&lt;&gt;0,VLOOKUP(AA16/$AA$9*100,TRANSMUTATION_TABLE!$A$2:$B$102,2),""),"")</f>
        <v/>
      </c>
      <c r="AC16" s="48" t="str">
        <f t="shared" si="2"/>
        <v/>
      </c>
      <c r="AD16" s="53"/>
      <c r="AE16" s="42" t="str">
        <f>IF(AND(B16&lt;&gt;""),IF($AD$9&lt;&gt;0,VLOOKUP(AD16/$AD$9*100,TRANSMUTATION_TABLE!$A$2:$B$102,2),""),"")</f>
        <v/>
      </c>
      <c r="AF16" s="50">
        <f>Attendance!BW13</f>
        <v>0</v>
      </c>
      <c r="AG16" s="45" t="str">
        <f>IF(AND(B16&lt;&gt;""),IF($AF$9&lt;&gt;0,VLOOKUP(AF16/$AF$9*100,TRANSMUTATION_TABLE!$A$2:$B$102,2),""),"")</f>
        <v/>
      </c>
      <c r="AH16" s="5"/>
      <c r="AI16" s="45" t="str">
        <f>IF(AND(B16&lt;&gt;""),IF($AH$9&lt;&gt;0,VLOOKUP(AH16/$AH$9*100,TRANSMUTATION_TABLE!$A$2:$B$102,2),""),"")</f>
        <v/>
      </c>
      <c r="AJ16" s="45" t="str">
        <f>IF(OR(K16&lt;&gt;"",T16&lt;&gt;"",AC16&lt;&gt;"",AG16&lt;&gt;"",AI16&lt;&gt;""),SUM(PRODUCT(K16,IF(Settings!$I$17&lt;&gt;0,Settings!$I$17/100,0)),PRODUCT(T16,IF(Settings!$I$18&lt;&gt;0,Settings!$I$18/100,0)),PRODUCT(AC16,IF(Settings!$I$19&lt;&gt;0,Settings!$I$19/100,0)),PRODUCT(AG16,IF(Settings!$I$20&lt;&gt;0,Settings!$I$20/100,0)),PRODUCT(AI16,IF(Settings!$I$21&lt;&gt;0,Settings!$I$21/100,0))),"")</f>
        <v/>
      </c>
      <c r="AK16" s="45" t="str">
        <f>Prelim!AJ16</f>
        <v/>
      </c>
      <c r="AL16" s="45" t="str">
        <f>Midterm!AL16</f>
        <v/>
      </c>
      <c r="AM16" s="45" t="str">
        <f>SemiFinal!AM16</f>
        <v/>
      </c>
      <c r="AN16" s="46" t="str">
        <f>IF(AJ16&lt;&gt;"",AVERAGE(AVERAGE(Prelim!AJ16,Midterm!AL16),AVERAGE(SemiFinal!AM16,Final!AJ16)),"")</f>
        <v/>
      </c>
      <c r="AO16" s="45">
        <f t="shared" si="3"/>
        <v>5</v>
      </c>
      <c r="AP16" s="37"/>
      <c r="AQ16" s="37"/>
      <c r="AR16" s="37"/>
    </row>
    <row r="17" spans="1:44" ht="12" customHeight="1" thickBot="1" x14ac:dyDescent="0.35">
      <c r="A17" s="52"/>
      <c r="B17" s="60"/>
      <c r="C17" s="5"/>
      <c r="D17" s="42" t="str">
        <f>IF(AND(B17&lt;&gt;""),IF($C$9&lt;&gt;0,VLOOKUP(C17/$C$9*100,TRANSMUTATION_TABLE!$A$2:$B$102,2),""),"")</f>
        <v/>
      </c>
      <c r="E17" s="5"/>
      <c r="F17" s="42" t="str">
        <f>IF(AND(B17&lt;&gt;""),IF($E$9&lt;&gt;0,VLOOKUP(E17/$E$9*100,TRANSMUTATION_TABLE!$A$2:$B$102,2),""),"")</f>
        <v/>
      </c>
      <c r="G17" s="5"/>
      <c r="H17" s="42" t="str">
        <f>IF(AND(B17&lt;&gt;""),IF($G$9&lt;&gt;0,VLOOKUP(G17/$G$9*100,TRANSMUTATION_TABLE!$A$2:$B$102,2),""),"")</f>
        <v/>
      </c>
      <c r="I17" s="5"/>
      <c r="J17" s="43" t="str">
        <f>IF(AND(B17&lt;&gt;""),IF($I$9&lt;&gt;0,VLOOKUP(I17/$I$9*100,TRANSMUTATION_TABLE!$A$2:$B$102,2),""),"")</f>
        <v/>
      </c>
      <c r="K17" s="48" t="str">
        <f t="shared" si="0"/>
        <v/>
      </c>
      <c r="L17" s="5"/>
      <c r="M17" s="42" t="str">
        <f>IF(AND(B17&lt;&gt;""),IF($L$9&lt;&gt;0,VLOOKUP(L17/$L$9*100,TRANSMUTATION_TABLE!$A$2:$B$102,2),""),"")</f>
        <v/>
      </c>
      <c r="N17" s="5"/>
      <c r="O17" s="42" t="str">
        <f>IF(AND(B17&lt;&gt;""),IF($N$9&lt;&gt;0,VLOOKUP(N17/$N$9*100,TRANSMUTATION_TABLE!$A$2:$B$102,2),""),"")</f>
        <v/>
      </c>
      <c r="P17" s="5"/>
      <c r="Q17" s="42" t="str">
        <f>IF(AND(B17&lt;&gt;""),IF($P$9&lt;&gt;0,VLOOKUP(P17/$P$9*100,TRANSMUTATION_TABLE!$A$2:$B$102,2),""),"")</f>
        <v/>
      </c>
      <c r="R17" s="5"/>
      <c r="S17" s="43" t="str">
        <f>IF(AND(B17&lt;&gt;""),IF($R$9&lt;&gt;0,VLOOKUP(R17/$R$9*100,TRANSMUTATION_TABLE!$A$2:$B$102,2),""),"")</f>
        <v/>
      </c>
      <c r="T17" s="48" t="str">
        <f t="shared" si="1"/>
        <v/>
      </c>
      <c r="U17" s="5"/>
      <c r="V17" s="42" t="str">
        <f>IF(AND(B17&lt;&gt;""),IF($U$9&lt;&gt;0,VLOOKUP(U17/$U$9*100,TRANSMUTATION_TABLE!$A$2:$B$102,2),""),"")</f>
        <v/>
      </c>
      <c r="W17" s="5"/>
      <c r="X17" s="42" t="str">
        <f>IF(AND(B17&lt;&gt;""),IF($W$9&lt;&gt;0,VLOOKUP(W17/$W$9*100,TRANSMUTATION_TABLE!$A$2:$B$102,2),""),"")</f>
        <v/>
      </c>
      <c r="Y17" s="5"/>
      <c r="Z17" s="42" t="str">
        <f>IF(AND(B17&lt;&gt;""),IF($Y$9&lt;&gt;0,VLOOKUP(Y17/$Y$9*100,TRANSMUTATION_TABLE!$A$2:$B$102,2),""),"")</f>
        <v/>
      </c>
      <c r="AA17" s="5"/>
      <c r="AB17" s="43" t="str">
        <f>IF(AND(B17&lt;&gt;""),IF($AA$9&lt;&gt;0,VLOOKUP(AA17/$AA$9*100,TRANSMUTATION_TABLE!$A$2:$B$102,2),""),"")</f>
        <v/>
      </c>
      <c r="AC17" s="48" t="str">
        <f t="shared" si="2"/>
        <v/>
      </c>
      <c r="AD17" s="53"/>
      <c r="AE17" s="42" t="str">
        <f>IF(AND(B17&lt;&gt;""),IF($AD$9&lt;&gt;0,VLOOKUP(AD17/$AD$9*100,TRANSMUTATION_TABLE!$A$2:$B$102,2),""),"")</f>
        <v/>
      </c>
      <c r="AF17" s="50">
        <f>Attendance!BW14</f>
        <v>0</v>
      </c>
      <c r="AG17" s="45" t="str">
        <f>IF(AND(B17&lt;&gt;""),IF($AF$9&lt;&gt;0,VLOOKUP(AF17/$AF$9*100,TRANSMUTATION_TABLE!$A$2:$B$102,2),""),"")</f>
        <v/>
      </c>
      <c r="AH17" s="5"/>
      <c r="AI17" s="45" t="str">
        <f>IF(AND(B17&lt;&gt;""),IF($AH$9&lt;&gt;0,VLOOKUP(AH17/$AH$9*100,TRANSMUTATION_TABLE!$A$2:$B$102,2),""),"")</f>
        <v/>
      </c>
      <c r="AJ17" s="45" t="str">
        <f>IF(OR(K17&lt;&gt;"",T17&lt;&gt;"",AC17&lt;&gt;"",AG17&lt;&gt;"",AI17&lt;&gt;""),SUM(PRODUCT(K17,IF(Settings!$I$17&lt;&gt;0,Settings!$I$17/100,0)),PRODUCT(T17,IF(Settings!$I$18&lt;&gt;0,Settings!$I$18/100,0)),PRODUCT(AC17,IF(Settings!$I$19&lt;&gt;0,Settings!$I$19/100,0)),PRODUCT(AG17,IF(Settings!$I$20&lt;&gt;0,Settings!$I$20/100,0)),PRODUCT(AI17,IF(Settings!$I$21&lt;&gt;0,Settings!$I$21/100,0))),"")</f>
        <v/>
      </c>
      <c r="AK17" s="45" t="str">
        <f>Prelim!AJ17</f>
        <v/>
      </c>
      <c r="AL17" s="45" t="str">
        <f>Midterm!AL17</f>
        <v/>
      </c>
      <c r="AM17" s="45" t="str">
        <f>SemiFinal!AM17</f>
        <v/>
      </c>
      <c r="AN17" s="46" t="str">
        <f>IF(AJ17&lt;&gt;"",AVERAGE(AVERAGE(Prelim!AJ17,Midterm!AL17),AVERAGE(SemiFinal!AM17,Final!AJ17)),"")</f>
        <v/>
      </c>
      <c r="AO17" s="45">
        <f t="shared" si="3"/>
        <v>5</v>
      </c>
      <c r="AP17" s="37"/>
      <c r="AQ17" s="37"/>
      <c r="AR17" s="37"/>
    </row>
    <row r="18" spans="1:44" ht="12" customHeight="1" thickBot="1" x14ac:dyDescent="0.35">
      <c r="A18" s="52"/>
      <c r="B18" s="60"/>
      <c r="C18" s="5"/>
      <c r="D18" s="42" t="str">
        <f>IF(AND(B18&lt;&gt;""),IF($C$9&lt;&gt;0,VLOOKUP(C18/$C$9*100,TRANSMUTATION_TABLE!$A$2:$B$102,2),""),"")</f>
        <v/>
      </c>
      <c r="E18" s="5"/>
      <c r="F18" s="42" t="str">
        <f>IF(AND(B18&lt;&gt;""),IF($E$9&lt;&gt;0,VLOOKUP(E18/$E$9*100,TRANSMUTATION_TABLE!$A$2:$B$102,2),""),"")</f>
        <v/>
      </c>
      <c r="G18" s="5"/>
      <c r="H18" s="42" t="str">
        <f>IF(AND(B18&lt;&gt;""),IF($G$9&lt;&gt;0,VLOOKUP(G18/$G$9*100,TRANSMUTATION_TABLE!$A$2:$B$102,2),""),"")</f>
        <v/>
      </c>
      <c r="I18" s="5"/>
      <c r="J18" s="43" t="str">
        <f>IF(AND(B18&lt;&gt;""),IF($I$9&lt;&gt;0,VLOOKUP(I18/$I$9*100,TRANSMUTATION_TABLE!$A$2:$B$102,2),""),"")</f>
        <v/>
      </c>
      <c r="K18" s="48" t="str">
        <f t="shared" si="0"/>
        <v/>
      </c>
      <c r="L18" s="5"/>
      <c r="M18" s="42" t="str">
        <f>IF(AND(B18&lt;&gt;""),IF($L$9&lt;&gt;0,VLOOKUP(L18/$L$9*100,TRANSMUTATION_TABLE!$A$2:$B$102,2),""),"")</f>
        <v/>
      </c>
      <c r="N18" s="5"/>
      <c r="O18" s="42" t="str">
        <f>IF(AND(B18&lt;&gt;""),IF($N$9&lt;&gt;0,VLOOKUP(N18/$N$9*100,TRANSMUTATION_TABLE!$A$2:$B$102,2),""),"")</f>
        <v/>
      </c>
      <c r="P18" s="5"/>
      <c r="Q18" s="42" t="str">
        <f>IF(AND(B18&lt;&gt;""),IF($P$9&lt;&gt;0,VLOOKUP(P18/$P$9*100,TRANSMUTATION_TABLE!$A$2:$B$102,2),""),"")</f>
        <v/>
      </c>
      <c r="R18" s="5"/>
      <c r="S18" s="43" t="str">
        <f>IF(AND(B18&lt;&gt;""),IF($R$9&lt;&gt;0,VLOOKUP(R18/$R$9*100,TRANSMUTATION_TABLE!$A$2:$B$102,2),""),"")</f>
        <v/>
      </c>
      <c r="T18" s="48" t="str">
        <f t="shared" si="1"/>
        <v/>
      </c>
      <c r="U18" s="5"/>
      <c r="V18" s="42" t="str">
        <f>IF(AND(B18&lt;&gt;""),IF($U$9&lt;&gt;0,VLOOKUP(U18/$U$9*100,TRANSMUTATION_TABLE!$A$2:$B$102,2),""),"")</f>
        <v/>
      </c>
      <c r="W18" s="5"/>
      <c r="X18" s="42" t="str">
        <f>IF(AND(B18&lt;&gt;""),IF($W$9&lt;&gt;0,VLOOKUP(W18/$W$9*100,TRANSMUTATION_TABLE!$A$2:$B$102,2),""),"")</f>
        <v/>
      </c>
      <c r="Y18" s="5"/>
      <c r="Z18" s="42" t="str">
        <f>IF(AND(B18&lt;&gt;""),IF($Y$9&lt;&gt;0,VLOOKUP(Y18/$Y$9*100,TRANSMUTATION_TABLE!$A$2:$B$102,2),""),"")</f>
        <v/>
      </c>
      <c r="AA18" s="5"/>
      <c r="AB18" s="43" t="str">
        <f>IF(AND(B18&lt;&gt;""),IF($AA$9&lt;&gt;0,VLOOKUP(AA18/$AA$9*100,TRANSMUTATION_TABLE!$A$2:$B$102,2),""),"")</f>
        <v/>
      </c>
      <c r="AC18" s="48" t="str">
        <f t="shared" si="2"/>
        <v/>
      </c>
      <c r="AD18" s="53"/>
      <c r="AE18" s="42" t="str">
        <f>IF(AND(B18&lt;&gt;""),IF($AD$9&lt;&gt;0,VLOOKUP(AD18/$AD$9*100,TRANSMUTATION_TABLE!$A$2:$B$102,2),""),"")</f>
        <v/>
      </c>
      <c r="AF18" s="50">
        <f>Attendance!BW15</f>
        <v>0</v>
      </c>
      <c r="AG18" s="45" t="str">
        <f>IF(AND(B18&lt;&gt;""),IF($AF$9&lt;&gt;0,VLOOKUP(AF18/$AF$9*100,TRANSMUTATION_TABLE!$A$2:$B$102,2),""),"")</f>
        <v/>
      </c>
      <c r="AH18" s="5"/>
      <c r="AI18" s="45" t="str">
        <f>IF(AND(B18&lt;&gt;""),IF($AH$9&lt;&gt;0,VLOOKUP(AH18/$AH$9*100,TRANSMUTATION_TABLE!$A$2:$B$102,2),""),"")</f>
        <v/>
      </c>
      <c r="AJ18" s="45" t="str">
        <f>IF(OR(K18&lt;&gt;"",T18&lt;&gt;"",AC18&lt;&gt;"",AG18&lt;&gt;"",AI18&lt;&gt;""),SUM(PRODUCT(K18,IF(Settings!$I$17&lt;&gt;0,Settings!$I$17/100,0)),PRODUCT(T18,IF(Settings!$I$18&lt;&gt;0,Settings!$I$18/100,0)),PRODUCT(AC18,IF(Settings!$I$19&lt;&gt;0,Settings!$I$19/100,0)),PRODUCT(AG18,IF(Settings!$I$20&lt;&gt;0,Settings!$I$20/100,0)),PRODUCT(AI18,IF(Settings!$I$21&lt;&gt;0,Settings!$I$21/100,0))),"")</f>
        <v/>
      </c>
      <c r="AK18" s="45" t="str">
        <f>Prelim!AJ18</f>
        <v/>
      </c>
      <c r="AL18" s="45" t="str">
        <f>Midterm!AL18</f>
        <v/>
      </c>
      <c r="AM18" s="45" t="str">
        <f>SemiFinal!AM18</f>
        <v/>
      </c>
      <c r="AN18" s="46" t="str">
        <f>IF(AJ18&lt;&gt;"",AVERAGE(AVERAGE(Prelim!AJ18,Midterm!AL18),AVERAGE(SemiFinal!AM18,Final!AJ18)),"")</f>
        <v/>
      </c>
      <c r="AO18" s="45">
        <f t="shared" si="3"/>
        <v>5</v>
      </c>
      <c r="AP18" s="37"/>
      <c r="AQ18" s="37"/>
      <c r="AR18" s="37"/>
    </row>
    <row r="19" spans="1:44" ht="12" customHeight="1" thickBot="1" x14ac:dyDescent="0.35">
      <c r="A19" s="54"/>
      <c r="B19" s="60"/>
      <c r="C19" s="55"/>
      <c r="D19" s="42" t="str">
        <f>IF(AND(B19&lt;&gt;""),IF($C$9&lt;&gt;0,VLOOKUP(C19/$C$9*100,TRANSMUTATION_TABLE!$A$2:$B$102,2),""),"")</f>
        <v/>
      </c>
      <c r="E19" s="55"/>
      <c r="F19" s="42" t="str">
        <f>IF(AND(B19&lt;&gt;""),IF($E$9&lt;&gt;0,VLOOKUP(E19/$E$9*100,TRANSMUTATION_TABLE!$A$2:$B$102,2),""),"")</f>
        <v/>
      </c>
      <c r="G19" s="55"/>
      <c r="H19" s="42" t="str">
        <f>IF(AND(B19&lt;&gt;""),IF($G$9&lt;&gt;0,VLOOKUP(G19/$G$9*100,TRANSMUTATION_TABLE!$A$2:$B$102,2),""),"")</f>
        <v/>
      </c>
      <c r="I19" s="55"/>
      <c r="J19" s="43" t="str">
        <f>IF(AND(B19&lt;&gt;""),IF($I$9&lt;&gt;0,VLOOKUP(I19/$I$9*100,TRANSMUTATION_TABLE!$A$2:$B$102,2),""),"")</f>
        <v/>
      </c>
      <c r="K19" s="48" t="str">
        <f t="shared" si="0"/>
        <v/>
      </c>
      <c r="L19" s="55"/>
      <c r="M19" s="42" t="str">
        <f>IF(AND(B19&lt;&gt;""),IF($L$9&lt;&gt;0,VLOOKUP(L19/$L$9*100,TRANSMUTATION_TABLE!$A$2:$B$102,2),""),"")</f>
        <v/>
      </c>
      <c r="N19" s="55"/>
      <c r="O19" s="42" t="str">
        <f>IF(AND(B19&lt;&gt;""),IF($N$9&lt;&gt;0,VLOOKUP(N19/$N$9*100,TRANSMUTATION_TABLE!$A$2:$B$102,2),""),"")</f>
        <v/>
      </c>
      <c r="P19" s="55"/>
      <c r="Q19" s="42" t="str">
        <f>IF(AND(B19&lt;&gt;""),IF($P$9&lt;&gt;0,VLOOKUP(P19/$P$9*100,TRANSMUTATION_TABLE!$A$2:$B$102,2),""),"")</f>
        <v/>
      </c>
      <c r="R19" s="55"/>
      <c r="S19" s="43" t="str">
        <f>IF(AND(B19&lt;&gt;""),IF($R$9&lt;&gt;0,VLOOKUP(R19/$R$9*100,TRANSMUTATION_TABLE!$A$2:$B$102,2),""),"")</f>
        <v/>
      </c>
      <c r="T19" s="48" t="str">
        <f t="shared" si="1"/>
        <v/>
      </c>
      <c r="U19" s="55"/>
      <c r="V19" s="42" t="str">
        <f>IF(AND(B19&lt;&gt;""),IF($U$9&lt;&gt;0,VLOOKUP(U19/$U$9*100,TRANSMUTATION_TABLE!$A$2:$B$102,2),""),"")</f>
        <v/>
      </c>
      <c r="W19" s="55"/>
      <c r="X19" s="42" t="str">
        <f>IF(AND(B19&lt;&gt;""),IF($W$9&lt;&gt;0,VLOOKUP(W19/$W$9*100,TRANSMUTATION_TABLE!$A$2:$B$102,2),""),"")</f>
        <v/>
      </c>
      <c r="Y19" s="55"/>
      <c r="Z19" s="42" t="str">
        <f>IF(AND(B19&lt;&gt;""),IF($Y$9&lt;&gt;0,VLOOKUP(Y19/$Y$9*100,TRANSMUTATION_TABLE!$A$2:$B$102,2),""),"")</f>
        <v/>
      </c>
      <c r="AA19" s="55"/>
      <c r="AB19" s="43" t="str">
        <f>IF(AND(B19&lt;&gt;""),IF($AA$9&lt;&gt;0,VLOOKUP(AA19/$AA$9*100,TRANSMUTATION_TABLE!$A$2:$B$102,2),""),"")</f>
        <v/>
      </c>
      <c r="AC19" s="48" t="str">
        <f t="shared" si="2"/>
        <v/>
      </c>
      <c r="AD19" s="56"/>
      <c r="AE19" s="42" t="str">
        <f>IF(AND(B19&lt;&gt;""),IF($AD$9&lt;&gt;0,VLOOKUP(AD19/$AD$9*100,TRANSMUTATION_TABLE!$A$2:$B$102,2),""),"")</f>
        <v/>
      </c>
      <c r="AF19" s="50">
        <f>Attendance!BW16</f>
        <v>0</v>
      </c>
      <c r="AG19" s="45" t="str">
        <f>IF(AND(B19&lt;&gt;""),IF($AF$9&lt;&gt;0,VLOOKUP(AF19/$AF$9*100,TRANSMUTATION_TABLE!$A$2:$B$102,2),""),"")</f>
        <v/>
      </c>
      <c r="AH19" s="55"/>
      <c r="AI19" s="45" t="str">
        <f>IF(AND(B19&lt;&gt;""),IF($AH$9&lt;&gt;0,VLOOKUP(AH19/$AH$9*100,TRANSMUTATION_TABLE!$A$2:$B$102,2),""),"")</f>
        <v/>
      </c>
      <c r="AJ19" s="45" t="str">
        <f>IF(OR(K19&lt;&gt;"",T19&lt;&gt;"",AC19&lt;&gt;"",AG19&lt;&gt;"",AI19&lt;&gt;""),SUM(PRODUCT(K19,IF(Settings!$I$17&lt;&gt;0,Settings!$I$17/100,0)),PRODUCT(T19,IF(Settings!$I$18&lt;&gt;0,Settings!$I$18/100,0)),PRODUCT(AC19,IF(Settings!$I$19&lt;&gt;0,Settings!$I$19/100,0)),PRODUCT(AG19,IF(Settings!$I$20&lt;&gt;0,Settings!$I$20/100,0)),PRODUCT(AI19,IF(Settings!$I$21&lt;&gt;0,Settings!$I$21/100,0))),"")</f>
        <v/>
      </c>
      <c r="AK19" s="45" t="str">
        <f>Prelim!AJ19</f>
        <v/>
      </c>
      <c r="AL19" s="45" t="str">
        <f>Midterm!AL19</f>
        <v/>
      </c>
      <c r="AM19" s="45" t="str">
        <f>SemiFinal!AM19</f>
        <v/>
      </c>
      <c r="AN19" s="46" t="str">
        <f>IF(AJ19&lt;&gt;"",AVERAGE(AVERAGE(Prelim!AJ19,Midterm!AL19),AVERAGE(SemiFinal!AM19,Final!AJ19)),"")</f>
        <v/>
      </c>
      <c r="AO19" s="45">
        <f t="shared" si="3"/>
        <v>5</v>
      </c>
      <c r="AP19" s="37"/>
      <c r="AQ19" s="37"/>
      <c r="AR19" s="37"/>
    </row>
    <row r="20" spans="1:44" ht="12" customHeight="1" thickBot="1" x14ac:dyDescent="0.35">
      <c r="A20" s="47"/>
      <c r="B20" s="60"/>
      <c r="C20" s="5"/>
      <c r="D20" s="42" t="str">
        <f>IF(AND(B20&lt;&gt;""),IF($C$9&lt;&gt;0,VLOOKUP(C20/$C$9*100,TRANSMUTATION_TABLE!$A$2:$B$102,2),""),"")</f>
        <v/>
      </c>
      <c r="E20" s="5"/>
      <c r="F20" s="42" t="str">
        <f>IF(AND(B20&lt;&gt;""),IF($E$9&lt;&gt;0,VLOOKUP(E20/$E$9*100,TRANSMUTATION_TABLE!$A$2:$B$102,2),""),"")</f>
        <v/>
      </c>
      <c r="G20" s="5"/>
      <c r="H20" s="42" t="str">
        <f>IF(AND(B20&lt;&gt;""),IF($G$9&lt;&gt;0,VLOOKUP(G20/$G$9*100,TRANSMUTATION_TABLE!$A$2:$B$102,2),""),"")</f>
        <v/>
      </c>
      <c r="I20" s="5"/>
      <c r="J20" s="43" t="str">
        <f>IF(AND(B20&lt;&gt;""),IF($I$9&lt;&gt;0,VLOOKUP(I20/$I$9*100,TRANSMUTATION_TABLE!$A$2:$B$102,2),""),"")</f>
        <v/>
      </c>
      <c r="K20" s="48" t="str">
        <f t="shared" si="0"/>
        <v/>
      </c>
      <c r="L20" s="5"/>
      <c r="M20" s="42" t="str">
        <f>IF(AND(B20&lt;&gt;""),IF($L$9&lt;&gt;0,VLOOKUP(L20/$L$9*100,TRANSMUTATION_TABLE!$A$2:$B$102,2),""),"")</f>
        <v/>
      </c>
      <c r="N20" s="5"/>
      <c r="O20" s="42" t="str">
        <f>IF(AND(B20&lt;&gt;""),IF($N$9&lt;&gt;0,VLOOKUP(N20/$N$9*100,TRANSMUTATION_TABLE!$A$2:$B$102,2),""),"")</f>
        <v/>
      </c>
      <c r="P20" s="5"/>
      <c r="Q20" s="42" t="str">
        <f>IF(AND(B20&lt;&gt;""),IF($P$9&lt;&gt;0,VLOOKUP(P20/$P$9*100,TRANSMUTATION_TABLE!$A$2:$B$102,2),""),"")</f>
        <v/>
      </c>
      <c r="R20" s="5"/>
      <c r="S20" s="43" t="str">
        <f>IF(AND(B20&lt;&gt;""),IF($R$9&lt;&gt;0,VLOOKUP(R20/$R$9*100,TRANSMUTATION_TABLE!$A$2:$B$102,2),""),"")</f>
        <v/>
      </c>
      <c r="T20" s="48" t="str">
        <f t="shared" si="1"/>
        <v/>
      </c>
      <c r="U20" s="5"/>
      <c r="V20" s="42" t="str">
        <f>IF(AND(B20&lt;&gt;""),IF($U$9&lt;&gt;0,VLOOKUP(U20/$U$9*100,TRANSMUTATION_TABLE!$A$2:$B$102,2),""),"")</f>
        <v/>
      </c>
      <c r="W20" s="5"/>
      <c r="X20" s="42" t="str">
        <f>IF(AND(B20&lt;&gt;""),IF($W$9&lt;&gt;0,VLOOKUP(W20/$W$9*100,TRANSMUTATION_TABLE!$A$2:$B$102,2),""),"")</f>
        <v/>
      </c>
      <c r="Y20" s="5"/>
      <c r="Z20" s="42" t="str">
        <f>IF(AND(B20&lt;&gt;""),IF($Y$9&lt;&gt;0,VLOOKUP(Y20/$Y$9*100,TRANSMUTATION_TABLE!$A$2:$B$102,2),""),"")</f>
        <v/>
      </c>
      <c r="AA20" s="5"/>
      <c r="AB20" s="43" t="str">
        <f>IF(AND(B20&lt;&gt;""),IF($AA$9&lt;&gt;0,VLOOKUP(AA20/$AA$9*100,TRANSMUTATION_TABLE!$A$2:$B$102,2),""),"")</f>
        <v/>
      </c>
      <c r="AC20" s="48" t="str">
        <f t="shared" si="2"/>
        <v/>
      </c>
      <c r="AD20" s="58"/>
      <c r="AE20" s="42" t="str">
        <f>IF(AND(B20&lt;&gt;""),IF($AD$9&lt;&gt;0,VLOOKUP(AD20/$AD$9*100,TRANSMUTATION_TABLE!$A$2:$B$102,2),""),"")</f>
        <v/>
      </c>
      <c r="AF20" s="50">
        <f>Attendance!BW17</f>
        <v>0</v>
      </c>
      <c r="AG20" s="45" t="str">
        <f>IF(AND(B20&lt;&gt;""),IF($AF$9&lt;&gt;0,VLOOKUP(AF20/$AF$9*100,TRANSMUTATION_TABLE!$A$2:$B$102,2),""),"")</f>
        <v/>
      </c>
      <c r="AH20" s="5"/>
      <c r="AI20" s="45" t="str">
        <f>IF(AND(B20&lt;&gt;""),IF($AH$9&lt;&gt;0,VLOOKUP(AH20/$AH$9*100,TRANSMUTATION_TABLE!$A$2:$B$102,2),""),"")</f>
        <v/>
      </c>
      <c r="AJ20" s="45" t="str">
        <f>IF(OR(K20&lt;&gt;"",T20&lt;&gt;"",AC20&lt;&gt;"",AG20&lt;&gt;"",AI20&lt;&gt;""),SUM(PRODUCT(K20,IF(Settings!$I$17&lt;&gt;0,Settings!$I$17/100,0)),PRODUCT(T20,IF(Settings!$I$18&lt;&gt;0,Settings!$I$18/100,0)),PRODUCT(AC20,IF(Settings!$I$19&lt;&gt;0,Settings!$I$19/100,0)),PRODUCT(AG20,IF(Settings!$I$20&lt;&gt;0,Settings!$I$20/100,0)),PRODUCT(AI20,IF(Settings!$I$21&lt;&gt;0,Settings!$I$21/100,0))),"")</f>
        <v/>
      </c>
      <c r="AK20" s="45" t="str">
        <f>Prelim!AJ20</f>
        <v/>
      </c>
      <c r="AL20" s="45" t="str">
        <f>Midterm!AL20</f>
        <v/>
      </c>
      <c r="AM20" s="45" t="str">
        <f>SemiFinal!AM20</f>
        <v/>
      </c>
      <c r="AN20" s="46" t="str">
        <f>IF(AJ20&lt;&gt;"",AVERAGE(AVERAGE(Prelim!AJ20,Midterm!AL20),AVERAGE(SemiFinal!AM20,Final!AJ20)),"")</f>
        <v/>
      </c>
      <c r="AO20" s="45">
        <f t="shared" si="3"/>
        <v>5</v>
      </c>
      <c r="AP20" s="37"/>
      <c r="AQ20" s="37"/>
      <c r="AR20" s="37"/>
    </row>
    <row r="21" spans="1:44" ht="12" customHeight="1" thickBot="1" x14ac:dyDescent="0.35">
      <c r="A21" s="52"/>
      <c r="B21" s="60"/>
      <c r="C21" s="5"/>
      <c r="D21" s="42" t="str">
        <f>IF(AND(B21&lt;&gt;""),IF($C$9&lt;&gt;0,VLOOKUP(C21/$C$9*100,TRANSMUTATION_TABLE!$A$2:$B$102,2),""),"")</f>
        <v/>
      </c>
      <c r="E21" s="5"/>
      <c r="F21" s="42" t="str">
        <f>IF(AND(B21&lt;&gt;""),IF($E$9&lt;&gt;0,VLOOKUP(E21/$E$9*100,TRANSMUTATION_TABLE!$A$2:$B$102,2),""),"")</f>
        <v/>
      </c>
      <c r="G21" s="5"/>
      <c r="H21" s="42" t="str">
        <f>IF(AND(B21&lt;&gt;""),IF($G$9&lt;&gt;0,VLOOKUP(G21/$G$9*100,TRANSMUTATION_TABLE!$A$2:$B$102,2),""),"")</f>
        <v/>
      </c>
      <c r="I21" s="5"/>
      <c r="J21" s="43" t="str">
        <f>IF(AND(B21&lt;&gt;""),IF($I$9&lt;&gt;0,VLOOKUP(I21/$I$9*100,TRANSMUTATION_TABLE!$A$2:$B$102,2),""),"")</f>
        <v/>
      </c>
      <c r="K21" s="48" t="str">
        <f t="shared" si="0"/>
        <v/>
      </c>
      <c r="L21" s="5"/>
      <c r="M21" s="42" t="str">
        <f>IF(AND(B21&lt;&gt;""),IF($L$9&lt;&gt;0,VLOOKUP(L21/$L$9*100,TRANSMUTATION_TABLE!$A$2:$B$102,2),""),"")</f>
        <v/>
      </c>
      <c r="N21" s="5"/>
      <c r="O21" s="42" t="str">
        <f>IF(AND(B21&lt;&gt;""),IF($N$9&lt;&gt;0,VLOOKUP(N21/$N$9*100,TRANSMUTATION_TABLE!$A$2:$B$102,2),""),"")</f>
        <v/>
      </c>
      <c r="P21" s="5"/>
      <c r="Q21" s="42" t="str">
        <f>IF(AND(B21&lt;&gt;""),IF($P$9&lt;&gt;0,VLOOKUP(P21/$P$9*100,TRANSMUTATION_TABLE!$A$2:$B$102,2),""),"")</f>
        <v/>
      </c>
      <c r="R21" s="5"/>
      <c r="S21" s="43" t="str">
        <f>IF(AND(B21&lt;&gt;""),IF($R$9&lt;&gt;0,VLOOKUP(R21/$R$9*100,TRANSMUTATION_TABLE!$A$2:$B$102,2),""),"")</f>
        <v/>
      </c>
      <c r="T21" s="48" t="str">
        <f t="shared" si="1"/>
        <v/>
      </c>
      <c r="U21" s="5"/>
      <c r="V21" s="42" t="str">
        <f>IF(AND(B21&lt;&gt;""),IF($U$9&lt;&gt;0,VLOOKUP(U21/$U$9*100,TRANSMUTATION_TABLE!$A$2:$B$102,2),""),"")</f>
        <v/>
      </c>
      <c r="W21" s="5"/>
      <c r="X21" s="42" t="str">
        <f>IF(AND(B21&lt;&gt;""),IF($W$9&lt;&gt;0,VLOOKUP(W21/$W$9*100,TRANSMUTATION_TABLE!$A$2:$B$102,2),""),"")</f>
        <v/>
      </c>
      <c r="Y21" s="5"/>
      <c r="Z21" s="42" t="str">
        <f>IF(AND(B21&lt;&gt;""),IF($Y$9&lt;&gt;0,VLOOKUP(Y21/$Y$9*100,TRANSMUTATION_TABLE!$A$2:$B$102,2),""),"")</f>
        <v/>
      </c>
      <c r="AA21" s="5"/>
      <c r="AB21" s="43" t="str">
        <f>IF(AND(B21&lt;&gt;""),IF($AA$9&lt;&gt;0,VLOOKUP(AA21/$AA$9*100,TRANSMUTATION_TABLE!$A$2:$B$102,2),""),"")</f>
        <v/>
      </c>
      <c r="AC21" s="48" t="str">
        <f t="shared" si="2"/>
        <v/>
      </c>
      <c r="AD21" s="53"/>
      <c r="AE21" s="42" t="str">
        <f>IF(AND(B21&lt;&gt;""),IF($AD$9&lt;&gt;0,VLOOKUP(AD21/$AD$9*100,TRANSMUTATION_TABLE!$A$2:$B$102,2),""),"")</f>
        <v/>
      </c>
      <c r="AF21" s="50">
        <f>Attendance!BW18</f>
        <v>0</v>
      </c>
      <c r="AG21" s="45" t="str">
        <f>IF(AND(B21&lt;&gt;""),IF($AF$9&lt;&gt;0,VLOOKUP(AF21/$AF$9*100,TRANSMUTATION_TABLE!$A$2:$B$102,2),""),"")</f>
        <v/>
      </c>
      <c r="AH21" s="5"/>
      <c r="AI21" s="45" t="str">
        <f>IF(AND(B21&lt;&gt;""),IF($AH$9&lt;&gt;0,VLOOKUP(AH21/$AH$9*100,TRANSMUTATION_TABLE!$A$2:$B$102,2),""),"")</f>
        <v/>
      </c>
      <c r="AJ21" s="45" t="str">
        <f>IF(OR(K21&lt;&gt;"",T21&lt;&gt;"",AC21&lt;&gt;"",AG21&lt;&gt;"",AI21&lt;&gt;""),SUM(PRODUCT(K21,IF(Settings!$I$17&lt;&gt;0,Settings!$I$17/100,0)),PRODUCT(T21,IF(Settings!$I$18&lt;&gt;0,Settings!$I$18/100,0)),PRODUCT(AC21,IF(Settings!$I$19&lt;&gt;0,Settings!$I$19/100,0)),PRODUCT(AG21,IF(Settings!$I$20&lt;&gt;0,Settings!$I$20/100,0)),PRODUCT(AI21,IF(Settings!$I$21&lt;&gt;0,Settings!$I$21/100,0))),"")</f>
        <v/>
      </c>
      <c r="AK21" s="45" t="str">
        <f>Prelim!AJ21</f>
        <v/>
      </c>
      <c r="AL21" s="45" t="str">
        <f>Midterm!AL21</f>
        <v/>
      </c>
      <c r="AM21" s="45" t="str">
        <f>SemiFinal!AM21</f>
        <v/>
      </c>
      <c r="AN21" s="46" t="str">
        <f>IF(AJ21&lt;&gt;"",AVERAGE(AVERAGE(Prelim!AJ21,Midterm!AL21),AVERAGE(SemiFinal!AM21,Final!AJ21)),"")</f>
        <v/>
      </c>
      <c r="AO21" s="45">
        <f t="shared" si="3"/>
        <v>5</v>
      </c>
      <c r="AP21" s="37"/>
      <c r="AQ21" s="37"/>
      <c r="AR21" s="37" t="s">
        <v>44</v>
      </c>
    </row>
    <row r="22" spans="1:44" ht="12" customHeight="1" thickBot="1" x14ac:dyDescent="0.35">
      <c r="A22" s="52"/>
      <c r="B22" s="60"/>
      <c r="C22" s="5"/>
      <c r="D22" s="42" t="str">
        <f>IF(AND(B22&lt;&gt;""),IF($C$9&lt;&gt;0,VLOOKUP(C22/$C$9*100,TRANSMUTATION_TABLE!$A$2:$B$102,2),""),"")</f>
        <v/>
      </c>
      <c r="E22" s="5"/>
      <c r="F22" s="42" t="str">
        <f>IF(AND(B22&lt;&gt;""),IF($E$9&lt;&gt;0,VLOOKUP(E22/$E$9*100,TRANSMUTATION_TABLE!$A$2:$B$102,2),""),"")</f>
        <v/>
      </c>
      <c r="G22" s="5"/>
      <c r="H22" s="42" t="str">
        <f>IF(AND(B22&lt;&gt;""),IF($G$9&lt;&gt;0,VLOOKUP(G22/$G$9*100,TRANSMUTATION_TABLE!$A$2:$B$102,2),""),"")</f>
        <v/>
      </c>
      <c r="I22" s="5"/>
      <c r="J22" s="43" t="str">
        <f>IF(AND(B22&lt;&gt;""),IF($I$9&lt;&gt;0,VLOOKUP(I22/$I$9*100,TRANSMUTATION_TABLE!$A$2:$B$102,2),""),"")</f>
        <v/>
      </c>
      <c r="K22" s="48" t="str">
        <f t="shared" si="0"/>
        <v/>
      </c>
      <c r="L22" s="5"/>
      <c r="M22" s="42" t="str">
        <f>IF(AND(B22&lt;&gt;""),IF($L$9&lt;&gt;0,VLOOKUP(L22/$L$9*100,TRANSMUTATION_TABLE!$A$2:$B$102,2),""),"")</f>
        <v/>
      </c>
      <c r="N22" s="5"/>
      <c r="O22" s="42" t="str">
        <f>IF(AND(B22&lt;&gt;""),IF($N$9&lt;&gt;0,VLOOKUP(N22/$N$9*100,TRANSMUTATION_TABLE!$A$2:$B$102,2),""),"")</f>
        <v/>
      </c>
      <c r="P22" s="5"/>
      <c r="Q22" s="42" t="str">
        <f>IF(AND(B22&lt;&gt;""),IF($P$9&lt;&gt;0,VLOOKUP(P22/$P$9*100,TRANSMUTATION_TABLE!$A$2:$B$102,2),""),"")</f>
        <v/>
      </c>
      <c r="R22" s="5"/>
      <c r="S22" s="43" t="str">
        <f>IF(AND(B22&lt;&gt;""),IF($R$9&lt;&gt;0,VLOOKUP(R22/$R$9*100,TRANSMUTATION_TABLE!$A$2:$B$102,2),""),"")</f>
        <v/>
      </c>
      <c r="T22" s="48" t="str">
        <f t="shared" si="1"/>
        <v/>
      </c>
      <c r="U22" s="5"/>
      <c r="V22" s="42" t="str">
        <f>IF(AND(B22&lt;&gt;""),IF($U$9&lt;&gt;0,VLOOKUP(U22/$U$9*100,TRANSMUTATION_TABLE!$A$2:$B$102,2),""),"")</f>
        <v/>
      </c>
      <c r="W22" s="5"/>
      <c r="X22" s="42" t="str">
        <f>IF(AND(B22&lt;&gt;""),IF($W$9&lt;&gt;0,VLOOKUP(W22/$W$9*100,TRANSMUTATION_TABLE!$A$2:$B$102,2),""),"")</f>
        <v/>
      </c>
      <c r="Y22" s="5"/>
      <c r="Z22" s="42" t="str">
        <f>IF(AND(B22&lt;&gt;""),IF($Y$9&lt;&gt;0,VLOOKUP(Y22/$Y$9*100,TRANSMUTATION_TABLE!$A$2:$B$102,2),""),"")</f>
        <v/>
      </c>
      <c r="AA22" s="5"/>
      <c r="AB22" s="43" t="str">
        <f>IF(AND(B22&lt;&gt;""),IF($AA$9&lt;&gt;0,VLOOKUP(AA22/$AA$9*100,TRANSMUTATION_TABLE!$A$2:$B$102,2),""),"")</f>
        <v/>
      </c>
      <c r="AC22" s="48" t="str">
        <f t="shared" si="2"/>
        <v/>
      </c>
      <c r="AD22" s="53"/>
      <c r="AE22" s="42" t="str">
        <f>IF(AND(B22&lt;&gt;""),IF($AD$9&lt;&gt;0,VLOOKUP(AD22/$AD$9*100,TRANSMUTATION_TABLE!$A$2:$B$102,2),""),"")</f>
        <v/>
      </c>
      <c r="AF22" s="50">
        <f>Attendance!BW19</f>
        <v>0</v>
      </c>
      <c r="AG22" s="45" t="str">
        <f>IF(AND(B22&lt;&gt;""),IF($AF$9&lt;&gt;0,VLOOKUP(AF22/$AF$9*100,TRANSMUTATION_TABLE!$A$2:$B$102,2),""),"")</f>
        <v/>
      </c>
      <c r="AH22" s="5"/>
      <c r="AI22" s="45" t="str">
        <f>IF(AND(B22&lt;&gt;""),IF($AH$9&lt;&gt;0,VLOOKUP(AH22/$AH$9*100,TRANSMUTATION_TABLE!$A$2:$B$102,2),""),"")</f>
        <v/>
      </c>
      <c r="AJ22" s="45" t="str">
        <f>IF(OR(K22&lt;&gt;"",T22&lt;&gt;"",AC22&lt;&gt;"",AG22&lt;&gt;"",AI22&lt;&gt;""),SUM(PRODUCT(K22,IF(Settings!$I$17&lt;&gt;0,Settings!$I$17/100,0)),PRODUCT(T22,IF(Settings!$I$18&lt;&gt;0,Settings!$I$18/100,0)),PRODUCT(AC22,IF(Settings!$I$19&lt;&gt;0,Settings!$I$19/100,0)),PRODUCT(AG22,IF(Settings!$I$20&lt;&gt;0,Settings!$I$20/100,0)),PRODUCT(AI22,IF(Settings!$I$21&lt;&gt;0,Settings!$I$21/100,0))),"")</f>
        <v/>
      </c>
      <c r="AK22" s="45" t="str">
        <f>Prelim!AJ22</f>
        <v/>
      </c>
      <c r="AL22" s="45" t="str">
        <f>Midterm!AL22</f>
        <v/>
      </c>
      <c r="AM22" s="45" t="str">
        <f>SemiFinal!AM22</f>
        <v/>
      </c>
      <c r="AN22" s="46" t="str">
        <f>IF(AJ22&lt;&gt;"",AVERAGE(AVERAGE(Prelim!AJ22,Midterm!AL22),AVERAGE(SemiFinal!AM22,Final!AJ22)),"")</f>
        <v/>
      </c>
      <c r="AO22" s="45">
        <f t="shared" si="3"/>
        <v>5</v>
      </c>
      <c r="AP22" s="37"/>
      <c r="AQ22" s="37"/>
      <c r="AR22" s="37"/>
    </row>
    <row r="23" spans="1:44" ht="12" customHeight="1" thickBot="1" x14ac:dyDescent="0.35">
      <c r="A23" s="52"/>
      <c r="B23" s="60"/>
      <c r="C23" s="5"/>
      <c r="D23" s="42" t="str">
        <f>IF(AND(B23&lt;&gt;""),IF($C$9&lt;&gt;0,VLOOKUP(C23/$C$9*100,TRANSMUTATION_TABLE!$A$2:$B$102,2),""),"")</f>
        <v/>
      </c>
      <c r="E23" s="5"/>
      <c r="F23" s="42" t="str">
        <f>IF(AND(B23&lt;&gt;""),IF($E$9&lt;&gt;0,VLOOKUP(E23/$E$9*100,TRANSMUTATION_TABLE!$A$2:$B$102,2),""),"")</f>
        <v/>
      </c>
      <c r="G23" s="5"/>
      <c r="H23" s="42" t="str">
        <f>IF(AND(B23&lt;&gt;""),IF($G$9&lt;&gt;0,VLOOKUP(G23/$G$9*100,TRANSMUTATION_TABLE!$A$2:$B$102,2),""),"")</f>
        <v/>
      </c>
      <c r="I23" s="5"/>
      <c r="J23" s="43" t="str">
        <f>IF(AND(B23&lt;&gt;""),IF($I$9&lt;&gt;0,VLOOKUP(I23/$I$9*100,TRANSMUTATION_TABLE!$A$2:$B$102,2),""),"")</f>
        <v/>
      </c>
      <c r="K23" s="48" t="str">
        <f t="shared" si="0"/>
        <v/>
      </c>
      <c r="L23" s="5"/>
      <c r="M23" s="42" t="str">
        <f>IF(AND(B23&lt;&gt;""),IF($L$9&lt;&gt;0,VLOOKUP(L23/$L$9*100,TRANSMUTATION_TABLE!$A$2:$B$102,2),""),"")</f>
        <v/>
      </c>
      <c r="N23" s="5"/>
      <c r="O23" s="42" t="str">
        <f>IF(AND(B23&lt;&gt;""),IF($N$9&lt;&gt;0,VLOOKUP(N23/$N$9*100,TRANSMUTATION_TABLE!$A$2:$B$102,2),""),"")</f>
        <v/>
      </c>
      <c r="P23" s="5"/>
      <c r="Q23" s="42" t="str">
        <f>IF(AND(B23&lt;&gt;""),IF($P$9&lt;&gt;0,VLOOKUP(P23/$P$9*100,TRANSMUTATION_TABLE!$A$2:$B$102,2),""),"")</f>
        <v/>
      </c>
      <c r="R23" s="5"/>
      <c r="S23" s="43" t="str">
        <f>IF(AND(B23&lt;&gt;""),IF($R$9&lt;&gt;0,VLOOKUP(R23/$R$9*100,TRANSMUTATION_TABLE!$A$2:$B$102,2),""),"")</f>
        <v/>
      </c>
      <c r="T23" s="48" t="str">
        <f t="shared" si="1"/>
        <v/>
      </c>
      <c r="U23" s="5"/>
      <c r="V23" s="42" t="str">
        <f>IF(AND(B23&lt;&gt;""),IF($U$9&lt;&gt;0,VLOOKUP(U23/$U$9*100,TRANSMUTATION_TABLE!$A$2:$B$102,2),""),"")</f>
        <v/>
      </c>
      <c r="W23" s="5"/>
      <c r="X23" s="42" t="str">
        <f>IF(AND(B23&lt;&gt;""),IF($W$9&lt;&gt;0,VLOOKUP(W23/$W$9*100,TRANSMUTATION_TABLE!$A$2:$B$102,2),""),"")</f>
        <v/>
      </c>
      <c r="Y23" s="5"/>
      <c r="Z23" s="42" t="str">
        <f>IF(AND(B23&lt;&gt;""),IF($Y$9&lt;&gt;0,VLOOKUP(Y23/$Y$9*100,TRANSMUTATION_TABLE!$A$2:$B$102,2),""),"")</f>
        <v/>
      </c>
      <c r="AA23" s="5"/>
      <c r="AB23" s="43" t="str">
        <f>IF(AND(B23&lt;&gt;""),IF($AA$9&lt;&gt;0,VLOOKUP(AA23/$AA$9*100,TRANSMUTATION_TABLE!$A$2:$B$102,2),""),"")</f>
        <v/>
      </c>
      <c r="AC23" s="48" t="str">
        <f t="shared" si="2"/>
        <v/>
      </c>
      <c r="AD23" s="53"/>
      <c r="AE23" s="42" t="str">
        <f>IF(AND(B23&lt;&gt;""),IF($AD$9&lt;&gt;0,VLOOKUP(AD23/$AD$9*100,TRANSMUTATION_TABLE!$A$2:$B$102,2),""),"")</f>
        <v/>
      </c>
      <c r="AF23" s="50">
        <f>Attendance!BW20</f>
        <v>0</v>
      </c>
      <c r="AG23" s="45" t="str">
        <f>IF(AND(B23&lt;&gt;""),IF($AF$9&lt;&gt;0,VLOOKUP(AF23/$AF$9*100,TRANSMUTATION_TABLE!$A$2:$B$102,2),""),"")</f>
        <v/>
      </c>
      <c r="AH23" s="5"/>
      <c r="AI23" s="45" t="str">
        <f>IF(AND(B23&lt;&gt;""),IF($AH$9&lt;&gt;0,VLOOKUP(AH23/$AH$9*100,TRANSMUTATION_TABLE!$A$2:$B$102,2),""),"")</f>
        <v/>
      </c>
      <c r="AJ23" s="45" t="str">
        <f>IF(OR(K23&lt;&gt;"",T23&lt;&gt;"",AC23&lt;&gt;"",AG23&lt;&gt;"",AI23&lt;&gt;""),SUM(PRODUCT(K23,IF(Settings!$I$17&lt;&gt;0,Settings!$I$17/100,0)),PRODUCT(T23,IF(Settings!$I$18&lt;&gt;0,Settings!$I$18/100,0)),PRODUCT(AC23,IF(Settings!$I$19&lt;&gt;0,Settings!$I$19/100,0)),PRODUCT(AG23,IF(Settings!$I$20&lt;&gt;0,Settings!$I$20/100,0)),PRODUCT(AI23,IF(Settings!$I$21&lt;&gt;0,Settings!$I$21/100,0))),"")</f>
        <v/>
      </c>
      <c r="AK23" s="45" t="str">
        <f>Prelim!AJ23</f>
        <v/>
      </c>
      <c r="AL23" s="45" t="str">
        <f>Midterm!AL23</f>
        <v/>
      </c>
      <c r="AM23" s="45" t="str">
        <f>SemiFinal!AM23</f>
        <v/>
      </c>
      <c r="AN23" s="46" t="str">
        <f>IF(AJ23&lt;&gt;"",AVERAGE(AVERAGE(Prelim!AJ23,Midterm!AL23),AVERAGE(SemiFinal!AM23,Final!AJ23)),"")</f>
        <v/>
      </c>
      <c r="AO23" s="45">
        <f t="shared" si="3"/>
        <v>5</v>
      </c>
      <c r="AP23" s="37"/>
      <c r="AQ23" s="37"/>
      <c r="AR23" s="37"/>
    </row>
    <row r="24" spans="1:44" ht="12" customHeight="1" thickBot="1" x14ac:dyDescent="0.35">
      <c r="A24" s="54"/>
      <c r="B24" s="60"/>
      <c r="C24" s="55"/>
      <c r="D24" s="42" t="str">
        <f>IF(AND(B24&lt;&gt;""),IF($C$9&lt;&gt;0,VLOOKUP(C24/$C$9*100,TRANSMUTATION_TABLE!$A$2:$B$102,2),""),"")</f>
        <v/>
      </c>
      <c r="E24" s="55"/>
      <c r="F24" s="42" t="str">
        <f>IF(AND(B24&lt;&gt;""),IF($E$9&lt;&gt;0,VLOOKUP(E24/$E$9*100,TRANSMUTATION_TABLE!$A$2:$B$102,2),""),"")</f>
        <v/>
      </c>
      <c r="G24" s="55"/>
      <c r="H24" s="42" t="str">
        <f>IF(AND(B24&lt;&gt;""),IF($G$9&lt;&gt;0,VLOOKUP(G24/$G$9*100,TRANSMUTATION_TABLE!$A$2:$B$102,2),""),"")</f>
        <v/>
      </c>
      <c r="I24" s="55"/>
      <c r="J24" s="43" t="str">
        <f>IF(AND(B24&lt;&gt;""),IF($I$9&lt;&gt;0,VLOOKUP(I24/$I$9*100,TRANSMUTATION_TABLE!$A$2:$B$102,2),""),"")</f>
        <v/>
      </c>
      <c r="K24" s="48" t="str">
        <f t="shared" si="0"/>
        <v/>
      </c>
      <c r="L24" s="55"/>
      <c r="M24" s="42" t="str">
        <f>IF(AND(B24&lt;&gt;""),IF($L$9&lt;&gt;0,VLOOKUP(L24/$L$9*100,TRANSMUTATION_TABLE!$A$2:$B$102,2),""),"")</f>
        <v/>
      </c>
      <c r="N24" s="55"/>
      <c r="O24" s="42" t="str">
        <f>IF(AND(B24&lt;&gt;""),IF($N$9&lt;&gt;0,VLOOKUP(N24/$N$9*100,TRANSMUTATION_TABLE!$A$2:$B$102,2),""),"")</f>
        <v/>
      </c>
      <c r="P24" s="55"/>
      <c r="Q24" s="42" t="str">
        <f>IF(AND(B24&lt;&gt;""),IF($P$9&lt;&gt;0,VLOOKUP(P24/$P$9*100,TRANSMUTATION_TABLE!$A$2:$B$102,2),""),"")</f>
        <v/>
      </c>
      <c r="R24" s="55"/>
      <c r="S24" s="43" t="str">
        <f>IF(AND(B24&lt;&gt;""),IF($R$9&lt;&gt;0,VLOOKUP(R24/$R$9*100,TRANSMUTATION_TABLE!$A$2:$B$102,2),""),"")</f>
        <v/>
      </c>
      <c r="T24" s="48" t="str">
        <f t="shared" si="1"/>
        <v/>
      </c>
      <c r="U24" s="55"/>
      <c r="V24" s="42" t="str">
        <f>IF(AND(B24&lt;&gt;""),IF($U$9&lt;&gt;0,VLOOKUP(U24/$U$9*100,TRANSMUTATION_TABLE!$A$2:$B$102,2),""),"")</f>
        <v/>
      </c>
      <c r="W24" s="55"/>
      <c r="X24" s="42" t="str">
        <f>IF(AND(B24&lt;&gt;""),IF($W$9&lt;&gt;0,VLOOKUP(W24/$W$9*100,TRANSMUTATION_TABLE!$A$2:$B$102,2),""),"")</f>
        <v/>
      </c>
      <c r="Y24" s="55"/>
      <c r="Z24" s="42" t="str">
        <f>IF(AND(B24&lt;&gt;""),IF($Y$9&lt;&gt;0,VLOOKUP(Y24/$Y$9*100,TRANSMUTATION_TABLE!$A$2:$B$102,2),""),"")</f>
        <v/>
      </c>
      <c r="AA24" s="55"/>
      <c r="AB24" s="43" t="str">
        <f>IF(AND(B24&lt;&gt;""),IF($AA$9&lt;&gt;0,VLOOKUP(AA24/$AA$9*100,TRANSMUTATION_TABLE!$A$2:$B$102,2),""),"")</f>
        <v/>
      </c>
      <c r="AC24" s="48" t="str">
        <f t="shared" si="2"/>
        <v/>
      </c>
      <c r="AD24" s="56"/>
      <c r="AE24" s="42" t="str">
        <f>IF(AND(B24&lt;&gt;""),IF($AD$9&lt;&gt;0,VLOOKUP(AD24/$AD$9*100,TRANSMUTATION_TABLE!$A$2:$B$102,2),""),"")</f>
        <v/>
      </c>
      <c r="AF24" s="50">
        <f>Attendance!BW21</f>
        <v>0</v>
      </c>
      <c r="AG24" s="45" t="str">
        <f>IF(AND(B24&lt;&gt;""),IF($AF$9&lt;&gt;0,VLOOKUP(AF24/$AF$9*100,TRANSMUTATION_TABLE!$A$2:$B$102,2),""),"")</f>
        <v/>
      </c>
      <c r="AH24" s="55"/>
      <c r="AI24" s="45" t="str">
        <f>IF(AND(B24&lt;&gt;""),IF($AH$9&lt;&gt;0,VLOOKUP(AH24/$AH$9*100,TRANSMUTATION_TABLE!$A$2:$B$102,2),""),"")</f>
        <v/>
      </c>
      <c r="AJ24" s="45" t="str">
        <f>IF(OR(K24&lt;&gt;"",T24&lt;&gt;"",AC24&lt;&gt;"",AG24&lt;&gt;"",AI24&lt;&gt;""),SUM(PRODUCT(K24,IF(Settings!$I$17&lt;&gt;0,Settings!$I$17/100,0)),PRODUCT(T24,IF(Settings!$I$18&lt;&gt;0,Settings!$I$18/100,0)),PRODUCT(AC24,IF(Settings!$I$19&lt;&gt;0,Settings!$I$19/100,0)),PRODUCT(AG24,IF(Settings!$I$20&lt;&gt;0,Settings!$I$20/100,0)),PRODUCT(AI24,IF(Settings!$I$21&lt;&gt;0,Settings!$I$21/100,0))),"")</f>
        <v/>
      </c>
      <c r="AK24" s="45" t="str">
        <f>Prelim!AJ24</f>
        <v/>
      </c>
      <c r="AL24" s="45" t="str">
        <f>Midterm!AL24</f>
        <v/>
      </c>
      <c r="AM24" s="45" t="str">
        <f>SemiFinal!AM24</f>
        <v/>
      </c>
      <c r="AN24" s="46" t="str">
        <f>IF(AJ24&lt;&gt;"",AVERAGE(AVERAGE(Prelim!AJ24,Midterm!AL24),AVERAGE(SemiFinal!AM24,Final!AJ24)),"")</f>
        <v/>
      </c>
      <c r="AO24" s="45">
        <f t="shared" si="3"/>
        <v>5</v>
      </c>
      <c r="AP24" s="37"/>
      <c r="AQ24" s="37"/>
      <c r="AR24" s="37"/>
    </row>
    <row r="25" spans="1:44" ht="12" customHeight="1" thickBot="1" x14ac:dyDescent="0.35">
      <c r="A25" s="47"/>
      <c r="B25" s="60"/>
      <c r="C25" s="5"/>
      <c r="D25" s="42" t="str">
        <f>IF(AND(B25&lt;&gt;""),IF($C$9&lt;&gt;0,VLOOKUP(C25/$C$9*100,TRANSMUTATION_TABLE!$A$2:$B$102,2),""),"")</f>
        <v/>
      </c>
      <c r="E25" s="5"/>
      <c r="F25" s="42" t="str">
        <f>IF(AND(B25&lt;&gt;""),IF($E$9&lt;&gt;0,VLOOKUP(E25/$E$9*100,TRANSMUTATION_TABLE!$A$2:$B$102,2),""),"")</f>
        <v/>
      </c>
      <c r="G25" s="5"/>
      <c r="H25" s="42" t="str">
        <f>IF(AND(B25&lt;&gt;""),IF($G$9&lt;&gt;0,VLOOKUP(G25/$G$9*100,TRANSMUTATION_TABLE!$A$2:$B$102,2),""),"")</f>
        <v/>
      </c>
      <c r="I25" s="5"/>
      <c r="J25" s="43" t="str">
        <f>IF(AND(B25&lt;&gt;""),IF($I$9&lt;&gt;0,VLOOKUP(I25/$I$9*100,TRANSMUTATION_TABLE!$A$2:$B$102,2),""),"")</f>
        <v/>
      </c>
      <c r="K25" s="48" t="str">
        <f t="shared" si="0"/>
        <v/>
      </c>
      <c r="L25" s="5"/>
      <c r="M25" s="42" t="str">
        <f>IF(AND(B25&lt;&gt;""),IF($L$9&lt;&gt;0,VLOOKUP(L25/$L$9*100,TRANSMUTATION_TABLE!$A$2:$B$102,2),""),"")</f>
        <v/>
      </c>
      <c r="N25" s="5"/>
      <c r="O25" s="42" t="str">
        <f>IF(AND(B25&lt;&gt;""),IF($N$9&lt;&gt;0,VLOOKUP(N25/$N$9*100,TRANSMUTATION_TABLE!$A$2:$B$102,2),""),"")</f>
        <v/>
      </c>
      <c r="P25" s="5"/>
      <c r="Q25" s="42" t="str">
        <f>IF(AND(B25&lt;&gt;""),IF($P$9&lt;&gt;0,VLOOKUP(P25/$P$9*100,TRANSMUTATION_TABLE!$A$2:$B$102,2),""),"")</f>
        <v/>
      </c>
      <c r="R25" s="5"/>
      <c r="S25" s="43" t="str">
        <f>IF(AND(B25&lt;&gt;""),IF($R$9&lt;&gt;0,VLOOKUP(R25/$R$9*100,TRANSMUTATION_TABLE!$A$2:$B$102,2),""),"")</f>
        <v/>
      </c>
      <c r="T25" s="48" t="str">
        <f t="shared" si="1"/>
        <v/>
      </c>
      <c r="U25" s="5"/>
      <c r="V25" s="42" t="str">
        <f>IF(AND(B25&lt;&gt;""),IF($U$9&lt;&gt;0,VLOOKUP(U25/$U$9*100,TRANSMUTATION_TABLE!$A$2:$B$102,2),""),"")</f>
        <v/>
      </c>
      <c r="W25" s="5"/>
      <c r="X25" s="42" t="str">
        <f>IF(AND(B25&lt;&gt;""),IF($W$9&lt;&gt;0,VLOOKUP(W25/$W$9*100,TRANSMUTATION_TABLE!$A$2:$B$102,2),""),"")</f>
        <v/>
      </c>
      <c r="Y25" s="5"/>
      <c r="Z25" s="42" t="str">
        <f>IF(AND(B25&lt;&gt;""),IF($Y$9&lt;&gt;0,VLOOKUP(Y25/$Y$9*100,TRANSMUTATION_TABLE!$A$2:$B$102,2),""),"")</f>
        <v/>
      </c>
      <c r="AA25" s="5"/>
      <c r="AB25" s="43" t="str">
        <f>IF(AND(B25&lt;&gt;""),IF($AA$9&lt;&gt;0,VLOOKUP(AA25/$AA$9*100,TRANSMUTATION_TABLE!$A$2:$B$102,2),""),"")</f>
        <v/>
      </c>
      <c r="AC25" s="48" t="str">
        <f t="shared" si="2"/>
        <v/>
      </c>
      <c r="AD25" s="58"/>
      <c r="AE25" s="42" t="str">
        <f>IF(AND(B25&lt;&gt;""),IF($AD$9&lt;&gt;0,VLOOKUP(AD25/$AD$9*100,TRANSMUTATION_TABLE!$A$2:$B$102,2),""),"")</f>
        <v/>
      </c>
      <c r="AF25" s="50">
        <f>Attendance!BW22</f>
        <v>0</v>
      </c>
      <c r="AG25" s="45" t="str">
        <f>IF(AND(B25&lt;&gt;""),IF($AF$9&lt;&gt;0,VLOOKUP(AF25/$AF$9*100,TRANSMUTATION_TABLE!$A$2:$B$102,2),""),"")</f>
        <v/>
      </c>
      <c r="AH25" s="5"/>
      <c r="AI25" s="45" t="str">
        <f>IF(AND(B25&lt;&gt;""),IF($AH$9&lt;&gt;0,VLOOKUP(AH25/$AH$9*100,TRANSMUTATION_TABLE!$A$2:$B$102,2),""),"")</f>
        <v/>
      </c>
      <c r="AJ25" s="45" t="str">
        <f>IF(OR(K25&lt;&gt;"",T25&lt;&gt;"",AC25&lt;&gt;"",AG25&lt;&gt;"",AI25&lt;&gt;""),SUM(PRODUCT(K25,IF(Settings!$I$17&lt;&gt;0,Settings!$I$17/100,0)),PRODUCT(T25,IF(Settings!$I$18&lt;&gt;0,Settings!$I$18/100,0)),PRODUCT(AC25,IF(Settings!$I$19&lt;&gt;0,Settings!$I$19/100,0)),PRODUCT(AG25,IF(Settings!$I$20&lt;&gt;0,Settings!$I$20/100,0)),PRODUCT(AI25,IF(Settings!$I$21&lt;&gt;0,Settings!$I$21/100,0))),"")</f>
        <v/>
      </c>
      <c r="AK25" s="45" t="str">
        <f>Prelim!AJ25</f>
        <v/>
      </c>
      <c r="AL25" s="45" t="str">
        <f>Midterm!AL25</f>
        <v/>
      </c>
      <c r="AM25" s="45" t="str">
        <f>SemiFinal!AM25</f>
        <v/>
      </c>
      <c r="AN25" s="46" t="str">
        <f>IF(AJ25&lt;&gt;"",AVERAGE(AVERAGE(Prelim!AJ25,Midterm!AL25),AVERAGE(SemiFinal!AM25,Final!AJ25)),"")</f>
        <v/>
      </c>
      <c r="AO25" s="45">
        <f t="shared" si="3"/>
        <v>5</v>
      </c>
      <c r="AP25" s="37"/>
      <c r="AQ25" s="37"/>
      <c r="AR25" s="37"/>
    </row>
    <row r="26" spans="1:44" ht="12" customHeight="1" thickBot="1" x14ac:dyDescent="0.35">
      <c r="A26" s="52"/>
      <c r="B26" s="60"/>
      <c r="C26" s="5"/>
      <c r="D26" s="42" t="str">
        <f>IF(AND(B26&lt;&gt;""),IF($C$9&lt;&gt;0,VLOOKUP(C26/$C$9*100,TRANSMUTATION_TABLE!$A$2:$B$102,2),""),"")</f>
        <v/>
      </c>
      <c r="E26" s="5"/>
      <c r="F26" s="42" t="str">
        <f>IF(AND(B26&lt;&gt;""),IF($E$9&lt;&gt;0,VLOOKUP(E26/$E$9*100,TRANSMUTATION_TABLE!$A$2:$B$102,2),""),"")</f>
        <v/>
      </c>
      <c r="G26" s="5"/>
      <c r="H26" s="42" t="str">
        <f>IF(AND(B26&lt;&gt;""),IF($G$9&lt;&gt;0,VLOOKUP(G26/$G$9*100,TRANSMUTATION_TABLE!$A$2:$B$102,2),""),"")</f>
        <v/>
      </c>
      <c r="I26" s="5"/>
      <c r="J26" s="43" t="str">
        <f>IF(AND(B26&lt;&gt;""),IF($I$9&lt;&gt;0,VLOOKUP(I26/$I$9*100,TRANSMUTATION_TABLE!$A$2:$B$102,2),""),"")</f>
        <v/>
      </c>
      <c r="K26" s="48" t="str">
        <f t="shared" si="0"/>
        <v/>
      </c>
      <c r="L26" s="5"/>
      <c r="M26" s="42" t="str">
        <f>IF(AND(B26&lt;&gt;""),IF($L$9&lt;&gt;0,VLOOKUP(L26/$L$9*100,TRANSMUTATION_TABLE!$A$2:$B$102,2),""),"")</f>
        <v/>
      </c>
      <c r="N26" s="5"/>
      <c r="O26" s="42" t="str">
        <f>IF(AND(B26&lt;&gt;""),IF($N$9&lt;&gt;0,VLOOKUP(N26/$N$9*100,TRANSMUTATION_TABLE!$A$2:$B$102,2),""),"")</f>
        <v/>
      </c>
      <c r="P26" s="5"/>
      <c r="Q26" s="42" t="str">
        <f>IF(AND(B26&lt;&gt;""),IF($P$9&lt;&gt;0,VLOOKUP(P26/$P$9*100,TRANSMUTATION_TABLE!$A$2:$B$102,2),""),"")</f>
        <v/>
      </c>
      <c r="R26" s="5"/>
      <c r="S26" s="43" t="str">
        <f>IF(AND(B26&lt;&gt;""),IF($R$9&lt;&gt;0,VLOOKUP(R26/$R$9*100,TRANSMUTATION_TABLE!$A$2:$B$102,2),""),"")</f>
        <v/>
      </c>
      <c r="T26" s="48" t="str">
        <f t="shared" si="1"/>
        <v/>
      </c>
      <c r="U26" s="5"/>
      <c r="V26" s="42" t="str">
        <f>IF(AND(B26&lt;&gt;""),IF($U$9&lt;&gt;0,VLOOKUP(U26/$U$9*100,TRANSMUTATION_TABLE!$A$2:$B$102,2),""),"")</f>
        <v/>
      </c>
      <c r="W26" s="5"/>
      <c r="X26" s="42" t="str">
        <f>IF(AND(B26&lt;&gt;""),IF($W$9&lt;&gt;0,VLOOKUP(W26/$W$9*100,TRANSMUTATION_TABLE!$A$2:$B$102,2),""),"")</f>
        <v/>
      </c>
      <c r="Y26" s="5"/>
      <c r="Z26" s="42" t="str">
        <f>IF(AND(B26&lt;&gt;""),IF($Y$9&lt;&gt;0,VLOOKUP(Y26/$Y$9*100,TRANSMUTATION_TABLE!$A$2:$B$102,2),""),"")</f>
        <v/>
      </c>
      <c r="AA26" s="5"/>
      <c r="AB26" s="43" t="str">
        <f>IF(AND(B26&lt;&gt;""),IF($AA$9&lt;&gt;0,VLOOKUP(AA26/$AA$9*100,TRANSMUTATION_TABLE!$A$2:$B$102,2),""),"")</f>
        <v/>
      </c>
      <c r="AC26" s="48" t="str">
        <f t="shared" si="2"/>
        <v/>
      </c>
      <c r="AD26" s="53"/>
      <c r="AE26" s="42" t="str">
        <f>IF(AND(B26&lt;&gt;""),IF($AD$9&lt;&gt;0,VLOOKUP(AD26/$AD$9*100,TRANSMUTATION_TABLE!$A$2:$B$102,2),""),"")</f>
        <v/>
      </c>
      <c r="AF26" s="50">
        <f>Attendance!BW23</f>
        <v>0</v>
      </c>
      <c r="AG26" s="45" t="str">
        <f>IF(AND(B26&lt;&gt;""),IF($AF$9&lt;&gt;0,VLOOKUP(AF26/$AF$9*100,TRANSMUTATION_TABLE!$A$2:$B$102,2),""),"")</f>
        <v/>
      </c>
      <c r="AH26" s="5"/>
      <c r="AI26" s="45" t="str">
        <f>IF(AND(B26&lt;&gt;""),IF($AH$9&lt;&gt;0,VLOOKUP(AH26/$AH$9*100,TRANSMUTATION_TABLE!$A$2:$B$102,2),""),"")</f>
        <v/>
      </c>
      <c r="AJ26" s="45" t="str">
        <f>IF(OR(K26&lt;&gt;"",T26&lt;&gt;"",AC26&lt;&gt;"",AG26&lt;&gt;"",AI26&lt;&gt;""),SUM(PRODUCT(K26,IF(Settings!$I$17&lt;&gt;0,Settings!$I$17/100,0)),PRODUCT(T26,IF(Settings!$I$18&lt;&gt;0,Settings!$I$18/100,0)),PRODUCT(AC26,IF(Settings!$I$19&lt;&gt;0,Settings!$I$19/100,0)),PRODUCT(AG26,IF(Settings!$I$20&lt;&gt;0,Settings!$I$20/100,0)),PRODUCT(AI26,IF(Settings!$I$21&lt;&gt;0,Settings!$I$21/100,0))),"")</f>
        <v/>
      </c>
      <c r="AK26" s="45" t="str">
        <f>Prelim!AJ26</f>
        <v/>
      </c>
      <c r="AL26" s="45" t="str">
        <f>Midterm!AL26</f>
        <v/>
      </c>
      <c r="AM26" s="45" t="str">
        <f>SemiFinal!AM26</f>
        <v/>
      </c>
      <c r="AN26" s="46" t="str">
        <f>IF(AJ26&lt;&gt;"",AVERAGE(AVERAGE(Prelim!AJ26,Midterm!AL26),AVERAGE(SemiFinal!AM26,Final!AJ26)),"")</f>
        <v/>
      </c>
      <c r="AO26" s="45">
        <f t="shared" si="3"/>
        <v>5</v>
      </c>
      <c r="AP26" s="37"/>
      <c r="AQ26" s="37"/>
      <c r="AR26" s="37"/>
    </row>
    <row r="27" spans="1:44" ht="12" customHeight="1" thickBot="1" x14ac:dyDescent="0.35">
      <c r="A27" s="52"/>
      <c r="B27" s="60"/>
      <c r="C27" s="5"/>
      <c r="D27" s="42" t="str">
        <f>IF(AND(B27&lt;&gt;""),IF($C$9&lt;&gt;0,VLOOKUP(C27/$C$9*100,TRANSMUTATION_TABLE!$A$2:$B$102,2),""),"")</f>
        <v/>
      </c>
      <c r="E27" s="5"/>
      <c r="F27" s="42" t="str">
        <f>IF(AND(B27&lt;&gt;""),IF($E$9&lt;&gt;0,VLOOKUP(E27/$E$9*100,TRANSMUTATION_TABLE!$A$2:$B$102,2),""),"")</f>
        <v/>
      </c>
      <c r="G27" s="5"/>
      <c r="H27" s="42" t="str">
        <f>IF(AND(B27&lt;&gt;""),IF($G$9&lt;&gt;0,VLOOKUP(G27/$G$9*100,TRANSMUTATION_TABLE!$A$2:$B$102,2),""),"")</f>
        <v/>
      </c>
      <c r="I27" s="5"/>
      <c r="J27" s="43" t="str">
        <f>IF(AND(B27&lt;&gt;""),IF($I$9&lt;&gt;0,VLOOKUP(I27/$I$9*100,TRANSMUTATION_TABLE!$A$2:$B$102,2),""),"")</f>
        <v/>
      </c>
      <c r="K27" s="48" t="str">
        <f t="shared" si="0"/>
        <v/>
      </c>
      <c r="L27" s="5"/>
      <c r="M27" s="42" t="str">
        <f>IF(AND(B27&lt;&gt;""),IF($L$9&lt;&gt;0,VLOOKUP(L27/$L$9*100,TRANSMUTATION_TABLE!$A$2:$B$102,2),""),"")</f>
        <v/>
      </c>
      <c r="N27" s="5"/>
      <c r="O27" s="42" t="str">
        <f>IF(AND(B27&lt;&gt;""),IF($N$9&lt;&gt;0,VLOOKUP(N27/$N$9*100,TRANSMUTATION_TABLE!$A$2:$B$102,2),""),"")</f>
        <v/>
      </c>
      <c r="P27" s="5"/>
      <c r="Q27" s="42" t="str">
        <f>IF(AND(B27&lt;&gt;""),IF($P$9&lt;&gt;0,VLOOKUP(P27/$P$9*100,TRANSMUTATION_TABLE!$A$2:$B$102,2),""),"")</f>
        <v/>
      </c>
      <c r="R27" s="5"/>
      <c r="S27" s="43" t="str">
        <f>IF(AND(B27&lt;&gt;""),IF($R$9&lt;&gt;0,VLOOKUP(R27/$R$9*100,TRANSMUTATION_TABLE!$A$2:$B$102,2),""),"")</f>
        <v/>
      </c>
      <c r="T27" s="48" t="str">
        <f t="shared" si="1"/>
        <v/>
      </c>
      <c r="U27" s="5"/>
      <c r="V27" s="42" t="str">
        <f>IF(AND(B27&lt;&gt;""),IF($U$9&lt;&gt;0,VLOOKUP(U27/$U$9*100,TRANSMUTATION_TABLE!$A$2:$B$102,2),""),"")</f>
        <v/>
      </c>
      <c r="W27" s="5"/>
      <c r="X27" s="42" t="str">
        <f>IF(AND(B27&lt;&gt;""),IF($W$9&lt;&gt;0,VLOOKUP(W27/$W$9*100,TRANSMUTATION_TABLE!$A$2:$B$102,2),""),"")</f>
        <v/>
      </c>
      <c r="Y27" s="5"/>
      <c r="Z27" s="42" t="str">
        <f>IF(AND(B27&lt;&gt;""),IF($Y$9&lt;&gt;0,VLOOKUP(Y27/$Y$9*100,TRANSMUTATION_TABLE!$A$2:$B$102,2),""),"")</f>
        <v/>
      </c>
      <c r="AA27" s="5"/>
      <c r="AB27" s="43" t="str">
        <f>IF(AND(B27&lt;&gt;""),IF($AA$9&lt;&gt;0,VLOOKUP(AA27/$AA$9*100,TRANSMUTATION_TABLE!$A$2:$B$102,2),""),"")</f>
        <v/>
      </c>
      <c r="AC27" s="48" t="str">
        <f t="shared" si="2"/>
        <v/>
      </c>
      <c r="AD27" s="53"/>
      <c r="AE27" s="42" t="str">
        <f>IF(AND(B27&lt;&gt;""),IF($AD$9&lt;&gt;0,VLOOKUP(AD27/$AD$9*100,TRANSMUTATION_TABLE!$A$2:$B$102,2),""),"")</f>
        <v/>
      </c>
      <c r="AF27" s="50">
        <f>Attendance!BW24</f>
        <v>0</v>
      </c>
      <c r="AG27" s="45" t="str">
        <f>IF(AND(B27&lt;&gt;""),IF($AF$9&lt;&gt;0,VLOOKUP(AF27/$AF$9*100,TRANSMUTATION_TABLE!$A$2:$B$102,2),""),"")</f>
        <v/>
      </c>
      <c r="AH27" s="5"/>
      <c r="AI27" s="45" t="str">
        <f>IF(AND(B27&lt;&gt;""),IF($AH$9&lt;&gt;0,VLOOKUP(AH27/$AH$9*100,TRANSMUTATION_TABLE!$A$2:$B$102,2),""),"")</f>
        <v/>
      </c>
      <c r="AJ27" s="45" t="str">
        <f>IF(OR(K27&lt;&gt;"",T27&lt;&gt;"",AC27&lt;&gt;"",AG27&lt;&gt;"",AI27&lt;&gt;""),SUM(PRODUCT(K27,IF(Settings!$I$17&lt;&gt;0,Settings!$I$17/100,0)),PRODUCT(T27,IF(Settings!$I$18&lt;&gt;0,Settings!$I$18/100,0)),PRODUCT(AC27,IF(Settings!$I$19&lt;&gt;0,Settings!$I$19/100,0)),PRODUCT(AG27,IF(Settings!$I$20&lt;&gt;0,Settings!$I$20/100,0)),PRODUCT(AI27,IF(Settings!$I$21&lt;&gt;0,Settings!$I$21/100,0))),"")</f>
        <v/>
      </c>
      <c r="AK27" s="45" t="str">
        <f>Prelim!AJ27</f>
        <v/>
      </c>
      <c r="AL27" s="45" t="str">
        <f>Midterm!AL27</f>
        <v/>
      </c>
      <c r="AM27" s="45" t="str">
        <f>SemiFinal!AM27</f>
        <v/>
      </c>
      <c r="AN27" s="46" t="str">
        <f>IF(AJ27&lt;&gt;"",AVERAGE(AVERAGE(Prelim!AJ27,Midterm!AL27),AVERAGE(SemiFinal!AM27,Final!AJ27)),"")</f>
        <v/>
      </c>
      <c r="AO27" s="45">
        <f t="shared" si="3"/>
        <v>5</v>
      </c>
      <c r="AP27" s="37"/>
      <c r="AQ27" s="37"/>
      <c r="AR27" s="37"/>
    </row>
    <row r="28" spans="1:44" ht="12" customHeight="1" thickBot="1" x14ac:dyDescent="0.35">
      <c r="A28" s="52"/>
      <c r="B28" s="60"/>
      <c r="C28" s="5"/>
      <c r="D28" s="42" t="str">
        <f>IF(AND(B28&lt;&gt;""),IF($C$9&lt;&gt;0,VLOOKUP(C28/$C$9*100,TRANSMUTATION_TABLE!$A$2:$B$102,2),""),"")</f>
        <v/>
      </c>
      <c r="E28" s="5"/>
      <c r="F28" s="42" t="str">
        <f>IF(AND(B28&lt;&gt;""),IF($E$9&lt;&gt;0,VLOOKUP(E28/$E$9*100,TRANSMUTATION_TABLE!$A$2:$B$102,2),""),"")</f>
        <v/>
      </c>
      <c r="G28" s="5"/>
      <c r="H28" s="42" t="str">
        <f>IF(AND(B28&lt;&gt;""),IF($G$9&lt;&gt;0,VLOOKUP(G28/$G$9*100,TRANSMUTATION_TABLE!$A$2:$B$102,2),""),"")</f>
        <v/>
      </c>
      <c r="I28" s="5"/>
      <c r="J28" s="43" t="str">
        <f>IF(AND(B28&lt;&gt;""),IF($I$9&lt;&gt;0,VLOOKUP(I28/$I$9*100,TRANSMUTATION_TABLE!$A$2:$B$102,2),""),"")</f>
        <v/>
      </c>
      <c r="K28" s="48" t="str">
        <f t="shared" si="0"/>
        <v/>
      </c>
      <c r="L28" s="5"/>
      <c r="M28" s="42" t="str">
        <f>IF(AND(B28&lt;&gt;""),IF($L$9&lt;&gt;0,VLOOKUP(L28/$L$9*100,TRANSMUTATION_TABLE!$A$2:$B$102,2),""),"")</f>
        <v/>
      </c>
      <c r="N28" s="5"/>
      <c r="O28" s="42" t="str">
        <f>IF(AND(B28&lt;&gt;""),IF($N$9&lt;&gt;0,VLOOKUP(N28/$N$9*100,TRANSMUTATION_TABLE!$A$2:$B$102,2),""),"")</f>
        <v/>
      </c>
      <c r="P28" s="5"/>
      <c r="Q28" s="42" t="str">
        <f>IF(AND(B28&lt;&gt;""),IF($P$9&lt;&gt;0,VLOOKUP(P28/$P$9*100,TRANSMUTATION_TABLE!$A$2:$B$102,2),""),"")</f>
        <v/>
      </c>
      <c r="R28" s="5"/>
      <c r="S28" s="43" t="str">
        <f>IF(AND(B28&lt;&gt;""),IF($R$9&lt;&gt;0,VLOOKUP(R28/$R$9*100,TRANSMUTATION_TABLE!$A$2:$B$102,2),""),"")</f>
        <v/>
      </c>
      <c r="T28" s="48" t="str">
        <f t="shared" si="1"/>
        <v/>
      </c>
      <c r="U28" s="5"/>
      <c r="V28" s="42" t="str">
        <f>IF(AND(B28&lt;&gt;""),IF($U$9&lt;&gt;0,VLOOKUP(U28/$U$9*100,TRANSMUTATION_TABLE!$A$2:$B$102,2),""),"")</f>
        <v/>
      </c>
      <c r="W28" s="5"/>
      <c r="X28" s="42" t="str">
        <f>IF(AND(B28&lt;&gt;""),IF($W$9&lt;&gt;0,VLOOKUP(W28/$W$9*100,TRANSMUTATION_TABLE!$A$2:$B$102,2),""),"")</f>
        <v/>
      </c>
      <c r="Y28" s="5"/>
      <c r="Z28" s="42" t="str">
        <f>IF(AND(B28&lt;&gt;""),IF($Y$9&lt;&gt;0,VLOOKUP(Y28/$Y$9*100,TRANSMUTATION_TABLE!$A$2:$B$102,2),""),"")</f>
        <v/>
      </c>
      <c r="AA28" s="5"/>
      <c r="AB28" s="43" t="str">
        <f>IF(AND(B28&lt;&gt;""),IF($AA$9&lt;&gt;0,VLOOKUP(AA28/$AA$9*100,TRANSMUTATION_TABLE!$A$2:$B$102,2),""),"")</f>
        <v/>
      </c>
      <c r="AC28" s="48" t="str">
        <f t="shared" si="2"/>
        <v/>
      </c>
      <c r="AD28" s="53"/>
      <c r="AE28" s="42" t="str">
        <f>IF(AND(B28&lt;&gt;""),IF($AD$9&lt;&gt;0,VLOOKUP(AD28/$AD$9*100,TRANSMUTATION_TABLE!$A$2:$B$102,2),""),"")</f>
        <v/>
      </c>
      <c r="AF28" s="50">
        <f>Attendance!BW25</f>
        <v>0</v>
      </c>
      <c r="AG28" s="45" t="str">
        <f>IF(AND(B28&lt;&gt;""),IF($AF$9&lt;&gt;0,VLOOKUP(AF28/$AF$9*100,TRANSMUTATION_TABLE!$A$2:$B$102,2),""),"")</f>
        <v/>
      </c>
      <c r="AH28" s="5"/>
      <c r="AI28" s="45" t="str">
        <f>IF(AND(B28&lt;&gt;""),IF($AH$9&lt;&gt;0,VLOOKUP(AH28/$AH$9*100,TRANSMUTATION_TABLE!$A$2:$B$102,2),""),"")</f>
        <v/>
      </c>
      <c r="AJ28" s="45" t="str">
        <f>IF(OR(K28&lt;&gt;"",T28&lt;&gt;"",AC28&lt;&gt;"",AG28&lt;&gt;"",AI28&lt;&gt;""),SUM(PRODUCT(K28,IF(Settings!$I$17&lt;&gt;0,Settings!$I$17/100,0)),PRODUCT(T28,IF(Settings!$I$18&lt;&gt;0,Settings!$I$18/100,0)),PRODUCT(AC28,IF(Settings!$I$19&lt;&gt;0,Settings!$I$19/100,0)),PRODUCT(AG28,IF(Settings!$I$20&lt;&gt;0,Settings!$I$20/100,0)),PRODUCT(AI28,IF(Settings!$I$21&lt;&gt;0,Settings!$I$21/100,0))),"")</f>
        <v/>
      </c>
      <c r="AK28" s="45" t="str">
        <f>Prelim!AJ28</f>
        <v/>
      </c>
      <c r="AL28" s="45" t="str">
        <f>Midterm!AL28</f>
        <v/>
      </c>
      <c r="AM28" s="45" t="str">
        <f>SemiFinal!AM28</f>
        <v/>
      </c>
      <c r="AN28" s="46" t="str">
        <f>IF(AJ28&lt;&gt;"",AVERAGE(AVERAGE(Prelim!AJ28,Midterm!AL28),AVERAGE(SemiFinal!AM28,Final!AJ28)),"")</f>
        <v/>
      </c>
      <c r="AO28" s="45">
        <f t="shared" si="3"/>
        <v>5</v>
      </c>
      <c r="AP28" s="37"/>
      <c r="AQ28" s="37"/>
      <c r="AR28" s="37"/>
    </row>
    <row r="29" spans="1:44" ht="12" customHeight="1" thickBot="1" x14ac:dyDescent="0.35">
      <c r="A29" s="54"/>
      <c r="B29" s="60"/>
      <c r="C29" s="55"/>
      <c r="D29" s="42" t="str">
        <f>IF(AND(B29&lt;&gt;""),IF($C$9&lt;&gt;0,VLOOKUP(C29/$C$9*100,TRANSMUTATION_TABLE!$A$2:$B$102,2),""),"")</f>
        <v/>
      </c>
      <c r="E29" s="55"/>
      <c r="F29" s="42" t="str">
        <f>IF(AND(B29&lt;&gt;""),IF($E$9&lt;&gt;0,VLOOKUP(E29/$E$9*100,TRANSMUTATION_TABLE!$A$2:$B$102,2),""),"")</f>
        <v/>
      </c>
      <c r="G29" s="55"/>
      <c r="H29" s="42" t="str">
        <f>IF(AND(B29&lt;&gt;""),IF($G$9&lt;&gt;0,VLOOKUP(G29/$G$9*100,TRANSMUTATION_TABLE!$A$2:$B$102,2),""),"")</f>
        <v/>
      </c>
      <c r="I29" s="55"/>
      <c r="J29" s="43" t="str">
        <f>IF(AND(B29&lt;&gt;""),IF($I$9&lt;&gt;0,VLOOKUP(I29/$I$9*100,TRANSMUTATION_TABLE!$A$2:$B$102,2),""),"")</f>
        <v/>
      </c>
      <c r="K29" s="48" t="str">
        <f t="shared" si="0"/>
        <v/>
      </c>
      <c r="L29" s="55"/>
      <c r="M29" s="42" t="str">
        <f>IF(AND(B29&lt;&gt;""),IF($L$9&lt;&gt;0,VLOOKUP(L29/$L$9*100,TRANSMUTATION_TABLE!$A$2:$B$102,2),""),"")</f>
        <v/>
      </c>
      <c r="N29" s="55"/>
      <c r="O29" s="42" t="str">
        <f>IF(AND(B29&lt;&gt;""),IF($N$9&lt;&gt;0,VLOOKUP(N29/$N$9*100,TRANSMUTATION_TABLE!$A$2:$B$102,2),""),"")</f>
        <v/>
      </c>
      <c r="P29" s="55"/>
      <c r="Q29" s="42" t="str">
        <f>IF(AND(B29&lt;&gt;""),IF($P$9&lt;&gt;0,VLOOKUP(P29/$P$9*100,TRANSMUTATION_TABLE!$A$2:$B$102,2),""),"")</f>
        <v/>
      </c>
      <c r="R29" s="55"/>
      <c r="S29" s="43" t="str">
        <f>IF(AND(B29&lt;&gt;""),IF($R$9&lt;&gt;0,VLOOKUP(R29/$R$9*100,TRANSMUTATION_TABLE!$A$2:$B$102,2),""),"")</f>
        <v/>
      </c>
      <c r="T29" s="48" t="str">
        <f t="shared" si="1"/>
        <v/>
      </c>
      <c r="U29" s="55"/>
      <c r="V29" s="42" t="str">
        <f>IF(AND(B29&lt;&gt;""),IF($U$9&lt;&gt;0,VLOOKUP(U29/$U$9*100,TRANSMUTATION_TABLE!$A$2:$B$102,2),""),"")</f>
        <v/>
      </c>
      <c r="W29" s="55"/>
      <c r="X29" s="42" t="str">
        <f>IF(AND(B29&lt;&gt;""),IF($W$9&lt;&gt;0,VLOOKUP(W29/$W$9*100,TRANSMUTATION_TABLE!$A$2:$B$102,2),""),"")</f>
        <v/>
      </c>
      <c r="Y29" s="55"/>
      <c r="Z29" s="42" t="str">
        <f>IF(AND(B29&lt;&gt;""),IF($Y$9&lt;&gt;0,VLOOKUP(Y29/$Y$9*100,TRANSMUTATION_TABLE!$A$2:$B$102,2),""),"")</f>
        <v/>
      </c>
      <c r="AA29" s="55"/>
      <c r="AB29" s="43" t="str">
        <f>IF(AND(B29&lt;&gt;""),IF($AA$9&lt;&gt;0,VLOOKUP(AA29/$AA$9*100,TRANSMUTATION_TABLE!$A$2:$B$102,2),""),"")</f>
        <v/>
      </c>
      <c r="AC29" s="48" t="str">
        <f t="shared" si="2"/>
        <v/>
      </c>
      <c r="AD29" s="56"/>
      <c r="AE29" s="42" t="str">
        <f>IF(AND(B29&lt;&gt;""),IF($AD$9&lt;&gt;0,VLOOKUP(AD29/$AD$9*100,TRANSMUTATION_TABLE!$A$2:$B$102,2),""),"")</f>
        <v/>
      </c>
      <c r="AF29" s="50">
        <f>Attendance!BW26</f>
        <v>0</v>
      </c>
      <c r="AG29" s="45" t="str">
        <f>IF(AND(B29&lt;&gt;""),IF($AF$9&lt;&gt;0,VLOOKUP(AF29/$AF$9*100,TRANSMUTATION_TABLE!$A$2:$B$102,2),""),"")</f>
        <v/>
      </c>
      <c r="AH29" s="55"/>
      <c r="AI29" s="45" t="str">
        <f>IF(AND(B29&lt;&gt;""),IF($AH$9&lt;&gt;0,VLOOKUP(AH29/$AH$9*100,TRANSMUTATION_TABLE!$A$2:$B$102,2),""),"")</f>
        <v/>
      </c>
      <c r="AJ29" s="45" t="str">
        <f>IF(OR(K29&lt;&gt;"",T29&lt;&gt;"",AC29&lt;&gt;"",AG29&lt;&gt;"",AI29&lt;&gt;""),SUM(PRODUCT(K29,IF(Settings!$I$17&lt;&gt;0,Settings!$I$17/100,0)),PRODUCT(T29,IF(Settings!$I$18&lt;&gt;0,Settings!$I$18/100,0)),PRODUCT(AC29,IF(Settings!$I$19&lt;&gt;0,Settings!$I$19/100,0)),PRODUCT(AG29,IF(Settings!$I$20&lt;&gt;0,Settings!$I$20/100,0)),PRODUCT(AI29,IF(Settings!$I$21&lt;&gt;0,Settings!$I$21/100,0))),"")</f>
        <v/>
      </c>
      <c r="AK29" s="45" t="str">
        <f>Prelim!AJ29</f>
        <v/>
      </c>
      <c r="AL29" s="45" t="str">
        <f>Midterm!AL29</f>
        <v/>
      </c>
      <c r="AM29" s="45" t="str">
        <f>SemiFinal!AM29</f>
        <v/>
      </c>
      <c r="AN29" s="46" t="str">
        <f>IF(AJ29&lt;&gt;"",AVERAGE(AVERAGE(Prelim!AJ29,Midterm!AL29),AVERAGE(SemiFinal!AM29,Final!AJ29)),"")</f>
        <v/>
      </c>
      <c r="AO29" s="45">
        <f t="shared" si="3"/>
        <v>5</v>
      </c>
      <c r="AP29" s="37"/>
      <c r="AQ29" s="37"/>
      <c r="AR29" s="37"/>
    </row>
    <row r="30" spans="1:44" ht="12" customHeight="1" thickBot="1" x14ac:dyDescent="0.35">
      <c r="A30" s="47"/>
      <c r="B30" s="60"/>
      <c r="C30" s="5"/>
      <c r="D30" s="42" t="str">
        <f>IF(AND(B30&lt;&gt;""),IF($C$9&lt;&gt;0,VLOOKUP(C30/$C$9*100,TRANSMUTATION_TABLE!$A$2:$B$102,2),""),"")</f>
        <v/>
      </c>
      <c r="E30" s="5"/>
      <c r="F30" s="42" t="str">
        <f>IF(AND(B30&lt;&gt;""),IF($E$9&lt;&gt;0,VLOOKUP(E30/$E$9*100,TRANSMUTATION_TABLE!$A$2:$B$102,2),""),"")</f>
        <v/>
      </c>
      <c r="G30" s="5"/>
      <c r="H30" s="42" t="str">
        <f>IF(AND(B30&lt;&gt;""),IF($G$9&lt;&gt;0,VLOOKUP(G30/$G$9*100,TRANSMUTATION_TABLE!$A$2:$B$102,2),""),"")</f>
        <v/>
      </c>
      <c r="I30" s="5"/>
      <c r="J30" s="43" t="str">
        <f>IF(AND(B30&lt;&gt;""),IF($I$9&lt;&gt;0,VLOOKUP(I30/$I$9*100,TRANSMUTATION_TABLE!$A$2:$B$102,2),""),"")</f>
        <v/>
      </c>
      <c r="K30" s="48" t="str">
        <f t="shared" si="0"/>
        <v/>
      </c>
      <c r="L30" s="5"/>
      <c r="M30" s="42" t="str">
        <f>IF(AND(B30&lt;&gt;""),IF($L$9&lt;&gt;0,VLOOKUP(L30/$L$9*100,TRANSMUTATION_TABLE!$A$2:$B$102,2),""),"")</f>
        <v/>
      </c>
      <c r="N30" s="5"/>
      <c r="O30" s="42" t="str">
        <f>IF(AND(B30&lt;&gt;""),IF($N$9&lt;&gt;0,VLOOKUP(N30/$N$9*100,TRANSMUTATION_TABLE!$A$2:$B$102,2),""),"")</f>
        <v/>
      </c>
      <c r="P30" s="5"/>
      <c r="Q30" s="42" t="str">
        <f>IF(AND(B30&lt;&gt;""),IF($P$9&lt;&gt;0,VLOOKUP(P30/$P$9*100,TRANSMUTATION_TABLE!$A$2:$B$102,2),""),"")</f>
        <v/>
      </c>
      <c r="R30" s="5"/>
      <c r="S30" s="43" t="str">
        <f>IF(AND(B30&lt;&gt;""),IF($R$9&lt;&gt;0,VLOOKUP(R30/$R$9*100,TRANSMUTATION_TABLE!$A$2:$B$102,2),""),"")</f>
        <v/>
      </c>
      <c r="T30" s="48" t="str">
        <f t="shared" si="1"/>
        <v/>
      </c>
      <c r="U30" s="5"/>
      <c r="V30" s="42" t="str">
        <f>IF(AND(B30&lt;&gt;""),IF($U$9&lt;&gt;0,VLOOKUP(U30/$U$9*100,TRANSMUTATION_TABLE!$A$2:$B$102,2),""),"")</f>
        <v/>
      </c>
      <c r="W30" s="5"/>
      <c r="X30" s="42" t="str">
        <f>IF(AND(B30&lt;&gt;""),IF($W$9&lt;&gt;0,VLOOKUP(W30/$W$9*100,TRANSMUTATION_TABLE!$A$2:$B$102,2),""),"")</f>
        <v/>
      </c>
      <c r="Y30" s="5"/>
      <c r="Z30" s="42" t="str">
        <f>IF(AND(B30&lt;&gt;""),IF($Y$9&lt;&gt;0,VLOOKUP(Y30/$Y$9*100,TRANSMUTATION_TABLE!$A$2:$B$102,2),""),"")</f>
        <v/>
      </c>
      <c r="AA30" s="5"/>
      <c r="AB30" s="43" t="str">
        <f>IF(AND(B30&lt;&gt;""),IF($AA$9&lt;&gt;0,VLOOKUP(AA30/$AA$9*100,TRANSMUTATION_TABLE!$A$2:$B$102,2),""),"")</f>
        <v/>
      </c>
      <c r="AC30" s="48" t="str">
        <f t="shared" si="2"/>
        <v/>
      </c>
      <c r="AD30" s="58"/>
      <c r="AE30" s="42" t="str">
        <f>IF(AND(B30&lt;&gt;""),IF($AD$9&lt;&gt;0,VLOOKUP(AD30/$AD$9*100,TRANSMUTATION_TABLE!$A$2:$B$102,2),""),"")</f>
        <v/>
      </c>
      <c r="AF30" s="50">
        <f>Attendance!BW27</f>
        <v>0</v>
      </c>
      <c r="AG30" s="45" t="str">
        <f>IF(AND(B30&lt;&gt;""),IF($AF$9&lt;&gt;0,VLOOKUP(AF30/$AF$9*100,TRANSMUTATION_TABLE!$A$2:$B$102,2),""),"")</f>
        <v/>
      </c>
      <c r="AH30" s="5"/>
      <c r="AI30" s="45" t="str">
        <f>IF(AND(B30&lt;&gt;""),IF($AH$9&lt;&gt;0,VLOOKUP(AH30/$AH$9*100,TRANSMUTATION_TABLE!$A$2:$B$102,2),""),"")</f>
        <v/>
      </c>
      <c r="AJ30" s="45" t="str">
        <f>IF(OR(K30&lt;&gt;"",T30&lt;&gt;"",AC30&lt;&gt;"",AG30&lt;&gt;"",AI30&lt;&gt;""),SUM(PRODUCT(K30,IF(Settings!$I$17&lt;&gt;0,Settings!$I$17/100,0)),PRODUCT(T30,IF(Settings!$I$18&lt;&gt;0,Settings!$I$18/100,0)),PRODUCT(AC30,IF(Settings!$I$19&lt;&gt;0,Settings!$I$19/100,0)),PRODUCT(AG30,IF(Settings!$I$20&lt;&gt;0,Settings!$I$20/100,0)),PRODUCT(AI30,IF(Settings!$I$21&lt;&gt;0,Settings!$I$21/100,0))),"")</f>
        <v/>
      </c>
      <c r="AK30" s="45" t="str">
        <f>Prelim!AJ30</f>
        <v/>
      </c>
      <c r="AL30" s="45" t="str">
        <f>Midterm!AL30</f>
        <v/>
      </c>
      <c r="AM30" s="45" t="str">
        <f>SemiFinal!AM30</f>
        <v/>
      </c>
      <c r="AN30" s="46" t="str">
        <f>IF(AJ30&lt;&gt;"",AVERAGE(AVERAGE(Prelim!AJ30,Midterm!AL30),AVERAGE(SemiFinal!AM30,Final!AJ30)),"")</f>
        <v/>
      </c>
      <c r="AO30" s="45">
        <f t="shared" si="3"/>
        <v>5</v>
      </c>
      <c r="AP30" s="37"/>
      <c r="AQ30" s="37"/>
      <c r="AR30" s="37"/>
    </row>
    <row r="31" spans="1:44" ht="12" customHeight="1" thickBot="1" x14ac:dyDescent="0.35">
      <c r="A31" s="52"/>
      <c r="B31" s="60"/>
      <c r="C31" s="5"/>
      <c r="D31" s="42" t="str">
        <f>IF(AND(B31&lt;&gt;""),IF($C$9&lt;&gt;0,VLOOKUP(C31/$C$9*100,TRANSMUTATION_TABLE!$A$2:$B$102,2),""),"")</f>
        <v/>
      </c>
      <c r="E31" s="5"/>
      <c r="F31" s="42" t="str">
        <f>IF(AND(B31&lt;&gt;""),IF($E$9&lt;&gt;0,VLOOKUP(E31/$E$9*100,TRANSMUTATION_TABLE!$A$2:$B$102,2),""),"")</f>
        <v/>
      </c>
      <c r="G31" s="5"/>
      <c r="H31" s="42" t="str">
        <f>IF(AND(B31&lt;&gt;""),IF($G$9&lt;&gt;0,VLOOKUP(G31/$G$9*100,TRANSMUTATION_TABLE!$A$2:$B$102,2),""),"")</f>
        <v/>
      </c>
      <c r="I31" s="5"/>
      <c r="J31" s="43" t="str">
        <f>IF(AND(B31&lt;&gt;""),IF($I$9&lt;&gt;0,VLOOKUP(I31/$I$9*100,TRANSMUTATION_TABLE!$A$2:$B$102,2),""),"")</f>
        <v/>
      </c>
      <c r="K31" s="48" t="str">
        <f t="shared" si="0"/>
        <v/>
      </c>
      <c r="L31" s="5"/>
      <c r="M31" s="42" t="str">
        <f>IF(AND(B31&lt;&gt;""),IF($L$9&lt;&gt;0,VLOOKUP(L31/$L$9*100,TRANSMUTATION_TABLE!$A$2:$B$102,2),""),"")</f>
        <v/>
      </c>
      <c r="N31" s="5"/>
      <c r="O31" s="42" t="str">
        <f>IF(AND(B31&lt;&gt;""),IF($N$9&lt;&gt;0,VLOOKUP(N31/$N$9*100,TRANSMUTATION_TABLE!$A$2:$B$102,2),""),"")</f>
        <v/>
      </c>
      <c r="P31" s="5"/>
      <c r="Q31" s="42" t="str">
        <f>IF(AND(B31&lt;&gt;""),IF($P$9&lt;&gt;0,VLOOKUP(P31/$P$9*100,TRANSMUTATION_TABLE!$A$2:$B$102,2),""),"")</f>
        <v/>
      </c>
      <c r="R31" s="5"/>
      <c r="S31" s="43" t="str">
        <f>IF(AND(B31&lt;&gt;""),IF($R$9&lt;&gt;0,VLOOKUP(R31/$R$9*100,TRANSMUTATION_TABLE!$A$2:$B$102,2),""),"")</f>
        <v/>
      </c>
      <c r="T31" s="48" t="str">
        <f t="shared" si="1"/>
        <v/>
      </c>
      <c r="U31" s="5"/>
      <c r="V31" s="42" t="str">
        <f>IF(AND(B31&lt;&gt;""),IF($U$9&lt;&gt;0,VLOOKUP(U31/$U$9*100,TRANSMUTATION_TABLE!$A$2:$B$102,2),""),"")</f>
        <v/>
      </c>
      <c r="W31" s="5"/>
      <c r="X31" s="42" t="str">
        <f>IF(AND(B31&lt;&gt;""),IF($W$9&lt;&gt;0,VLOOKUP(W31/$W$9*100,TRANSMUTATION_TABLE!$A$2:$B$102,2),""),"")</f>
        <v/>
      </c>
      <c r="Y31" s="5"/>
      <c r="Z31" s="42" t="str">
        <f>IF(AND(B31&lt;&gt;""),IF($Y$9&lt;&gt;0,VLOOKUP(Y31/$Y$9*100,TRANSMUTATION_TABLE!$A$2:$B$102,2),""),"")</f>
        <v/>
      </c>
      <c r="AA31" s="5"/>
      <c r="AB31" s="43" t="str">
        <f>IF(AND(B31&lt;&gt;""),IF($AA$9&lt;&gt;0,VLOOKUP(AA31/$AA$9*100,TRANSMUTATION_TABLE!$A$2:$B$102,2),""),"")</f>
        <v/>
      </c>
      <c r="AC31" s="48" t="str">
        <f t="shared" si="2"/>
        <v/>
      </c>
      <c r="AD31" s="53"/>
      <c r="AE31" s="42" t="str">
        <f>IF(AND(B31&lt;&gt;""),IF($AD$9&lt;&gt;0,VLOOKUP(AD31/$AD$9*100,TRANSMUTATION_TABLE!$A$2:$B$102,2),""),"")</f>
        <v/>
      </c>
      <c r="AF31" s="50">
        <f>Attendance!BW28</f>
        <v>0</v>
      </c>
      <c r="AG31" s="45" t="str">
        <f>IF(AND(B31&lt;&gt;""),IF($AF$9&lt;&gt;0,VLOOKUP(AF31/$AF$9*100,TRANSMUTATION_TABLE!$A$2:$B$102,2),""),"")</f>
        <v/>
      </c>
      <c r="AH31" s="5"/>
      <c r="AI31" s="45" t="str">
        <f>IF(AND(B31&lt;&gt;""),IF($AH$9&lt;&gt;0,VLOOKUP(AH31/$AH$9*100,TRANSMUTATION_TABLE!$A$2:$B$102,2),""),"")</f>
        <v/>
      </c>
      <c r="AJ31" s="45" t="str">
        <f>IF(OR(K31&lt;&gt;"",T31&lt;&gt;"",AC31&lt;&gt;"",AG31&lt;&gt;"",AI31&lt;&gt;""),SUM(PRODUCT(K31,IF(Settings!$I$17&lt;&gt;0,Settings!$I$17/100,0)),PRODUCT(T31,IF(Settings!$I$18&lt;&gt;0,Settings!$I$18/100,0)),PRODUCT(AC31,IF(Settings!$I$19&lt;&gt;0,Settings!$I$19/100,0)),PRODUCT(AG31,IF(Settings!$I$20&lt;&gt;0,Settings!$I$20/100,0)),PRODUCT(AI31,IF(Settings!$I$21&lt;&gt;0,Settings!$I$21/100,0))),"")</f>
        <v/>
      </c>
      <c r="AK31" s="45" t="str">
        <f>Prelim!AJ31</f>
        <v/>
      </c>
      <c r="AL31" s="45" t="str">
        <f>Midterm!AL31</f>
        <v/>
      </c>
      <c r="AM31" s="45" t="str">
        <f>SemiFinal!AM31</f>
        <v/>
      </c>
      <c r="AN31" s="46" t="str">
        <f>IF(AJ31&lt;&gt;"",AVERAGE(AVERAGE(Prelim!AJ31,Midterm!AL31),AVERAGE(SemiFinal!AM31,Final!AJ31)),"")</f>
        <v/>
      </c>
      <c r="AO31" s="45">
        <f t="shared" si="3"/>
        <v>5</v>
      </c>
      <c r="AP31" s="37"/>
      <c r="AQ31" s="37"/>
      <c r="AR31" s="37"/>
    </row>
    <row r="32" spans="1:44" ht="12" customHeight="1" thickBot="1" x14ac:dyDescent="0.35">
      <c r="A32" s="52"/>
      <c r="B32" s="60"/>
      <c r="C32" s="5"/>
      <c r="D32" s="42" t="str">
        <f>IF(AND(B32&lt;&gt;""),IF($C$9&lt;&gt;0,VLOOKUP(C32/$C$9*100,TRANSMUTATION_TABLE!$A$2:$B$102,2),""),"")</f>
        <v/>
      </c>
      <c r="E32" s="5"/>
      <c r="F32" s="42" t="str">
        <f>IF(AND(B32&lt;&gt;""),IF($E$9&lt;&gt;0,VLOOKUP(E32/$E$9*100,TRANSMUTATION_TABLE!$A$2:$B$102,2),""),"")</f>
        <v/>
      </c>
      <c r="G32" s="5"/>
      <c r="H32" s="42" t="str">
        <f>IF(AND(B32&lt;&gt;""),IF($G$9&lt;&gt;0,VLOOKUP(G32/$G$9*100,TRANSMUTATION_TABLE!$A$2:$B$102,2),""),"")</f>
        <v/>
      </c>
      <c r="I32" s="5"/>
      <c r="J32" s="43" t="str">
        <f>IF(AND(B32&lt;&gt;""),IF($I$9&lt;&gt;0,VLOOKUP(I32/$I$9*100,TRANSMUTATION_TABLE!$A$2:$B$102,2),""),"")</f>
        <v/>
      </c>
      <c r="K32" s="48" t="str">
        <f t="shared" si="0"/>
        <v/>
      </c>
      <c r="L32" s="5"/>
      <c r="M32" s="42" t="str">
        <f>IF(AND(B32&lt;&gt;""),IF($L$9&lt;&gt;0,VLOOKUP(L32/$L$9*100,TRANSMUTATION_TABLE!$A$2:$B$102,2),""),"")</f>
        <v/>
      </c>
      <c r="N32" s="5"/>
      <c r="O32" s="42" t="str">
        <f>IF(AND(B32&lt;&gt;""),IF($N$9&lt;&gt;0,VLOOKUP(N32/$N$9*100,TRANSMUTATION_TABLE!$A$2:$B$102,2),""),"")</f>
        <v/>
      </c>
      <c r="P32" s="5"/>
      <c r="Q32" s="42" t="str">
        <f>IF(AND(B32&lt;&gt;""),IF($P$9&lt;&gt;0,VLOOKUP(P32/$P$9*100,TRANSMUTATION_TABLE!$A$2:$B$102,2),""),"")</f>
        <v/>
      </c>
      <c r="R32" s="5"/>
      <c r="S32" s="43" t="str">
        <f>IF(AND(B32&lt;&gt;""),IF($R$9&lt;&gt;0,VLOOKUP(R32/$R$9*100,TRANSMUTATION_TABLE!$A$2:$B$102,2),""),"")</f>
        <v/>
      </c>
      <c r="T32" s="48" t="str">
        <f t="shared" si="1"/>
        <v/>
      </c>
      <c r="U32" s="5"/>
      <c r="V32" s="42" t="str">
        <f>IF(AND(B32&lt;&gt;""),IF($U$9&lt;&gt;0,VLOOKUP(U32/$U$9*100,TRANSMUTATION_TABLE!$A$2:$B$102,2),""),"")</f>
        <v/>
      </c>
      <c r="W32" s="5"/>
      <c r="X32" s="42" t="str">
        <f>IF(AND(B32&lt;&gt;""),IF($W$9&lt;&gt;0,VLOOKUP(W32/$W$9*100,TRANSMUTATION_TABLE!$A$2:$B$102,2),""),"")</f>
        <v/>
      </c>
      <c r="Y32" s="5"/>
      <c r="Z32" s="42" t="str">
        <f>IF(AND(B32&lt;&gt;""),IF($Y$9&lt;&gt;0,VLOOKUP(Y32/$Y$9*100,TRANSMUTATION_TABLE!$A$2:$B$102,2),""),"")</f>
        <v/>
      </c>
      <c r="AA32" s="5"/>
      <c r="AB32" s="43" t="str">
        <f>IF(AND(B32&lt;&gt;""),IF($AA$9&lt;&gt;0,VLOOKUP(AA32/$AA$9*100,TRANSMUTATION_TABLE!$A$2:$B$102,2),""),"")</f>
        <v/>
      </c>
      <c r="AC32" s="48" t="str">
        <f t="shared" si="2"/>
        <v/>
      </c>
      <c r="AD32" s="53"/>
      <c r="AE32" s="42" t="str">
        <f>IF(AND(B32&lt;&gt;""),IF($AD$9&lt;&gt;0,VLOOKUP(AD32/$AD$9*100,TRANSMUTATION_TABLE!$A$2:$B$102,2),""),"")</f>
        <v/>
      </c>
      <c r="AF32" s="50">
        <f>Attendance!BW29</f>
        <v>0</v>
      </c>
      <c r="AG32" s="45" t="str">
        <f>IF(AND(B32&lt;&gt;""),IF($AF$9&lt;&gt;0,VLOOKUP(AF32/$AF$9*100,TRANSMUTATION_TABLE!$A$2:$B$102,2),""),"")</f>
        <v/>
      </c>
      <c r="AH32" s="5"/>
      <c r="AI32" s="45" t="str">
        <f>IF(AND(B32&lt;&gt;""),IF($AH$9&lt;&gt;0,VLOOKUP(AH32/$AH$9*100,TRANSMUTATION_TABLE!$A$2:$B$102,2),""),"")</f>
        <v/>
      </c>
      <c r="AJ32" s="45" t="str">
        <f>IF(OR(K32&lt;&gt;"",T32&lt;&gt;"",AC32&lt;&gt;"",AG32&lt;&gt;"",AI32&lt;&gt;""),SUM(PRODUCT(K32,IF(Settings!$I$17&lt;&gt;0,Settings!$I$17/100,0)),PRODUCT(T32,IF(Settings!$I$18&lt;&gt;0,Settings!$I$18/100,0)),PRODUCT(AC32,IF(Settings!$I$19&lt;&gt;0,Settings!$I$19/100,0)),PRODUCT(AG32,IF(Settings!$I$20&lt;&gt;0,Settings!$I$20/100,0)),PRODUCT(AI32,IF(Settings!$I$21&lt;&gt;0,Settings!$I$21/100,0))),"")</f>
        <v/>
      </c>
      <c r="AK32" s="45" t="str">
        <f>Prelim!AJ32</f>
        <v/>
      </c>
      <c r="AL32" s="45" t="str">
        <f>Midterm!AL32</f>
        <v/>
      </c>
      <c r="AM32" s="45" t="str">
        <f>SemiFinal!AM32</f>
        <v/>
      </c>
      <c r="AN32" s="46" t="str">
        <f>IF(AJ32&lt;&gt;"",AVERAGE(AVERAGE(Prelim!AJ32,Midterm!AL32),AVERAGE(SemiFinal!AM32,Final!AJ32)),"")</f>
        <v/>
      </c>
      <c r="AO32" s="45">
        <f t="shared" si="3"/>
        <v>5</v>
      </c>
      <c r="AP32" s="37"/>
      <c r="AQ32" s="37"/>
      <c r="AR32" s="37"/>
    </row>
    <row r="33" spans="1:44" ht="12" customHeight="1" thickBot="1" x14ac:dyDescent="0.35">
      <c r="A33" s="52"/>
      <c r="B33" s="60"/>
      <c r="C33" s="5"/>
      <c r="D33" s="42" t="str">
        <f>IF(AND(B33&lt;&gt;""),IF($C$9&lt;&gt;0,VLOOKUP(C33/$C$9*100,TRANSMUTATION_TABLE!$A$2:$B$102,2),""),"")</f>
        <v/>
      </c>
      <c r="E33" s="5"/>
      <c r="F33" s="42" t="str">
        <f>IF(AND(B33&lt;&gt;""),IF($E$9&lt;&gt;0,VLOOKUP(E33/$E$9*100,TRANSMUTATION_TABLE!$A$2:$B$102,2),""),"")</f>
        <v/>
      </c>
      <c r="G33" s="5"/>
      <c r="H33" s="42" t="str">
        <f>IF(AND(B33&lt;&gt;""),IF($G$9&lt;&gt;0,VLOOKUP(G33/$G$9*100,TRANSMUTATION_TABLE!$A$2:$B$102,2),""),"")</f>
        <v/>
      </c>
      <c r="I33" s="5"/>
      <c r="J33" s="43" t="str">
        <f>IF(AND(B33&lt;&gt;""),IF($I$9&lt;&gt;0,VLOOKUP(I33/$I$9*100,TRANSMUTATION_TABLE!$A$2:$B$102,2),""),"")</f>
        <v/>
      </c>
      <c r="K33" s="48" t="str">
        <f t="shared" si="0"/>
        <v/>
      </c>
      <c r="L33" s="5"/>
      <c r="M33" s="42" t="str">
        <f>IF(AND(B33&lt;&gt;""),IF($L$9&lt;&gt;0,VLOOKUP(L33/$L$9*100,TRANSMUTATION_TABLE!$A$2:$B$102,2),""),"")</f>
        <v/>
      </c>
      <c r="N33" s="5"/>
      <c r="O33" s="42" t="str">
        <f>IF(AND(B33&lt;&gt;""),IF($N$9&lt;&gt;0,VLOOKUP(N33/$N$9*100,TRANSMUTATION_TABLE!$A$2:$B$102,2),""),"")</f>
        <v/>
      </c>
      <c r="P33" s="5"/>
      <c r="Q33" s="42" t="str">
        <f>IF(AND(B33&lt;&gt;""),IF($P$9&lt;&gt;0,VLOOKUP(P33/$P$9*100,TRANSMUTATION_TABLE!$A$2:$B$102,2),""),"")</f>
        <v/>
      </c>
      <c r="R33" s="5"/>
      <c r="S33" s="43" t="str">
        <f>IF(AND(B33&lt;&gt;""),IF($R$9&lt;&gt;0,VLOOKUP(R33/$R$9*100,TRANSMUTATION_TABLE!$A$2:$B$102,2),""),"")</f>
        <v/>
      </c>
      <c r="T33" s="48" t="str">
        <f t="shared" si="1"/>
        <v/>
      </c>
      <c r="U33" s="5"/>
      <c r="V33" s="42" t="str">
        <f>IF(AND(B33&lt;&gt;""),IF($U$9&lt;&gt;0,VLOOKUP(U33/$U$9*100,TRANSMUTATION_TABLE!$A$2:$B$102,2),""),"")</f>
        <v/>
      </c>
      <c r="W33" s="5"/>
      <c r="X33" s="42" t="str">
        <f>IF(AND(B33&lt;&gt;""),IF($W$9&lt;&gt;0,VLOOKUP(W33/$W$9*100,TRANSMUTATION_TABLE!$A$2:$B$102,2),""),"")</f>
        <v/>
      </c>
      <c r="Y33" s="5"/>
      <c r="Z33" s="42" t="str">
        <f>IF(AND(B33&lt;&gt;""),IF($Y$9&lt;&gt;0,VLOOKUP(Y33/$Y$9*100,TRANSMUTATION_TABLE!$A$2:$B$102,2),""),"")</f>
        <v/>
      </c>
      <c r="AA33" s="5"/>
      <c r="AB33" s="43" t="str">
        <f>IF(AND(B33&lt;&gt;""),IF($AA$9&lt;&gt;0,VLOOKUP(AA33/$AA$9*100,TRANSMUTATION_TABLE!$A$2:$B$102,2),""),"")</f>
        <v/>
      </c>
      <c r="AC33" s="48" t="str">
        <f t="shared" si="2"/>
        <v/>
      </c>
      <c r="AD33" s="53"/>
      <c r="AE33" s="42" t="str">
        <f>IF(AND(B33&lt;&gt;""),IF($AD$9&lt;&gt;0,VLOOKUP(AD33/$AD$9*100,TRANSMUTATION_TABLE!$A$2:$B$102,2),""),"")</f>
        <v/>
      </c>
      <c r="AF33" s="50">
        <f>Attendance!BW30</f>
        <v>0</v>
      </c>
      <c r="AG33" s="45" t="str">
        <f>IF(AND(B33&lt;&gt;""),IF($AF$9&lt;&gt;0,VLOOKUP(AF33/$AF$9*100,TRANSMUTATION_TABLE!$A$2:$B$102,2),""),"")</f>
        <v/>
      </c>
      <c r="AH33" s="5"/>
      <c r="AI33" s="45" t="str">
        <f>IF(AND(B33&lt;&gt;""),IF($AH$9&lt;&gt;0,VLOOKUP(AH33/$AH$9*100,TRANSMUTATION_TABLE!$A$2:$B$102,2),""),"")</f>
        <v/>
      </c>
      <c r="AJ33" s="45" t="str">
        <f>IF(OR(K33&lt;&gt;"",T33&lt;&gt;"",AC33&lt;&gt;"",AG33&lt;&gt;"",AI33&lt;&gt;""),SUM(PRODUCT(K33,IF(Settings!$I$17&lt;&gt;0,Settings!$I$17/100,0)),PRODUCT(T33,IF(Settings!$I$18&lt;&gt;0,Settings!$I$18/100,0)),PRODUCT(AC33,IF(Settings!$I$19&lt;&gt;0,Settings!$I$19/100,0)),PRODUCT(AG33,IF(Settings!$I$20&lt;&gt;0,Settings!$I$20/100,0)),PRODUCT(AI33,IF(Settings!$I$21&lt;&gt;0,Settings!$I$21/100,0))),"")</f>
        <v/>
      </c>
      <c r="AK33" s="45" t="str">
        <f>Prelim!AJ33</f>
        <v/>
      </c>
      <c r="AL33" s="45" t="str">
        <f>Midterm!AL33</f>
        <v/>
      </c>
      <c r="AM33" s="45" t="str">
        <f>SemiFinal!AM33</f>
        <v/>
      </c>
      <c r="AN33" s="46" t="str">
        <f>IF(AJ33&lt;&gt;"",AVERAGE(AVERAGE(Prelim!AJ33,Midterm!AL33),AVERAGE(SemiFinal!AM33,Final!AJ33)),"")</f>
        <v/>
      </c>
      <c r="AO33" s="45">
        <f t="shared" si="3"/>
        <v>5</v>
      </c>
      <c r="AP33" s="37"/>
      <c r="AQ33" s="37"/>
      <c r="AR33" s="37"/>
    </row>
    <row r="34" spans="1:44" ht="12" customHeight="1" thickBot="1" x14ac:dyDescent="0.35">
      <c r="A34" s="54"/>
      <c r="B34" s="60"/>
      <c r="C34" s="55"/>
      <c r="D34" s="42" t="str">
        <f>IF(AND(B34&lt;&gt;""),IF($C$9&lt;&gt;0,VLOOKUP(C34/$C$9*100,TRANSMUTATION_TABLE!$A$2:$B$102,2),""),"")</f>
        <v/>
      </c>
      <c r="E34" s="55"/>
      <c r="F34" s="42" t="str">
        <f>IF(AND(B34&lt;&gt;""),IF($E$9&lt;&gt;0,VLOOKUP(E34/$E$9*100,TRANSMUTATION_TABLE!$A$2:$B$102,2),""),"")</f>
        <v/>
      </c>
      <c r="G34" s="55"/>
      <c r="H34" s="42" t="str">
        <f>IF(AND(B34&lt;&gt;""),IF($G$9&lt;&gt;0,VLOOKUP(G34/$G$9*100,TRANSMUTATION_TABLE!$A$2:$B$102,2),""),"")</f>
        <v/>
      </c>
      <c r="I34" s="55"/>
      <c r="J34" s="43" t="str">
        <f>IF(AND(B34&lt;&gt;""),IF($I$9&lt;&gt;0,VLOOKUP(I34/$I$9*100,TRANSMUTATION_TABLE!$A$2:$B$102,2),""),"")</f>
        <v/>
      </c>
      <c r="K34" s="48" t="str">
        <f t="shared" si="0"/>
        <v/>
      </c>
      <c r="L34" s="55"/>
      <c r="M34" s="42" t="str">
        <f>IF(AND(B34&lt;&gt;""),IF($L$9&lt;&gt;0,VLOOKUP(L34/$L$9*100,TRANSMUTATION_TABLE!$A$2:$B$102,2),""),"")</f>
        <v/>
      </c>
      <c r="N34" s="55"/>
      <c r="O34" s="42" t="str">
        <f>IF(AND(B34&lt;&gt;""),IF($N$9&lt;&gt;0,VLOOKUP(N34/$N$9*100,TRANSMUTATION_TABLE!$A$2:$B$102,2),""),"")</f>
        <v/>
      </c>
      <c r="P34" s="55"/>
      <c r="Q34" s="42" t="str">
        <f>IF(AND(B34&lt;&gt;""),IF($P$9&lt;&gt;0,VLOOKUP(P34/$P$9*100,TRANSMUTATION_TABLE!$A$2:$B$102,2),""),"")</f>
        <v/>
      </c>
      <c r="R34" s="55"/>
      <c r="S34" s="43" t="str">
        <f>IF(AND(B34&lt;&gt;""),IF($R$9&lt;&gt;0,VLOOKUP(R34/$R$9*100,TRANSMUTATION_TABLE!$A$2:$B$102,2),""),"")</f>
        <v/>
      </c>
      <c r="T34" s="48" t="str">
        <f t="shared" si="1"/>
        <v/>
      </c>
      <c r="U34" s="55"/>
      <c r="V34" s="42" t="str">
        <f>IF(AND(B34&lt;&gt;""),IF($U$9&lt;&gt;0,VLOOKUP(U34/$U$9*100,TRANSMUTATION_TABLE!$A$2:$B$102,2),""),"")</f>
        <v/>
      </c>
      <c r="W34" s="55"/>
      <c r="X34" s="42" t="str">
        <f>IF(AND(B34&lt;&gt;""),IF($W$9&lt;&gt;0,VLOOKUP(W34/$W$9*100,TRANSMUTATION_TABLE!$A$2:$B$102,2),""),"")</f>
        <v/>
      </c>
      <c r="Y34" s="55"/>
      <c r="Z34" s="42" t="str">
        <f>IF(AND(B34&lt;&gt;""),IF($Y$9&lt;&gt;0,VLOOKUP(Y34/$Y$9*100,TRANSMUTATION_TABLE!$A$2:$B$102,2),""),"")</f>
        <v/>
      </c>
      <c r="AA34" s="55"/>
      <c r="AB34" s="43" t="str">
        <f>IF(AND(B34&lt;&gt;""),IF($AA$9&lt;&gt;0,VLOOKUP(AA34/$AA$9*100,TRANSMUTATION_TABLE!$A$2:$B$102,2),""),"")</f>
        <v/>
      </c>
      <c r="AC34" s="48" t="str">
        <f t="shared" si="2"/>
        <v/>
      </c>
      <c r="AD34" s="56"/>
      <c r="AE34" s="42" t="str">
        <f>IF(AND(B34&lt;&gt;""),IF($AD$9&lt;&gt;0,VLOOKUP(AD34/$AD$9*100,TRANSMUTATION_TABLE!$A$2:$B$102,2),""),"")</f>
        <v/>
      </c>
      <c r="AF34" s="50">
        <f>Attendance!BW31</f>
        <v>0</v>
      </c>
      <c r="AG34" s="45" t="str">
        <f>IF(AND(B34&lt;&gt;""),IF($AF$9&lt;&gt;0,VLOOKUP(AF34/$AF$9*100,TRANSMUTATION_TABLE!$A$2:$B$102,2),""),"")</f>
        <v/>
      </c>
      <c r="AH34" s="55"/>
      <c r="AI34" s="45" t="str">
        <f>IF(AND(B34&lt;&gt;""),IF($AH$9&lt;&gt;0,VLOOKUP(AH34/$AH$9*100,TRANSMUTATION_TABLE!$A$2:$B$102,2),""),"")</f>
        <v/>
      </c>
      <c r="AJ34" s="45" t="str">
        <f>IF(OR(K34&lt;&gt;"",T34&lt;&gt;"",AC34&lt;&gt;"",AG34&lt;&gt;"",AI34&lt;&gt;""),SUM(PRODUCT(K34,IF(Settings!$I$17&lt;&gt;0,Settings!$I$17/100,0)),PRODUCT(T34,IF(Settings!$I$18&lt;&gt;0,Settings!$I$18/100,0)),PRODUCT(AC34,IF(Settings!$I$19&lt;&gt;0,Settings!$I$19/100,0)),PRODUCT(AG34,IF(Settings!$I$20&lt;&gt;0,Settings!$I$20/100,0)),PRODUCT(AI34,IF(Settings!$I$21&lt;&gt;0,Settings!$I$21/100,0))),"")</f>
        <v/>
      </c>
      <c r="AK34" s="45" t="str">
        <f>Prelim!AJ34</f>
        <v/>
      </c>
      <c r="AL34" s="45" t="str">
        <f>Midterm!AL34</f>
        <v/>
      </c>
      <c r="AM34" s="45" t="str">
        <f>SemiFinal!AM34</f>
        <v/>
      </c>
      <c r="AN34" s="46" t="str">
        <f>IF(AJ34&lt;&gt;"",AVERAGE(AVERAGE(Prelim!AJ34,Midterm!AL34),AVERAGE(SemiFinal!AM34,Final!AJ34)),"")</f>
        <v/>
      </c>
      <c r="AO34" s="45">
        <f t="shared" si="3"/>
        <v>5</v>
      </c>
      <c r="AP34" s="37"/>
      <c r="AQ34" s="37"/>
      <c r="AR34" s="37"/>
    </row>
    <row r="35" spans="1:44" ht="12" customHeight="1" thickBot="1" x14ac:dyDescent="0.35">
      <c r="A35" s="47"/>
      <c r="B35" s="60"/>
      <c r="C35" s="5"/>
      <c r="D35" s="42" t="str">
        <f>IF(AND(B35&lt;&gt;""),IF($C$9&lt;&gt;0,VLOOKUP(C35/$C$9*100,TRANSMUTATION_TABLE!$A$2:$B$102,2),""),"")</f>
        <v/>
      </c>
      <c r="E35" s="5"/>
      <c r="F35" s="42" t="str">
        <f>IF(AND(B35&lt;&gt;""),IF($E$9&lt;&gt;0,VLOOKUP(E35/$E$9*100,TRANSMUTATION_TABLE!$A$2:$B$102,2),""),"")</f>
        <v/>
      </c>
      <c r="G35" s="5"/>
      <c r="H35" s="42" t="str">
        <f>IF(AND(B35&lt;&gt;""),IF($G$9&lt;&gt;0,VLOOKUP(G35/$G$9*100,TRANSMUTATION_TABLE!$A$2:$B$102,2),""),"")</f>
        <v/>
      </c>
      <c r="I35" s="5"/>
      <c r="J35" s="43" t="str">
        <f>IF(AND(B35&lt;&gt;""),IF($I$9&lt;&gt;0,VLOOKUP(I35/$I$9*100,TRANSMUTATION_TABLE!$A$2:$B$102,2),""),"")</f>
        <v/>
      </c>
      <c r="K35" s="48" t="str">
        <f t="shared" si="0"/>
        <v/>
      </c>
      <c r="L35" s="5"/>
      <c r="M35" s="42" t="str">
        <f>IF(AND(B35&lt;&gt;""),IF($L$9&lt;&gt;0,VLOOKUP(L35/$L$9*100,TRANSMUTATION_TABLE!$A$2:$B$102,2),""),"")</f>
        <v/>
      </c>
      <c r="N35" s="5"/>
      <c r="O35" s="42" t="str">
        <f>IF(AND(B35&lt;&gt;""),IF($N$9&lt;&gt;0,VLOOKUP(N35/$N$9*100,TRANSMUTATION_TABLE!$A$2:$B$102,2),""),"")</f>
        <v/>
      </c>
      <c r="P35" s="5"/>
      <c r="Q35" s="42" t="str">
        <f>IF(AND(B35&lt;&gt;""),IF($P$9&lt;&gt;0,VLOOKUP(P35/$P$9*100,TRANSMUTATION_TABLE!$A$2:$B$102,2),""),"")</f>
        <v/>
      </c>
      <c r="R35" s="5"/>
      <c r="S35" s="43" t="str">
        <f>IF(AND(B35&lt;&gt;""),IF($R$9&lt;&gt;0,VLOOKUP(R35/$R$9*100,TRANSMUTATION_TABLE!$A$2:$B$102,2),""),"")</f>
        <v/>
      </c>
      <c r="T35" s="48" t="str">
        <f t="shared" si="1"/>
        <v/>
      </c>
      <c r="U35" s="5"/>
      <c r="V35" s="42" t="str">
        <f>IF(AND(B35&lt;&gt;""),IF($U$9&lt;&gt;0,VLOOKUP(U35/$U$9*100,TRANSMUTATION_TABLE!$A$2:$B$102,2),""),"")</f>
        <v/>
      </c>
      <c r="W35" s="5"/>
      <c r="X35" s="42" t="str">
        <f>IF(AND(B35&lt;&gt;""),IF($W$9&lt;&gt;0,VLOOKUP(W35/$W$9*100,TRANSMUTATION_TABLE!$A$2:$B$102,2),""),"")</f>
        <v/>
      </c>
      <c r="Y35" s="5"/>
      <c r="Z35" s="42" t="str">
        <f>IF(AND(B35&lt;&gt;""),IF($Y$9&lt;&gt;0,VLOOKUP(Y35/$Y$9*100,TRANSMUTATION_TABLE!$A$2:$B$102,2),""),"")</f>
        <v/>
      </c>
      <c r="AA35" s="5"/>
      <c r="AB35" s="43" t="str">
        <f>IF(AND(B35&lt;&gt;""),IF($AA$9&lt;&gt;0,VLOOKUP(AA35/$AA$9*100,TRANSMUTATION_TABLE!$A$2:$B$102,2),""),"")</f>
        <v/>
      </c>
      <c r="AC35" s="48" t="str">
        <f t="shared" si="2"/>
        <v/>
      </c>
      <c r="AD35" s="58"/>
      <c r="AE35" s="42" t="str">
        <f>IF(AND(B35&lt;&gt;""),IF($AD$9&lt;&gt;0,VLOOKUP(AD35/$AD$9*100,TRANSMUTATION_TABLE!$A$2:$B$102,2),""),"")</f>
        <v/>
      </c>
      <c r="AF35" s="50">
        <f>Attendance!BW32</f>
        <v>0</v>
      </c>
      <c r="AG35" s="45" t="str">
        <f>IF(AND(B35&lt;&gt;""),IF($AF$9&lt;&gt;0,VLOOKUP(AF35/$AF$9*100,TRANSMUTATION_TABLE!$A$2:$B$102,2),""),"")</f>
        <v/>
      </c>
      <c r="AH35" s="5"/>
      <c r="AI35" s="45" t="str">
        <f>IF(AND(B35&lt;&gt;""),IF($AH$9&lt;&gt;0,VLOOKUP(AH35/$AH$9*100,TRANSMUTATION_TABLE!$A$2:$B$102,2),""),"")</f>
        <v/>
      </c>
      <c r="AJ35" s="45" t="str">
        <f>IF(OR(K35&lt;&gt;"",T35&lt;&gt;"",AC35&lt;&gt;"",AG35&lt;&gt;"",AI35&lt;&gt;""),SUM(PRODUCT(K35,IF(Settings!$I$17&lt;&gt;0,Settings!$I$17/100,0)),PRODUCT(T35,IF(Settings!$I$18&lt;&gt;0,Settings!$I$18/100,0)),PRODUCT(AC35,IF(Settings!$I$19&lt;&gt;0,Settings!$I$19/100,0)),PRODUCT(AG35,IF(Settings!$I$20&lt;&gt;0,Settings!$I$20/100,0)),PRODUCT(AI35,IF(Settings!$I$21&lt;&gt;0,Settings!$I$21/100,0))),"")</f>
        <v/>
      </c>
      <c r="AK35" s="45" t="str">
        <f>Prelim!AJ35</f>
        <v/>
      </c>
      <c r="AL35" s="45" t="str">
        <f>Midterm!AL35</f>
        <v/>
      </c>
      <c r="AM35" s="45" t="str">
        <f>SemiFinal!AM35</f>
        <v/>
      </c>
      <c r="AN35" s="46" t="str">
        <f>IF(AJ35&lt;&gt;"",AVERAGE(AVERAGE(Prelim!AJ35,Midterm!AL35),AVERAGE(SemiFinal!AM35,Final!AJ35)),"")</f>
        <v/>
      </c>
      <c r="AO35" s="45">
        <f t="shared" si="3"/>
        <v>5</v>
      </c>
      <c r="AP35" s="37"/>
      <c r="AQ35" s="37"/>
      <c r="AR35" s="37"/>
    </row>
    <row r="36" spans="1:44" ht="12" customHeight="1" thickBot="1" x14ac:dyDescent="0.35">
      <c r="A36" s="52"/>
      <c r="B36" s="60"/>
      <c r="C36" s="5"/>
      <c r="D36" s="42" t="str">
        <f>IF(AND(B36&lt;&gt;""),IF($C$9&lt;&gt;0,VLOOKUP(C36/$C$9*100,TRANSMUTATION_TABLE!$A$2:$B$102,2),""),"")</f>
        <v/>
      </c>
      <c r="E36" s="5"/>
      <c r="F36" s="42" t="str">
        <f>IF(AND(B36&lt;&gt;""),IF($E$9&lt;&gt;0,VLOOKUP(E36/$E$9*100,TRANSMUTATION_TABLE!$A$2:$B$102,2),""),"")</f>
        <v/>
      </c>
      <c r="G36" s="5"/>
      <c r="H36" s="42" t="str">
        <f>IF(AND(B36&lt;&gt;""),IF($G$9&lt;&gt;0,VLOOKUP(G36/$G$9*100,TRANSMUTATION_TABLE!$A$2:$B$102,2),""),"")</f>
        <v/>
      </c>
      <c r="I36" s="5"/>
      <c r="J36" s="43" t="str">
        <f>IF(AND(B36&lt;&gt;""),IF($I$9&lt;&gt;0,VLOOKUP(I36/$I$9*100,TRANSMUTATION_TABLE!$A$2:$B$102,2),""),"")</f>
        <v/>
      </c>
      <c r="K36" s="48" t="str">
        <f t="shared" si="0"/>
        <v/>
      </c>
      <c r="L36" s="5"/>
      <c r="M36" s="42" t="str">
        <f>IF(AND(B36&lt;&gt;""),IF($L$9&lt;&gt;0,VLOOKUP(L36/$L$9*100,TRANSMUTATION_TABLE!$A$2:$B$102,2),""),"")</f>
        <v/>
      </c>
      <c r="N36" s="5"/>
      <c r="O36" s="42" t="str">
        <f>IF(AND(B36&lt;&gt;""),IF($N$9&lt;&gt;0,VLOOKUP(N36/$N$9*100,TRANSMUTATION_TABLE!$A$2:$B$102,2),""),"")</f>
        <v/>
      </c>
      <c r="P36" s="5"/>
      <c r="Q36" s="42" t="str">
        <f>IF(AND(B36&lt;&gt;""),IF($P$9&lt;&gt;0,VLOOKUP(P36/$P$9*100,TRANSMUTATION_TABLE!$A$2:$B$102,2),""),"")</f>
        <v/>
      </c>
      <c r="R36" s="5"/>
      <c r="S36" s="43" t="str">
        <f>IF(AND(B36&lt;&gt;""),IF($R$9&lt;&gt;0,VLOOKUP(R36/$R$9*100,TRANSMUTATION_TABLE!$A$2:$B$102,2),""),"")</f>
        <v/>
      </c>
      <c r="T36" s="48" t="str">
        <f t="shared" si="1"/>
        <v/>
      </c>
      <c r="U36" s="5"/>
      <c r="V36" s="42" t="str">
        <f>IF(AND(B36&lt;&gt;""),IF($U$9&lt;&gt;0,VLOOKUP(U36/$U$9*100,TRANSMUTATION_TABLE!$A$2:$B$102,2),""),"")</f>
        <v/>
      </c>
      <c r="W36" s="5"/>
      <c r="X36" s="42" t="str">
        <f>IF(AND(B36&lt;&gt;""),IF($W$9&lt;&gt;0,VLOOKUP(W36/$W$9*100,TRANSMUTATION_TABLE!$A$2:$B$102,2),""),"")</f>
        <v/>
      </c>
      <c r="Y36" s="5"/>
      <c r="Z36" s="42" t="str">
        <f>IF(AND(B36&lt;&gt;""),IF($Y$9&lt;&gt;0,VLOOKUP(Y36/$Y$9*100,TRANSMUTATION_TABLE!$A$2:$B$102,2),""),"")</f>
        <v/>
      </c>
      <c r="AA36" s="5"/>
      <c r="AB36" s="43" t="str">
        <f>IF(AND(B36&lt;&gt;""),IF($AA$9&lt;&gt;0,VLOOKUP(AA36/$AA$9*100,TRANSMUTATION_TABLE!$A$2:$B$102,2),""),"")</f>
        <v/>
      </c>
      <c r="AC36" s="48" t="str">
        <f t="shared" si="2"/>
        <v/>
      </c>
      <c r="AD36" s="53"/>
      <c r="AE36" s="42" t="str">
        <f>IF(AND(B36&lt;&gt;""),IF($AD$9&lt;&gt;0,VLOOKUP(AD36/$AD$9*100,TRANSMUTATION_TABLE!$A$2:$B$102,2),""),"")</f>
        <v/>
      </c>
      <c r="AF36" s="50">
        <f>Attendance!BW33</f>
        <v>0</v>
      </c>
      <c r="AG36" s="45" t="str">
        <f>IF(AND(B36&lt;&gt;""),IF($AF$9&lt;&gt;0,VLOOKUP(AF36/$AF$9*100,TRANSMUTATION_TABLE!$A$2:$B$102,2),""),"")</f>
        <v/>
      </c>
      <c r="AH36" s="5"/>
      <c r="AI36" s="45" t="str">
        <f>IF(AND(B36&lt;&gt;""),IF($AH$9&lt;&gt;0,VLOOKUP(AH36/$AH$9*100,TRANSMUTATION_TABLE!$A$2:$B$102,2),""),"")</f>
        <v/>
      </c>
      <c r="AJ36" s="45" t="str">
        <f>IF(OR(K36&lt;&gt;"",T36&lt;&gt;"",AC36&lt;&gt;"",AG36&lt;&gt;"",AI36&lt;&gt;""),SUM(PRODUCT(K36,IF(Settings!$I$17&lt;&gt;0,Settings!$I$17/100,0)),PRODUCT(T36,IF(Settings!$I$18&lt;&gt;0,Settings!$I$18/100,0)),PRODUCT(AC36,IF(Settings!$I$19&lt;&gt;0,Settings!$I$19/100,0)),PRODUCT(AG36,IF(Settings!$I$20&lt;&gt;0,Settings!$I$20/100,0)),PRODUCT(AI36,IF(Settings!$I$21&lt;&gt;0,Settings!$I$21/100,0))),"")</f>
        <v/>
      </c>
      <c r="AK36" s="45" t="str">
        <f>Prelim!AJ36</f>
        <v/>
      </c>
      <c r="AL36" s="45" t="str">
        <f>Midterm!AL36</f>
        <v/>
      </c>
      <c r="AM36" s="45" t="str">
        <f>SemiFinal!AM36</f>
        <v/>
      </c>
      <c r="AN36" s="46" t="str">
        <f>IF(AJ36&lt;&gt;"",AVERAGE(AVERAGE(Prelim!AJ36,Midterm!AL36),AVERAGE(SemiFinal!AM36,Final!AJ36)),"")</f>
        <v/>
      </c>
      <c r="AO36" s="45">
        <f t="shared" si="3"/>
        <v>5</v>
      </c>
      <c r="AP36" s="37"/>
      <c r="AQ36" s="37"/>
      <c r="AR36" s="37"/>
    </row>
    <row r="37" spans="1:44" ht="12" customHeight="1" thickBot="1" x14ac:dyDescent="0.35">
      <c r="A37" s="52"/>
      <c r="B37" s="60"/>
      <c r="C37" s="5"/>
      <c r="D37" s="42" t="str">
        <f>IF(AND(B37&lt;&gt;""),IF($C$9&lt;&gt;0,VLOOKUP(C37/$C$9*100,TRANSMUTATION_TABLE!$A$2:$B$102,2),""),"")</f>
        <v/>
      </c>
      <c r="E37" s="5"/>
      <c r="F37" s="42" t="str">
        <f>IF(AND(B37&lt;&gt;""),IF($E$9&lt;&gt;0,VLOOKUP(E37/$E$9*100,TRANSMUTATION_TABLE!$A$2:$B$102,2),""),"")</f>
        <v/>
      </c>
      <c r="G37" s="5"/>
      <c r="H37" s="42" t="str">
        <f>IF(AND(B37&lt;&gt;""),IF($G$9&lt;&gt;0,VLOOKUP(G37/$G$9*100,TRANSMUTATION_TABLE!$A$2:$B$102,2),""),"")</f>
        <v/>
      </c>
      <c r="I37" s="5"/>
      <c r="J37" s="43" t="str">
        <f>IF(AND(B37&lt;&gt;""),IF($I$9&lt;&gt;0,VLOOKUP(I37/$I$9*100,TRANSMUTATION_TABLE!$A$2:$B$102,2),""),"")</f>
        <v/>
      </c>
      <c r="K37" s="48" t="str">
        <f t="shared" si="0"/>
        <v/>
      </c>
      <c r="L37" s="5"/>
      <c r="M37" s="42" t="str">
        <f>IF(AND(B37&lt;&gt;""),IF($L$9&lt;&gt;0,VLOOKUP(L37/$L$9*100,TRANSMUTATION_TABLE!$A$2:$B$102,2),""),"")</f>
        <v/>
      </c>
      <c r="N37" s="5"/>
      <c r="O37" s="42" t="str">
        <f>IF(AND(B37&lt;&gt;""),IF($N$9&lt;&gt;0,VLOOKUP(N37/$N$9*100,TRANSMUTATION_TABLE!$A$2:$B$102,2),""),"")</f>
        <v/>
      </c>
      <c r="P37" s="5"/>
      <c r="Q37" s="42" t="str">
        <f>IF(AND(B37&lt;&gt;""),IF($P$9&lt;&gt;0,VLOOKUP(P37/$P$9*100,TRANSMUTATION_TABLE!$A$2:$B$102,2),""),"")</f>
        <v/>
      </c>
      <c r="R37" s="5"/>
      <c r="S37" s="43" t="str">
        <f>IF(AND(B37&lt;&gt;""),IF($R$9&lt;&gt;0,VLOOKUP(R37/$R$9*100,TRANSMUTATION_TABLE!$A$2:$B$102,2),""),"")</f>
        <v/>
      </c>
      <c r="T37" s="48" t="str">
        <f t="shared" si="1"/>
        <v/>
      </c>
      <c r="U37" s="5"/>
      <c r="V37" s="42" t="str">
        <f>IF(AND(B37&lt;&gt;""),IF($U$9&lt;&gt;0,VLOOKUP(U37/$U$9*100,TRANSMUTATION_TABLE!$A$2:$B$102,2),""),"")</f>
        <v/>
      </c>
      <c r="W37" s="5"/>
      <c r="X37" s="42" t="str">
        <f>IF(AND(B37&lt;&gt;""),IF($W$9&lt;&gt;0,VLOOKUP(W37/$W$9*100,TRANSMUTATION_TABLE!$A$2:$B$102,2),""),"")</f>
        <v/>
      </c>
      <c r="Y37" s="5"/>
      <c r="Z37" s="42" t="str">
        <f>IF(AND(B37&lt;&gt;""),IF($Y$9&lt;&gt;0,VLOOKUP(Y37/$Y$9*100,TRANSMUTATION_TABLE!$A$2:$B$102,2),""),"")</f>
        <v/>
      </c>
      <c r="AA37" s="5"/>
      <c r="AB37" s="43" t="str">
        <f>IF(AND(B37&lt;&gt;""),IF($AA$9&lt;&gt;0,VLOOKUP(AA37/$AA$9*100,TRANSMUTATION_TABLE!$A$2:$B$102,2),""),"")</f>
        <v/>
      </c>
      <c r="AC37" s="48" t="str">
        <f t="shared" si="2"/>
        <v/>
      </c>
      <c r="AD37" s="53"/>
      <c r="AE37" s="42" t="str">
        <f>IF(AND(B37&lt;&gt;""),IF($AD$9&lt;&gt;0,VLOOKUP(AD37/$AD$9*100,TRANSMUTATION_TABLE!$A$2:$B$102,2),""),"")</f>
        <v/>
      </c>
      <c r="AF37" s="50">
        <f>Attendance!BW34</f>
        <v>0</v>
      </c>
      <c r="AG37" s="45" t="str">
        <f>IF(AND(B37&lt;&gt;""),IF($AF$9&lt;&gt;0,VLOOKUP(AF37/$AF$9*100,TRANSMUTATION_TABLE!$A$2:$B$102,2),""),"")</f>
        <v/>
      </c>
      <c r="AH37" s="5"/>
      <c r="AI37" s="45" t="str">
        <f>IF(AND(B37&lt;&gt;""),IF($AH$9&lt;&gt;0,VLOOKUP(AH37/$AH$9*100,TRANSMUTATION_TABLE!$A$2:$B$102,2),""),"")</f>
        <v/>
      </c>
      <c r="AJ37" s="45" t="str">
        <f>IF(OR(K37&lt;&gt;"",T37&lt;&gt;"",AC37&lt;&gt;"",AG37&lt;&gt;"",AI37&lt;&gt;""),SUM(PRODUCT(K37,IF(Settings!$I$17&lt;&gt;0,Settings!$I$17/100,0)),PRODUCT(T37,IF(Settings!$I$18&lt;&gt;0,Settings!$I$18/100,0)),PRODUCT(AC37,IF(Settings!$I$19&lt;&gt;0,Settings!$I$19/100,0)),PRODUCT(AG37,IF(Settings!$I$20&lt;&gt;0,Settings!$I$20/100,0)),PRODUCT(AI37,IF(Settings!$I$21&lt;&gt;0,Settings!$I$21/100,0))),"")</f>
        <v/>
      </c>
      <c r="AK37" s="45" t="str">
        <f>Prelim!AJ37</f>
        <v/>
      </c>
      <c r="AL37" s="45" t="str">
        <f>Midterm!AL37</f>
        <v/>
      </c>
      <c r="AM37" s="45" t="str">
        <f>SemiFinal!AM37</f>
        <v/>
      </c>
      <c r="AN37" s="46" t="str">
        <f>IF(AJ37&lt;&gt;"",AVERAGE(AVERAGE(Prelim!AJ37,Midterm!AL37),AVERAGE(SemiFinal!AM37,Final!AJ37)),"")</f>
        <v/>
      </c>
      <c r="AO37" s="45">
        <f t="shared" si="3"/>
        <v>5</v>
      </c>
      <c r="AP37" s="37"/>
      <c r="AQ37" s="37"/>
      <c r="AR37" s="37"/>
    </row>
    <row r="38" spans="1:44" ht="12" customHeight="1" thickBot="1" x14ac:dyDescent="0.35">
      <c r="A38" s="52"/>
      <c r="B38" s="60"/>
      <c r="C38" s="5"/>
      <c r="D38" s="42" t="str">
        <f>IF(AND(B38&lt;&gt;""),IF($C$9&lt;&gt;0,VLOOKUP(C38/$C$9*100,TRANSMUTATION_TABLE!$A$2:$B$102,2),""),"")</f>
        <v/>
      </c>
      <c r="E38" s="5"/>
      <c r="F38" s="42" t="str">
        <f>IF(AND(B38&lt;&gt;""),IF($E$9&lt;&gt;0,VLOOKUP(E38/$E$9*100,TRANSMUTATION_TABLE!$A$2:$B$102,2),""),"")</f>
        <v/>
      </c>
      <c r="G38" s="5"/>
      <c r="H38" s="42" t="str">
        <f>IF(AND(B38&lt;&gt;""),IF($G$9&lt;&gt;0,VLOOKUP(G38/$G$9*100,TRANSMUTATION_TABLE!$A$2:$B$102,2),""),"")</f>
        <v/>
      </c>
      <c r="I38" s="5"/>
      <c r="J38" s="43" t="str">
        <f>IF(AND(B38&lt;&gt;""),IF($I$9&lt;&gt;0,VLOOKUP(I38/$I$9*100,TRANSMUTATION_TABLE!$A$2:$B$102,2),""),"")</f>
        <v/>
      </c>
      <c r="K38" s="48" t="str">
        <f t="shared" si="0"/>
        <v/>
      </c>
      <c r="L38" s="5"/>
      <c r="M38" s="42" t="str">
        <f>IF(AND(B38&lt;&gt;""),IF($L$9&lt;&gt;0,VLOOKUP(L38/$L$9*100,TRANSMUTATION_TABLE!$A$2:$B$102,2),""),"")</f>
        <v/>
      </c>
      <c r="N38" s="5"/>
      <c r="O38" s="42" t="str">
        <f>IF(AND(B38&lt;&gt;""),IF($N$9&lt;&gt;0,VLOOKUP(N38/$N$9*100,TRANSMUTATION_TABLE!$A$2:$B$102,2),""),"")</f>
        <v/>
      </c>
      <c r="P38" s="5"/>
      <c r="Q38" s="42" t="str">
        <f>IF(AND(B38&lt;&gt;""),IF($P$9&lt;&gt;0,VLOOKUP(P38/$P$9*100,TRANSMUTATION_TABLE!$A$2:$B$102,2),""),"")</f>
        <v/>
      </c>
      <c r="R38" s="5"/>
      <c r="S38" s="43" t="str">
        <f>IF(AND(B38&lt;&gt;""),IF($R$9&lt;&gt;0,VLOOKUP(R38/$R$9*100,TRANSMUTATION_TABLE!$A$2:$B$102,2),""),"")</f>
        <v/>
      </c>
      <c r="T38" s="48" t="str">
        <f t="shared" si="1"/>
        <v/>
      </c>
      <c r="U38" s="5"/>
      <c r="V38" s="42" t="str">
        <f>IF(AND(B38&lt;&gt;""),IF($U$9&lt;&gt;0,VLOOKUP(U38/$U$9*100,TRANSMUTATION_TABLE!$A$2:$B$102,2),""),"")</f>
        <v/>
      </c>
      <c r="W38" s="5"/>
      <c r="X38" s="42" t="str">
        <f>IF(AND(B38&lt;&gt;""),IF($W$9&lt;&gt;0,VLOOKUP(W38/$W$9*100,TRANSMUTATION_TABLE!$A$2:$B$102,2),""),"")</f>
        <v/>
      </c>
      <c r="Y38" s="5"/>
      <c r="Z38" s="42" t="str">
        <f>IF(AND(B38&lt;&gt;""),IF($Y$9&lt;&gt;0,VLOOKUP(Y38/$Y$9*100,TRANSMUTATION_TABLE!$A$2:$B$102,2),""),"")</f>
        <v/>
      </c>
      <c r="AA38" s="5"/>
      <c r="AB38" s="43" t="str">
        <f>IF(AND(B38&lt;&gt;""),IF($AA$9&lt;&gt;0,VLOOKUP(AA38/$AA$9*100,TRANSMUTATION_TABLE!$A$2:$B$102,2),""),"")</f>
        <v/>
      </c>
      <c r="AC38" s="48" t="str">
        <f t="shared" si="2"/>
        <v/>
      </c>
      <c r="AD38" s="53"/>
      <c r="AE38" s="42" t="str">
        <f>IF(AND(B38&lt;&gt;""),IF($AD$9&lt;&gt;0,VLOOKUP(AD38/$AD$9*100,TRANSMUTATION_TABLE!$A$2:$B$102,2),""),"")</f>
        <v/>
      </c>
      <c r="AF38" s="50">
        <f>Attendance!BW35</f>
        <v>0</v>
      </c>
      <c r="AG38" s="45" t="str">
        <f>IF(AND(B38&lt;&gt;""),IF($AF$9&lt;&gt;0,VLOOKUP(AF38/$AF$9*100,TRANSMUTATION_TABLE!$A$2:$B$102,2),""),"")</f>
        <v/>
      </c>
      <c r="AH38" s="5"/>
      <c r="AI38" s="45" t="str">
        <f>IF(AND(B38&lt;&gt;""),IF($AH$9&lt;&gt;0,VLOOKUP(AH38/$AH$9*100,TRANSMUTATION_TABLE!$A$2:$B$102,2),""),"")</f>
        <v/>
      </c>
      <c r="AJ38" s="45" t="str">
        <f>IF(OR(K38&lt;&gt;"",T38&lt;&gt;"",AC38&lt;&gt;"",AG38&lt;&gt;"",AI38&lt;&gt;""),SUM(PRODUCT(K38,IF(Settings!$I$17&lt;&gt;0,Settings!$I$17/100,0)),PRODUCT(T38,IF(Settings!$I$18&lt;&gt;0,Settings!$I$18/100,0)),PRODUCT(AC38,IF(Settings!$I$19&lt;&gt;0,Settings!$I$19/100,0)),PRODUCT(AG38,IF(Settings!$I$20&lt;&gt;0,Settings!$I$20/100,0)),PRODUCT(AI38,IF(Settings!$I$21&lt;&gt;0,Settings!$I$21/100,0))),"")</f>
        <v/>
      </c>
      <c r="AK38" s="45" t="str">
        <f>Prelim!AJ38</f>
        <v/>
      </c>
      <c r="AL38" s="45" t="str">
        <f>Midterm!AL38</f>
        <v/>
      </c>
      <c r="AM38" s="45" t="str">
        <f>SemiFinal!AM38</f>
        <v/>
      </c>
      <c r="AN38" s="46" t="str">
        <f>IF(AJ38&lt;&gt;"",AVERAGE(AVERAGE(Prelim!AJ38,Midterm!AL38),AVERAGE(SemiFinal!AM38,Final!AJ38)),"")</f>
        <v/>
      </c>
      <c r="AO38" s="45">
        <f t="shared" si="3"/>
        <v>5</v>
      </c>
      <c r="AP38" s="37"/>
      <c r="AQ38" s="37"/>
      <c r="AR38" s="37"/>
    </row>
    <row r="39" spans="1:44" ht="12" customHeight="1" thickBot="1" x14ac:dyDescent="0.35">
      <c r="A39" s="54"/>
      <c r="B39" s="60"/>
      <c r="C39" s="55"/>
      <c r="D39" s="42" t="str">
        <f>IF(AND(B39&lt;&gt;""),IF($C$9&lt;&gt;0,VLOOKUP(C39/$C$9*100,TRANSMUTATION_TABLE!$A$2:$B$102,2),""),"")</f>
        <v/>
      </c>
      <c r="E39" s="55"/>
      <c r="F39" s="42" t="str">
        <f>IF(AND(B39&lt;&gt;""),IF($E$9&lt;&gt;0,VLOOKUP(E39/$E$9*100,TRANSMUTATION_TABLE!$A$2:$B$102,2),""),"")</f>
        <v/>
      </c>
      <c r="G39" s="55"/>
      <c r="H39" s="42" t="str">
        <f>IF(AND(B39&lt;&gt;""),IF($G$9&lt;&gt;0,VLOOKUP(G39/$G$9*100,TRANSMUTATION_TABLE!$A$2:$B$102,2),""),"")</f>
        <v/>
      </c>
      <c r="I39" s="55"/>
      <c r="J39" s="43" t="str">
        <f>IF(AND(B39&lt;&gt;""),IF($I$9&lt;&gt;0,VLOOKUP(I39/$I$9*100,TRANSMUTATION_TABLE!$A$2:$B$102,2),""),"")</f>
        <v/>
      </c>
      <c r="K39" s="48" t="str">
        <f t="shared" si="0"/>
        <v/>
      </c>
      <c r="L39" s="55"/>
      <c r="M39" s="42" t="str">
        <f>IF(AND(B39&lt;&gt;""),IF($L$9&lt;&gt;0,VLOOKUP(L39/$L$9*100,TRANSMUTATION_TABLE!$A$2:$B$102,2),""),"")</f>
        <v/>
      </c>
      <c r="N39" s="55"/>
      <c r="O39" s="42" t="str">
        <f>IF(AND(B39&lt;&gt;""),IF($N$9&lt;&gt;0,VLOOKUP(N39/$N$9*100,TRANSMUTATION_TABLE!$A$2:$B$102,2),""),"")</f>
        <v/>
      </c>
      <c r="P39" s="55"/>
      <c r="Q39" s="42" t="str">
        <f>IF(AND(B39&lt;&gt;""),IF($P$9&lt;&gt;0,VLOOKUP(P39/$P$9*100,TRANSMUTATION_TABLE!$A$2:$B$102,2),""),"")</f>
        <v/>
      </c>
      <c r="R39" s="55"/>
      <c r="S39" s="43" t="str">
        <f>IF(AND(B39&lt;&gt;""),IF($R$9&lt;&gt;0,VLOOKUP(R39/$R$9*100,TRANSMUTATION_TABLE!$A$2:$B$102,2),""),"")</f>
        <v/>
      </c>
      <c r="T39" s="48" t="str">
        <f t="shared" si="1"/>
        <v/>
      </c>
      <c r="U39" s="55"/>
      <c r="V39" s="42" t="str">
        <f>IF(AND(B39&lt;&gt;""),IF($U$9&lt;&gt;0,VLOOKUP(U39/$U$9*100,TRANSMUTATION_TABLE!$A$2:$B$102,2),""),"")</f>
        <v/>
      </c>
      <c r="W39" s="55"/>
      <c r="X39" s="42" t="str">
        <f>IF(AND(B39&lt;&gt;""),IF($W$9&lt;&gt;0,VLOOKUP(W39/$W$9*100,TRANSMUTATION_TABLE!$A$2:$B$102,2),""),"")</f>
        <v/>
      </c>
      <c r="Y39" s="55"/>
      <c r="Z39" s="42" t="str">
        <f>IF(AND(B39&lt;&gt;""),IF($Y$9&lt;&gt;0,VLOOKUP(Y39/$Y$9*100,TRANSMUTATION_TABLE!$A$2:$B$102,2),""),"")</f>
        <v/>
      </c>
      <c r="AA39" s="55"/>
      <c r="AB39" s="43" t="str">
        <f>IF(AND(B39&lt;&gt;""),IF($AA$9&lt;&gt;0,VLOOKUP(AA39/$AA$9*100,TRANSMUTATION_TABLE!$A$2:$B$102,2),""),"")</f>
        <v/>
      </c>
      <c r="AC39" s="48" t="str">
        <f t="shared" si="2"/>
        <v/>
      </c>
      <c r="AD39" s="56"/>
      <c r="AE39" s="42" t="str">
        <f>IF(AND(B39&lt;&gt;""),IF($AD$9&lt;&gt;0,VLOOKUP(AD39/$AD$9*100,TRANSMUTATION_TABLE!$A$2:$B$102,2),""),"")</f>
        <v/>
      </c>
      <c r="AF39" s="50">
        <f>Attendance!BW36</f>
        <v>0</v>
      </c>
      <c r="AG39" s="45" t="str">
        <f>IF(AND(B39&lt;&gt;""),IF($AF$9&lt;&gt;0,VLOOKUP(AF39/$AF$9*100,TRANSMUTATION_TABLE!$A$2:$B$102,2),""),"")</f>
        <v/>
      </c>
      <c r="AH39" s="55"/>
      <c r="AI39" s="45" t="str">
        <f>IF(AND(B39&lt;&gt;""),IF($AH$9&lt;&gt;0,VLOOKUP(AH39/$AH$9*100,TRANSMUTATION_TABLE!$A$2:$B$102,2),""),"")</f>
        <v/>
      </c>
      <c r="AJ39" s="45" t="str">
        <f>IF(OR(K39&lt;&gt;"",T39&lt;&gt;"",AC39&lt;&gt;"",AG39&lt;&gt;"",AI39&lt;&gt;""),SUM(PRODUCT(K39,IF(Settings!$I$17&lt;&gt;0,Settings!$I$17/100,0)),PRODUCT(T39,IF(Settings!$I$18&lt;&gt;0,Settings!$I$18/100,0)),PRODUCT(AC39,IF(Settings!$I$19&lt;&gt;0,Settings!$I$19/100,0)),PRODUCT(AG39,IF(Settings!$I$20&lt;&gt;0,Settings!$I$20/100,0)),PRODUCT(AI39,IF(Settings!$I$21&lt;&gt;0,Settings!$I$21/100,0))),"")</f>
        <v/>
      </c>
      <c r="AK39" s="45" t="str">
        <f>Prelim!AJ39</f>
        <v/>
      </c>
      <c r="AL39" s="45" t="str">
        <f>Midterm!AL39</f>
        <v/>
      </c>
      <c r="AM39" s="45" t="str">
        <f>SemiFinal!AM39</f>
        <v/>
      </c>
      <c r="AN39" s="46" t="str">
        <f>IF(AJ39&lt;&gt;"",AVERAGE(AVERAGE(Prelim!AJ39,Midterm!AL39),AVERAGE(SemiFinal!AM39,Final!AJ39)),"")</f>
        <v/>
      </c>
      <c r="AO39" s="45">
        <f t="shared" si="3"/>
        <v>5</v>
      </c>
      <c r="AP39" s="37"/>
      <c r="AQ39" s="37"/>
      <c r="AR39" s="37"/>
    </row>
    <row r="40" spans="1:44" ht="12" customHeight="1" thickBot="1" x14ac:dyDescent="0.35">
      <c r="A40" s="47"/>
      <c r="B40" s="60"/>
      <c r="C40" s="5"/>
      <c r="D40" s="42" t="str">
        <f>IF(AND(B40&lt;&gt;""),IF($C$9&lt;&gt;0,VLOOKUP(C40/$C$9*100,TRANSMUTATION_TABLE!$A$2:$B$102,2),""),"")</f>
        <v/>
      </c>
      <c r="E40" s="5"/>
      <c r="F40" s="42" t="str">
        <f>IF(AND(B40&lt;&gt;""),IF($E$9&lt;&gt;0,VLOOKUP(E40/$E$9*100,TRANSMUTATION_TABLE!$A$2:$B$102,2),""),"")</f>
        <v/>
      </c>
      <c r="G40" s="5"/>
      <c r="H40" s="42" t="str">
        <f>IF(AND(B40&lt;&gt;""),IF($G$9&lt;&gt;0,VLOOKUP(G40/$G$9*100,TRANSMUTATION_TABLE!$A$2:$B$102,2),""),"")</f>
        <v/>
      </c>
      <c r="I40" s="5"/>
      <c r="J40" s="43" t="str">
        <f>IF(AND(B40&lt;&gt;""),IF($I$9&lt;&gt;0,VLOOKUP(I40/$I$9*100,TRANSMUTATION_TABLE!$A$2:$B$102,2),""),"")</f>
        <v/>
      </c>
      <c r="K40" s="48" t="str">
        <f t="shared" si="0"/>
        <v/>
      </c>
      <c r="L40" s="5"/>
      <c r="M40" s="42" t="str">
        <f>IF(AND(B40&lt;&gt;""),IF($L$9&lt;&gt;0,VLOOKUP(L40/$L$9*100,TRANSMUTATION_TABLE!$A$2:$B$102,2),""),"")</f>
        <v/>
      </c>
      <c r="N40" s="5"/>
      <c r="O40" s="42" t="str">
        <f>IF(AND(B40&lt;&gt;""),IF($N$9&lt;&gt;0,VLOOKUP(N40/$N$9*100,TRANSMUTATION_TABLE!$A$2:$B$102,2),""),"")</f>
        <v/>
      </c>
      <c r="P40" s="5"/>
      <c r="Q40" s="42" t="str">
        <f>IF(AND(B40&lt;&gt;""),IF($P$9&lt;&gt;0,VLOOKUP(P40/$P$9*100,TRANSMUTATION_TABLE!$A$2:$B$102,2),""),"")</f>
        <v/>
      </c>
      <c r="R40" s="5"/>
      <c r="S40" s="43" t="str">
        <f>IF(AND(B40&lt;&gt;""),IF($R$9&lt;&gt;0,VLOOKUP(R40/$R$9*100,TRANSMUTATION_TABLE!$A$2:$B$102,2),""),"")</f>
        <v/>
      </c>
      <c r="T40" s="48" t="str">
        <f t="shared" si="1"/>
        <v/>
      </c>
      <c r="U40" s="5"/>
      <c r="V40" s="42" t="str">
        <f>IF(AND(B40&lt;&gt;""),IF($U$9&lt;&gt;0,VLOOKUP(U40/$U$9*100,TRANSMUTATION_TABLE!$A$2:$B$102,2),""),"")</f>
        <v/>
      </c>
      <c r="W40" s="5"/>
      <c r="X40" s="42" t="str">
        <f>IF(AND(B40&lt;&gt;""),IF($W$9&lt;&gt;0,VLOOKUP(W40/$W$9*100,TRANSMUTATION_TABLE!$A$2:$B$102,2),""),"")</f>
        <v/>
      </c>
      <c r="Y40" s="5"/>
      <c r="Z40" s="42" t="str">
        <f>IF(AND(B40&lt;&gt;""),IF($Y$9&lt;&gt;0,VLOOKUP(Y40/$Y$9*100,TRANSMUTATION_TABLE!$A$2:$B$102,2),""),"")</f>
        <v/>
      </c>
      <c r="AA40" s="5"/>
      <c r="AB40" s="43" t="str">
        <f>IF(AND(B40&lt;&gt;""),IF($AA$9&lt;&gt;0,VLOOKUP(AA40/$AA$9*100,TRANSMUTATION_TABLE!$A$2:$B$102,2),""),"")</f>
        <v/>
      </c>
      <c r="AC40" s="48" t="str">
        <f t="shared" si="2"/>
        <v/>
      </c>
      <c r="AD40" s="58"/>
      <c r="AE40" s="42" t="str">
        <f>IF(AND(B40&lt;&gt;""),IF($AD$9&lt;&gt;0,VLOOKUP(AD40/$AD$9*100,TRANSMUTATION_TABLE!$A$2:$B$102,2),""),"")</f>
        <v/>
      </c>
      <c r="AF40" s="50">
        <f>Attendance!BW37</f>
        <v>0</v>
      </c>
      <c r="AG40" s="45" t="str">
        <f>IF(AND(B40&lt;&gt;""),IF($AF$9&lt;&gt;0,VLOOKUP(AF40/$AF$9*100,TRANSMUTATION_TABLE!$A$2:$B$102,2),""),"")</f>
        <v/>
      </c>
      <c r="AH40" s="5"/>
      <c r="AI40" s="45" t="str">
        <f>IF(AND(B40&lt;&gt;""),IF($AH$9&lt;&gt;0,VLOOKUP(AH40/$AH$9*100,TRANSMUTATION_TABLE!$A$2:$B$102,2),""),"")</f>
        <v/>
      </c>
      <c r="AJ40" s="45" t="str">
        <f>IF(OR(K40&lt;&gt;"",T40&lt;&gt;"",AC40&lt;&gt;"",AG40&lt;&gt;"",AI40&lt;&gt;""),SUM(PRODUCT(K40,IF(Settings!$I$17&lt;&gt;0,Settings!$I$17/100,0)),PRODUCT(T40,IF(Settings!$I$18&lt;&gt;0,Settings!$I$18/100,0)),PRODUCT(AC40,IF(Settings!$I$19&lt;&gt;0,Settings!$I$19/100,0)),PRODUCT(AG40,IF(Settings!$I$20&lt;&gt;0,Settings!$I$20/100,0)),PRODUCT(AI40,IF(Settings!$I$21&lt;&gt;0,Settings!$I$21/100,0))),"")</f>
        <v/>
      </c>
      <c r="AK40" s="45" t="str">
        <f>Prelim!AJ40</f>
        <v/>
      </c>
      <c r="AL40" s="45" t="str">
        <f>Midterm!AL40</f>
        <v/>
      </c>
      <c r="AM40" s="45" t="str">
        <f>SemiFinal!AM40</f>
        <v/>
      </c>
      <c r="AN40" s="46" t="str">
        <f>IF(AJ40&lt;&gt;"",AVERAGE(AVERAGE(Prelim!AJ40,Midterm!AL40),AVERAGE(SemiFinal!AM40,Final!AJ40)),"")</f>
        <v/>
      </c>
      <c r="AO40" s="45">
        <f t="shared" si="3"/>
        <v>5</v>
      </c>
      <c r="AP40" s="37"/>
      <c r="AQ40" s="37"/>
      <c r="AR40" s="37"/>
    </row>
    <row r="41" spans="1:44" ht="12" customHeight="1" thickBot="1" x14ac:dyDescent="0.35">
      <c r="A41" s="52"/>
      <c r="B41" s="60"/>
      <c r="C41" s="5"/>
      <c r="D41" s="42" t="str">
        <f>IF(AND(B41&lt;&gt;""),IF($C$9&lt;&gt;0,VLOOKUP(C41/$C$9*100,TRANSMUTATION_TABLE!$A$2:$B$102,2),""),"")</f>
        <v/>
      </c>
      <c r="E41" s="5"/>
      <c r="F41" s="42" t="str">
        <f>IF(AND(B41&lt;&gt;""),IF($E$9&lt;&gt;0,VLOOKUP(E41/$E$9*100,TRANSMUTATION_TABLE!$A$2:$B$102,2),""),"")</f>
        <v/>
      </c>
      <c r="G41" s="5"/>
      <c r="H41" s="42" t="str">
        <f>IF(AND(B41&lt;&gt;""),IF($G$9&lt;&gt;0,VLOOKUP(G41/$G$9*100,TRANSMUTATION_TABLE!$A$2:$B$102,2),""),"")</f>
        <v/>
      </c>
      <c r="I41" s="5"/>
      <c r="J41" s="43" t="str">
        <f>IF(AND(B41&lt;&gt;""),IF($I$9&lt;&gt;0,VLOOKUP(I41/$I$9*100,TRANSMUTATION_TABLE!$A$2:$B$102,2),""),"")</f>
        <v/>
      </c>
      <c r="K41" s="48" t="str">
        <f t="shared" si="0"/>
        <v/>
      </c>
      <c r="L41" s="5"/>
      <c r="M41" s="42" t="str">
        <f>IF(AND(B41&lt;&gt;""),IF($L$9&lt;&gt;0,VLOOKUP(L41/$L$9*100,TRANSMUTATION_TABLE!$A$2:$B$102,2),""),"")</f>
        <v/>
      </c>
      <c r="N41" s="5"/>
      <c r="O41" s="42" t="str">
        <f>IF(AND(B41&lt;&gt;""),IF($N$9&lt;&gt;0,VLOOKUP(N41/$N$9*100,TRANSMUTATION_TABLE!$A$2:$B$102,2),""),"")</f>
        <v/>
      </c>
      <c r="P41" s="5"/>
      <c r="Q41" s="42" t="str">
        <f>IF(AND(B41&lt;&gt;""),IF($P$9&lt;&gt;0,VLOOKUP(P41/$P$9*100,TRANSMUTATION_TABLE!$A$2:$B$102,2),""),"")</f>
        <v/>
      </c>
      <c r="R41" s="5"/>
      <c r="S41" s="43" t="str">
        <f>IF(AND(B41&lt;&gt;""),IF($R$9&lt;&gt;0,VLOOKUP(R41/$R$9*100,TRANSMUTATION_TABLE!$A$2:$B$102,2),""),"")</f>
        <v/>
      </c>
      <c r="T41" s="48" t="str">
        <f t="shared" si="1"/>
        <v/>
      </c>
      <c r="U41" s="5"/>
      <c r="V41" s="42" t="str">
        <f>IF(AND(B41&lt;&gt;""),IF($U$9&lt;&gt;0,VLOOKUP(U41/$U$9*100,TRANSMUTATION_TABLE!$A$2:$B$102,2),""),"")</f>
        <v/>
      </c>
      <c r="W41" s="5"/>
      <c r="X41" s="42" t="str">
        <f>IF(AND(B41&lt;&gt;""),IF($W$9&lt;&gt;0,VLOOKUP(W41/$W$9*100,TRANSMUTATION_TABLE!$A$2:$B$102,2),""),"")</f>
        <v/>
      </c>
      <c r="Y41" s="5"/>
      <c r="Z41" s="42" t="str">
        <f>IF(AND(B41&lt;&gt;""),IF($Y$9&lt;&gt;0,VLOOKUP(Y41/$Y$9*100,TRANSMUTATION_TABLE!$A$2:$B$102,2),""),"")</f>
        <v/>
      </c>
      <c r="AA41" s="5"/>
      <c r="AB41" s="43" t="str">
        <f>IF(AND(B41&lt;&gt;""),IF($AA$9&lt;&gt;0,VLOOKUP(AA41/$AA$9*100,TRANSMUTATION_TABLE!$A$2:$B$102,2),""),"")</f>
        <v/>
      </c>
      <c r="AC41" s="48" t="str">
        <f t="shared" si="2"/>
        <v/>
      </c>
      <c r="AD41" s="53"/>
      <c r="AE41" s="42" t="str">
        <f>IF(AND(B41&lt;&gt;""),IF($AD$9&lt;&gt;0,VLOOKUP(AD41/$AD$9*100,TRANSMUTATION_TABLE!$A$2:$B$102,2),""),"")</f>
        <v/>
      </c>
      <c r="AF41" s="50">
        <f>Attendance!BW38</f>
        <v>0</v>
      </c>
      <c r="AG41" s="45" t="str">
        <f>IF(AND(B41&lt;&gt;""),IF($AF$9&lt;&gt;0,VLOOKUP(AF41/$AF$9*100,TRANSMUTATION_TABLE!$A$2:$B$102,2),""),"")</f>
        <v/>
      </c>
      <c r="AH41" s="5"/>
      <c r="AI41" s="45" t="str">
        <f>IF(AND(B41&lt;&gt;""),IF($AH$9&lt;&gt;0,VLOOKUP(AH41/$AH$9*100,TRANSMUTATION_TABLE!$A$2:$B$102,2),""),"")</f>
        <v/>
      </c>
      <c r="AJ41" s="45" t="str">
        <f>IF(OR(K41&lt;&gt;"",T41&lt;&gt;"",AC41&lt;&gt;"",AG41&lt;&gt;"",AI41&lt;&gt;""),SUM(PRODUCT(K41,IF(Settings!$I$17&lt;&gt;0,Settings!$I$17/100,0)),PRODUCT(T41,IF(Settings!$I$18&lt;&gt;0,Settings!$I$18/100,0)),PRODUCT(AC41,IF(Settings!$I$19&lt;&gt;0,Settings!$I$19/100,0)),PRODUCT(AG41,IF(Settings!$I$20&lt;&gt;0,Settings!$I$20/100,0)),PRODUCT(AI41,IF(Settings!$I$21&lt;&gt;0,Settings!$I$21/100,0))),"")</f>
        <v/>
      </c>
      <c r="AK41" s="45" t="str">
        <f>Prelim!AJ41</f>
        <v/>
      </c>
      <c r="AL41" s="45" t="str">
        <f>Midterm!AL41</f>
        <v/>
      </c>
      <c r="AM41" s="45" t="str">
        <f>SemiFinal!AM41</f>
        <v/>
      </c>
      <c r="AN41" s="46" t="str">
        <f>IF(AJ41&lt;&gt;"",AVERAGE(AVERAGE(Prelim!AJ41,Midterm!AL41),AVERAGE(SemiFinal!AM41,Final!AJ41)),"")</f>
        <v/>
      </c>
      <c r="AO41" s="45">
        <f t="shared" si="3"/>
        <v>5</v>
      </c>
      <c r="AP41" s="37"/>
      <c r="AQ41" s="37"/>
      <c r="AR41" s="37"/>
    </row>
    <row r="42" spans="1:44" ht="12" customHeight="1" thickBot="1" x14ac:dyDescent="0.35">
      <c r="A42" s="52"/>
      <c r="B42" s="60"/>
      <c r="C42" s="5"/>
      <c r="D42" s="42" t="str">
        <f>IF(AND(B42&lt;&gt;""),IF($C$9&lt;&gt;0,VLOOKUP(C42/$C$9*100,TRANSMUTATION_TABLE!$A$2:$B$102,2),""),"")</f>
        <v/>
      </c>
      <c r="E42" s="5"/>
      <c r="F42" s="42" t="str">
        <f>IF(AND(B42&lt;&gt;""),IF($E$9&lt;&gt;0,VLOOKUP(E42/$E$9*100,TRANSMUTATION_TABLE!$A$2:$B$102,2),""),"")</f>
        <v/>
      </c>
      <c r="G42" s="5"/>
      <c r="H42" s="42" t="str">
        <f>IF(AND(B42&lt;&gt;""),IF($G$9&lt;&gt;0,VLOOKUP(G42/$G$9*100,TRANSMUTATION_TABLE!$A$2:$B$102,2),""),"")</f>
        <v/>
      </c>
      <c r="I42" s="5"/>
      <c r="J42" s="43" t="str">
        <f>IF(AND(B42&lt;&gt;""),IF($I$9&lt;&gt;0,VLOOKUP(I42/$I$9*100,TRANSMUTATION_TABLE!$A$2:$B$102,2),""),"")</f>
        <v/>
      </c>
      <c r="K42" s="48" t="str">
        <f t="shared" si="0"/>
        <v/>
      </c>
      <c r="L42" s="5"/>
      <c r="M42" s="42" t="str">
        <f>IF(AND(B42&lt;&gt;""),IF($L$9&lt;&gt;0,VLOOKUP(L42/$L$9*100,TRANSMUTATION_TABLE!$A$2:$B$102,2),""),"")</f>
        <v/>
      </c>
      <c r="N42" s="5"/>
      <c r="O42" s="42" t="str">
        <f>IF(AND(B42&lt;&gt;""),IF($N$9&lt;&gt;0,VLOOKUP(N42/$N$9*100,TRANSMUTATION_TABLE!$A$2:$B$102,2),""),"")</f>
        <v/>
      </c>
      <c r="P42" s="5"/>
      <c r="Q42" s="42" t="str">
        <f>IF(AND(B42&lt;&gt;""),IF($P$9&lt;&gt;0,VLOOKUP(P42/$P$9*100,TRANSMUTATION_TABLE!$A$2:$B$102,2),""),"")</f>
        <v/>
      </c>
      <c r="R42" s="5"/>
      <c r="S42" s="43" t="str">
        <f>IF(AND(B42&lt;&gt;""),IF($R$9&lt;&gt;0,VLOOKUP(R42/$R$9*100,TRANSMUTATION_TABLE!$A$2:$B$102,2),""),"")</f>
        <v/>
      </c>
      <c r="T42" s="48" t="str">
        <f t="shared" si="1"/>
        <v/>
      </c>
      <c r="U42" s="5"/>
      <c r="V42" s="42" t="str">
        <f>IF(AND(B42&lt;&gt;""),IF($U$9&lt;&gt;0,VLOOKUP(U42/$U$9*100,TRANSMUTATION_TABLE!$A$2:$B$102,2),""),"")</f>
        <v/>
      </c>
      <c r="W42" s="5"/>
      <c r="X42" s="42" t="str">
        <f>IF(AND(B42&lt;&gt;""),IF($W$9&lt;&gt;0,VLOOKUP(W42/$W$9*100,TRANSMUTATION_TABLE!$A$2:$B$102,2),""),"")</f>
        <v/>
      </c>
      <c r="Y42" s="5"/>
      <c r="Z42" s="42" t="str">
        <f>IF(AND(B42&lt;&gt;""),IF($Y$9&lt;&gt;0,VLOOKUP(Y42/$Y$9*100,TRANSMUTATION_TABLE!$A$2:$B$102,2),""),"")</f>
        <v/>
      </c>
      <c r="AA42" s="5"/>
      <c r="AB42" s="43" t="str">
        <f>IF(AND(B42&lt;&gt;""),IF($AA$9&lt;&gt;0,VLOOKUP(AA42/$AA$9*100,TRANSMUTATION_TABLE!$A$2:$B$102,2),""),"")</f>
        <v/>
      </c>
      <c r="AC42" s="48" t="str">
        <f t="shared" si="2"/>
        <v/>
      </c>
      <c r="AD42" s="53"/>
      <c r="AE42" s="42" t="str">
        <f>IF(AND(B42&lt;&gt;""),IF($AD$9&lt;&gt;0,VLOOKUP(AD42/$AD$9*100,TRANSMUTATION_TABLE!$A$2:$B$102,2),""),"")</f>
        <v/>
      </c>
      <c r="AF42" s="50">
        <f>Attendance!BW39</f>
        <v>0</v>
      </c>
      <c r="AG42" s="45" t="str">
        <f>IF(AND(B42&lt;&gt;""),IF($AF$9&lt;&gt;0,VLOOKUP(AF42/$AF$9*100,TRANSMUTATION_TABLE!$A$2:$B$102,2),""),"")</f>
        <v/>
      </c>
      <c r="AH42" s="5"/>
      <c r="AI42" s="45" t="str">
        <f>IF(AND(B42&lt;&gt;""),IF($AH$9&lt;&gt;0,VLOOKUP(AH42/$AH$9*100,TRANSMUTATION_TABLE!$A$2:$B$102,2),""),"")</f>
        <v/>
      </c>
      <c r="AJ42" s="45" t="str">
        <f>IF(OR(K42&lt;&gt;"",T42&lt;&gt;"",AC42&lt;&gt;"",AG42&lt;&gt;"",AI42&lt;&gt;""),SUM(PRODUCT(K42,IF(Settings!$I$17&lt;&gt;0,Settings!$I$17/100,0)),PRODUCT(T42,IF(Settings!$I$18&lt;&gt;0,Settings!$I$18/100,0)),PRODUCT(AC42,IF(Settings!$I$19&lt;&gt;0,Settings!$I$19/100,0)),PRODUCT(AG42,IF(Settings!$I$20&lt;&gt;0,Settings!$I$20/100,0)),PRODUCT(AI42,IF(Settings!$I$21&lt;&gt;0,Settings!$I$21/100,0))),"")</f>
        <v/>
      </c>
      <c r="AK42" s="45" t="str">
        <f>Prelim!AJ42</f>
        <v/>
      </c>
      <c r="AL42" s="45" t="str">
        <f>Midterm!AL42</f>
        <v/>
      </c>
      <c r="AM42" s="45" t="str">
        <f>SemiFinal!AM42</f>
        <v/>
      </c>
      <c r="AN42" s="46" t="str">
        <f>IF(AJ42&lt;&gt;"",AVERAGE(AVERAGE(Prelim!AJ42,Midterm!AL42),AVERAGE(SemiFinal!AM42,Final!AJ42)),"")</f>
        <v/>
      </c>
      <c r="AO42" s="45">
        <f t="shared" si="3"/>
        <v>5</v>
      </c>
      <c r="AP42" s="37"/>
      <c r="AQ42" s="37"/>
      <c r="AR42" s="37"/>
    </row>
    <row r="43" spans="1:44" ht="12" customHeight="1" thickBot="1" x14ac:dyDescent="0.35">
      <c r="A43" s="52"/>
      <c r="B43" s="60"/>
      <c r="C43" s="5"/>
      <c r="D43" s="42" t="str">
        <f>IF(AND(B43&lt;&gt;""),IF($C$9&lt;&gt;0,VLOOKUP(C43/$C$9*100,TRANSMUTATION_TABLE!$A$2:$B$102,2),""),"")</f>
        <v/>
      </c>
      <c r="E43" s="5"/>
      <c r="F43" s="42" t="str">
        <f>IF(AND(B43&lt;&gt;""),IF($E$9&lt;&gt;0,VLOOKUP(E43/$E$9*100,TRANSMUTATION_TABLE!$A$2:$B$102,2),""),"")</f>
        <v/>
      </c>
      <c r="G43" s="5"/>
      <c r="H43" s="42" t="str">
        <f>IF(AND(B43&lt;&gt;""),IF($G$9&lt;&gt;0,VLOOKUP(G43/$G$9*100,TRANSMUTATION_TABLE!$A$2:$B$102,2),""),"")</f>
        <v/>
      </c>
      <c r="I43" s="5"/>
      <c r="J43" s="43" t="str">
        <f>IF(AND(B43&lt;&gt;""),IF($I$9&lt;&gt;0,VLOOKUP(I43/$I$9*100,TRANSMUTATION_TABLE!$A$2:$B$102,2),""),"")</f>
        <v/>
      </c>
      <c r="K43" s="48" t="str">
        <f t="shared" si="0"/>
        <v/>
      </c>
      <c r="L43" s="5"/>
      <c r="M43" s="42" t="str">
        <f>IF(AND(B43&lt;&gt;""),IF($L$9&lt;&gt;0,VLOOKUP(L43/$L$9*100,TRANSMUTATION_TABLE!$A$2:$B$102,2),""),"")</f>
        <v/>
      </c>
      <c r="N43" s="5"/>
      <c r="O43" s="42" t="str">
        <f>IF(AND(B43&lt;&gt;""),IF($N$9&lt;&gt;0,VLOOKUP(N43/$N$9*100,TRANSMUTATION_TABLE!$A$2:$B$102,2),""),"")</f>
        <v/>
      </c>
      <c r="P43" s="5"/>
      <c r="Q43" s="42" t="str">
        <f>IF(AND(B43&lt;&gt;""),IF($P$9&lt;&gt;0,VLOOKUP(P43/$P$9*100,TRANSMUTATION_TABLE!$A$2:$B$102,2),""),"")</f>
        <v/>
      </c>
      <c r="R43" s="5"/>
      <c r="S43" s="43" t="str">
        <f>IF(AND(B43&lt;&gt;""),IF($R$9&lt;&gt;0,VLOOKUP(R43/$R$9*100,TRANSMUTATION_TABLE!$A$2:$B$102,2),""),"")</f>
        <v/>
      </c>
      <c r="T43" s="48" t="str">
        <f t="shared" si="1"/>
        <v/>
      </c>
      <c r="U43" s="5"/>
      <c r="V43" s="42" t="str">
        <f>IF(AND(B43&lt;&gt;""),IF($U$9&lt;&gt;0,VLOOKUP(U43/$U$9*100,TRANSMUTATION_TABLE!$A$2:$B$102,2),""),"")</f>
        <v/>
      </c>
      <c r="W43" s="5"/>
      <c r="X43" s="42" t="str">
        <f>IF(AND(B43&lt;&gt;""),IF($W$9&lt;&gt;0,VLOOKUP(W43/$W$9*100,TRANSMUTATION_TABLE!$A$2:$B$102,2),""),"")</f>
        <v/>
      </c>
      <c r="Y43" s="5"/>
      <c r="Z43" s="42" t="str">
        <f>IF(AND(B43&lt;&gt;""),IF($Y$9&lt;&gt;0,VLOOKUP(Y43/$Y$9*100,TRANSMUTATION_TABLE!$A$2:$B$102,2),""),"")</f>
        <v/>
      </c>
      <c r="AA43" s="5"/>
      <c r="AB43" s="43" t="str">
        <f>IF(AND(B43&lt;&gt;""),IF($AA$9&lt;&gt;0,VLOOKUP(AA43/$AA$9*100,TRANSMUTATION_TABLE!$A$2:$B$102,2),""),"")</f>
        <v/>
      </c>
      <c r="AC43" s="48" t="str">
        <f t="shared" si="2"/>
        <v/>
      </c>
      <c r="AD43" s="53"/>
      <c r="AE43" s="42" t="str">
        <f>IF(AND(B43&lt;&gt;""),IF($AD$9&lt;&gt;0,VLOOKUP(AD43/$AD$9*100,TRANSMUTATION_TABLE!$A$2:$B$102,2),""),"")</f>
        <v/>
      </c>
      <c r="AF43" s="50">
        <f>Attendance!BW40</f>
        <v>0</v>
      </c>
      <c r="AG43" s="45" t="str">
        <f>IF(AND(B43&lt;&gt;""),IF($AF$9&lt;&gt;0,VLOOKUP(AF43/$AF$9*100,TRANSMUTATION_TABLE!$A$2:$B$102,2),""),"")</f>
        <v/>
      </c>
      <c r="AH43" s="5"/>
      <c r="AI43" s="45" t="str">
        <f>IF(AND(B43&lt;&gt;""),IF($AH$9&lt;&gt;0,VLOOKUP(AH43/$AH$9*100,TRANSMUTATION_TABLE!$A$2:$B$102,2),""),"")</f>
        <v/>
      </c>
      <c r="AJ43" s="45" t="str">
        <f>IF(OR(K43&lt;&gt;"",T43&lt;&gt;"",AC43&lt;&gt;"",AG43&lt;&gt;"",AI43&lt;&gt;""),SUM(PRODUCT(K43,IF(Settings!$I$17&lt;&gt;0,Settings!$I$17/100,0)),PRODUCT(T43,IF(Settings!$I$18&lt;&gt;0,Settings!$I$18/100,0)),PRODUCT(AC43,IF(Settings!$I$19&lt;&gt;0,Settings!$I$19/100,0)),PRODUCT(AG43,IF(Settings!$I$20&lt;&gt;0,Settings!$I$20/100,0)),PRODUCT(AI43,IF(Settings!$I$21&lt;&gt;0,Settings!$I$21/100,0))),"")</f>
        <v/>
      </c>
      <c r="AK43" s="45" t="str">
        <f>Prelim!AJ43</f>
        <v/>
      </c>
      <c r="AL43" s="45" t="str">
        <f>Midterm!AL43</f>
        <v/>
      </c>
      <c r="AM43" s="45" t="str">
        <f>SemiFinal!AM43</f>
        <v/>
      </c>
      <c r="AN43" s="46" t="str">
        <f>IF(AJ43&lt;&gt;"",AVERAGE(AVERAGE(Prelim!AJ43,Midterm!AL43),AVERAGE(SemiFinal!AM43,Final!AJ43)),"")</f>
        <v/>
      </c>
      <c r="AO43" s="45">
        <f t="shared" si="3"/>
        <v>5</v>
      </c>
      <c r="AP43" s="37"/>
      <c r="AQ43" s="37"/>
      <c r="AR43" s="37"/>
    </row>
    <row r="44" spans="1:44" ht="12" customHeight="1" thickBot="1" x14ac:dyDescent="0.35">
      <c r="A44" s="54"/>
      <c r="B44" s="60"/>
      <c r="C44" s="55"/>
      <c r="D44" s="42" t="str">
        <f>IF(AND(B44&lt;&gt;""),IF($C$9&lt;&gt;0,VLOOKUP(C44/$C$9*100,TRANSMUTATION_TABLE!$A$2:$B$102,2),""),"")</f>
        <v/>
      </c>
      <c r="E44" s="55"/>
      <c r="F44" s="42" t="str">
        <f>IF(AND(B44&lt;&gt;""),IF($E$9&lt;&gt;0,VLOOKUP(E44/$E$9*100,TRANSMUTATION_TABLE!$A$2:$B$102,2),""),"")</f>
        <v/>
      </c>
      <c r="G44" s="55"/>
      <c r="H44" s="42" t="str">
        <f>IF(AND(B44&lt;&gt;""),IF($G$9&lt;&gt;0,VLOOKUP(G44/$G$9*100,TRANSMUTATION_TABLE!$A$2:$B$102,2),""),"")</f>
        <v/>
      </c>
      <c r="I44" s="55"/>
      <c r="J44" s="43" t="str">
        <f>IF(AND(B44&lt;&gt;""),IF($I$9&lt;&gt;0,VLOOKUP(I44/$I$9*100,TRANSMUTATION_TABLE!$A$2:$B$102,2),""),"")</f>
        <v/>
      </c>
      <c r="K44" s="48" t="str">
        <f t="shared" si="0"/>
        <v/>
      </c>
      <c r="L44" s="55"/>
      <c r="M44" s="42" t="str">
        <f>IF(AND(B44&lt;&gt;""),IF($L$9&lt;&gt;0,VLOOKUP(L44/$L$9*100,TRANSMUTATION_TABLE!$A$2:$B$102,2),""),"")</f>
        <v/>
      </c>
      <c r="N44" s="55"/>
      <c r="O44" s="42" t="str">
        <f>IF(AND(B44&lt;&gt;""),IF($N$9&lt;&gt;0,VLOOKUP(N44/$N$9*100,TRANSMUTATION_TABLE!$A$2:$B$102,2),""),"")</f>
        <v/>
      </c>
      <c r="P44" s="55"/>
      <c r="Q44" s="42" t="str">
        <f>IF(AND(B44&lt;&gt;""),IF($P$9&lt;&gt;0,VLOOKUP(P44/$P$9*100,TRANSMUTATION_TABLE!$A$2:$B$102,2),""),"")</f>
        <v/>
      </c>
      <c r="R44" s="55"/>
      <c r="S44" s="43" t="str">
        <f>IF(AND(B44&lt;&gt;""),IF($R$9&lt;&gt;0,VLOOKUP(R44/$R$9*100,TRANSMUTATION_TABLE!$A$2:$B$102,2),""),"")</f>
        <v/>
      </c>
      <c r="T44" s="48" t="str">
        <f t="shared" si="1"/>
        <v/>
      </c>
      <c r="U44" s="55"/>
      <c r="V44" s="42" t="str">
        <f>IF(AND(B44&lt;&gt;""),IF($U$9&lt;&gt;0,VLOOKUP(U44/$U$9*100,TRANSMUTATION_TABLE!$A$2:$B$102,2),""),"")</f>
        <v/>
      </c>
      <c r="W44" s="55"/>
      <c r="X44" s="42" t="str">
        <f>IF(AND(B44&lt;&gt;""),IF($W$9&lt;&gt;0,VLOOKUP(W44/$W$9*100,TRANSMUTATION_TABLE!$A$2:$B$102,2),""),"")</f>
        <v/>
      </c>
      <c r="Y44" s="55"/>
      <c r="Z44" s="42" t="str">
        <f>IF(AND(B44&lt;&gt;""),IF($Y$9&lt;&gt;0,VLOOKUP(Y44/$Y$9*100,TRANSMUTATION_TABLE!$A$2:$B$102,2),""),"")</f>
        <v/>
      </c>
      <c r="AA44" s="55"/>
      <c r="AB44" s="43" t="str">
        <f>IF(AND(B44&lt;&gt;""),IF($AA$9&lt;&gt;0,VLOOKUP(AA44/$AA$9*100,TRANSMUTATION_TABLE!$A$2:$B$102,2),""),"")</f>
        <v/>
      </c>
      <c r="AC44" s="48" t="str">
        <f t="shared" si="2"/>
        <v/>
      </c>
      <c r="AD44" s="56"/>
      <c r="AE44" s="42" t="str">
        <f>IF(AND(B44&lt;&gt;""),IF($AD$9&lt;&gt;0,VLOOKUP(AD44/$AD$9*100,TRANSMUTATION_TABLE!$A$2:$B$102,2),""),"")</f>
        <v/>
      </c>
      <c r="AF44" s="50">
        <f>Attendance!BW41</f>
        <v>0</v>
      </c>
      <c r="AG44" s="45" t="str">
        <f>IF(AND(B44&lt;&gt;""),IF($AF$9&lt;&gt;0,VLOOKUP(AF44/$AF$9*100,TRANSMUTATION_TABLE!$A$2:$B$102,2),""),"")</f>
        <v/>
      </c>
      <c r="AH44" s="55"/>
      <c r="AI44" s="45" t="str">
        <f>IF(AND(B44&lt;&gt;""),IF($AH$9&lt;&gt;0,VLOOKUP(AH44/$AH$9*100,TRANSMUTATION_TABLE!$A$2:$B$102,2),""),"")</f>
        <v/>
      </c>
      <c r="AJ44" s="45" t="str">
        <f>IF(OR(K44&lt;&gt;"",T44&lt;&gt;"",AC44&lt;&gt;"",AG44&lt;&gt;"",AI44&lt;&gt;""),SUM(PRODUCT(K44,IF(Settings!$I$17&lt;&gt;0,Settings!$I$17/100,0)),PRODUCT(T44,IF(Settings!$I$18&lt;&gt;0,Settings!$I$18/100,0)),PRODUCT(AC44,IF(Settings!$I$19&lt;&gt;0,Settings!$I$19/100,0)),PRODUCT(AG44,IF(Settings!$I$20&lt;&gt;0,Settings!$I$20/100,0)),PRODUCT(AI44,IF(Settings!$I$21&lt;&gt;0,Settings!$I$21/100,0))),"")</f>
        <v/>
      </c>
      <c r="AK44" s="45" t="str">
        <f>Prelim!AJ44</f>
        <v/>
      </c>
      <c r="AL44" s="45" t="str">
        <f>Midterm!AL44</f>
        <v/>
      </c>
      <c r="AM44" s="45" t="str">
        <f>SemiFinal!AM44</f>
        <v/>
      </c>
      <c r="AN44" s="46" t="str">
        <f>IF(AJ44&lt;&gt;"",AVERAGE(AVERAGE(Prelim!AJ44,Midterm!AL44),AVERAGE(SemiFinal!AM44,Final!AJ44)),"")</f>
        <v/>
      </c>
      <c r="AO44" s="45">
        <f t="shared" si="3"/>
        <v>5</v>
      </c>
      <c r="AP44" s="37"/>
      <c r="AQ44" s="37"/>
      <c r="AR44" s="37"/>
    </row>
    <row r="45" spans="1:44" ht="12" customHeight="1" thickBot="1" x14ac:dyDescent="0.35">
      <c r="A45" s="59"/>
      <c r="B45" s="60"/>
      <c r="C45" s="5"/>
      <c r="D45" s="42" t="str">
        <f>IF(AND(B45&lt;&gt;""),IF($C$9&lt;&gt;0,VLOOKUP(C45/$C$9*100,TRANSMUTATION_TABLE!$A$2:$B$102,2),""),"")</f>
        <v/>
      </c>
      <c r="E45" s="5"/>
      <c r="F45" s="42" t="str">
        <f>IF(AND(B45&lt;&gt;""),IF($E$9&lt;&gt;0,VLOOKUP(E45/$E$9*100,TRANSMUTATION_TABLE!$A$2:$B$102,2),""),"")</f>
        <v/>
      </c>
      <c r="G45" s="5"/>
      <c r="H45" s="42" t="str">
        <f>IF(AND(B45&lt;&gt;""),IF($G$9&lt;&gt;0,VLOOKUP(G45/$G$9*100,TRANSMUTATION_TABLE!$A$2:$B$102,2),""),"")</f>
        <v/>
      </c>
      <c r="I45" s="5"/>
      <c r="J45" s="43" t="str">
        <f>IF(AND(B45&lt;&gt;""),IF($I$9&lt;&gt;0,VLOOKUP(I45/$I$9*100,TRANSMUTATION_TABLE!$A$2:$B$102,2),""),"")</f>
        <v/>
      </c>
      <c r="K45" s="48" t="str">
        <f t="shared" si="0"/>
        <v/>
      </c>
      <c r="L45" s="5"/>
      <c r="M45" s="42" t="str">
        <f>IF(AND(B45&lt;&gt;""),IF($L$9&lt;&gt;0,VLOOKUP(L45/$L$9*100,TRANSMUTATION_TABLE!$A$2:$B$102,2),""),"")</f>
        <v/>
      </c>
      <c r="N45" s="5"/>
      <c r="O45" s="42" t="str">
        <f>IF(AND(B45&lt;&gt;""),IF($N$9&lt;&gt;0,VLOOKUP(N45/$N$9*100,TRANSMUTATION_TABLE!$A$2:$B$102,2),""),"")</f>
        <v/>
      </c>
      <c r="P45" s="5"/>
      <c r="Q45" s="42" t="str">
        <f>IF(AND(B45&lt;&gt;""),IF($P$9&lt;&gt;0,VLOOKUP(P45/$P$9*100,TRANSMUTATION_TABLE!$A$2:$B$102,2),""),"")</f>
        <v/>
      </c>
      <c r="R45" s="5"/>
      <c r="S45" s="43" t="str">
        <f>IF(AND(B45&lt;&gt;""),IF($R$9&lt;&gt;0,VLOOKUP(R45/$R$9*100,TRANSMUTATION_TABLE!$A$2:$B$102,2),""),"")</f>
        <v/>
      </c>
      <c r="T45" s="48" t="str">
        <f t="shared" si="1"/>
        <v/>
      </c>
      <c r="U45" s="5"/>
      <c r="V45" s="42" t="str">
        <f>IF(AND(B45&lt;&gt;""),IF($U$9&lt;&gt;0,VLOOKUP(U45/$U$9*100,TRANSMUTATION_TABLE!$A$2:$B$102,2),""),"")</f>
        <v/>
      </c>
      <c r="W45" s="5"/>
      <c r="X45" s="42" t="str">
        <f>IF(AND(B45&lt;&gt;""),IF($W$9&lt;&gt;0,VLOOKUP(W45/$W$9*100,TRANSMUTATION_TABLE!$A$2:$B$102,2),""),"")</f>
        <v/>
      </c>
      <c r="Y45" s="5"/>
      <c r="Z45" s="42" t="str">
        <f>IF(AND(B45&lt;&gt;""),IF($Y$9&lt;&gt;0,VLOOKUP(Y45/$Y$9*100,TRANSMUTATION_TABLE!$A$2:$B$102,2),""),"")</f>
        <v/>
      </c>
      <c r="AA45" s="5"/>
      <c r="AB45" s="43" t="str">
        <f>IF(AND(B45&lt;&gt;""),IF($AA$9&lt;&gt;0,VLOOKUP(AA45/$AA$9*100,TRANSMUTATION_TABLE!$A$2:$B$102,2),""),"")</f>
        <v/>
      </c>
      <c r="AC45" s="48" t="str">
        <f t="shared" si="2"/>
        <v/>
      </c>
      <c r="AD45" s="58"/>
      <c r="AE45" s="42" t="str">
        <f>IF(AND(B45&lt;&gt;""),IF($AD$9&lt;&gt;0,VLOOKUP(AD45/$AD$9*100,TRANSMUTATION_TABLE!$A$2:$B$102,2),""),"")</f>
        <v/>
      </c>
      <c r="AF45" s="50">
        <f>Attendance!BW42</f>
        <v>0</v>
      </c>
      <c r="AG45" s="45" t="str">
        <f>IF(AND(B45&lt;&gt;""),IF($AF$9&lt;&gt;0,VLOOKUP(AF45/$AF$9*100,TRANSMUTATION_TABLE!$A$2:$B$102,2),""),"")</f>
        <v/>
      </c>
      <c r="AH45" s="5"/>
      <c r="AI45" s="45" t="str">
        <f>IF(AND(B45&lt;&gt;""),IF($AH$9&lt;&gt;0,VLOOKUP(AH45/$AH$9*100,TRANSMUTATION_TABLE!$A$2:$B$102,2),""),"")</f>
        <v/>
      </c>
      <c r="AJ45" s="45" t="str">
        <f>IF(OR(K45&lt;&gt;"",T45&lt;&gt;"",AC45&lt;&gt;"",AG45&lt;&gt;"",AI45&lt;&gt;""),SUM(PRODUCT(K45,IF(Settings!$I$17&lt;&gt;0,Settings!$I$17/100,0)),PRODUCT(T45,IF(Settings!$I$18&lt;&gt;0,Settings!$I$18/100,0)),PRODUCT(AC45,IF(Settings!$I$19&lt;&gt;0,Settings!$I$19/100,0)),PRODUCT(AG45,IF(Settings!$I$20&lt;&gt;0,Settings!$I$20/100,0)),PRODUCT(AI45,IF(Settings!$I$21&lt;&gt;0,Settings!$I$21/100,0))),"")</f>
        <v/>
      </c>
      <c r="AK45" s="45" t="str">
        <f>Prelim!AJ45</f>
        <v/>
      </c>
      <c r="AL45" s="45" t="str">
        <f>Midterm!AL45</f>
        <v/>
      </c>
      <c r="AM45" s="45" t="str">
        <f>SemiFinal!AM45</f>
        <v/>
      </c>
      <c r="AN45" s="46" t="str">
        <f>IF(AJ45&lt;&gt;"",AVERAGE(AVERAGE(Prelim!AJ45,Midterm!AL45),AVERAGE(SemiFinal!AM45,Final!AJ45)),"")</f>
        <v/>
      </c>
      <c r="AO45" s="45">
        <f t="shared" si="3"/>
        <v>5</v>
      </c>
      <c r="AP45" s="37"/>
      <c r="AQ45" s="37"/>
      <c r="AR45" s="37"/>
    </row>
    <row r="46" spans="1:44" ht="12" customHeight="1" thickBot="1" x14ac:dyDescent="0.35">
      <c r="A46" s="52"/>
      <c r="B46" s="60"/>
      <c r="C46" s="5"/>
      <c r="D46" s="42" t="str">
        <f>IF(AND(B46&lt;&gt;""),IF($C$9&lt;&gt;0,VLOOKUP(C46/$C$9*100,TRANSMUTATION_TABLE!$A$2:$B$102,2),""),"")</f>
        <v/>
      </c>
      <c r="E46" s="5"/>
      <c r="F46" s="42" t="str">
        <f>IF(AND(B46&lt;&gt;""),IF($E$9&lt;&gt;0,VLOOKUP(E46/$E$9*100,TRANSMUTATION_TABLE!$A$2:$B$102,2),""),"")</f>
        <v/>
      </c>
      <c r="G46" s="5"/>
      <c r="H46" s="42" t="str">
        <f>IF(AND(B46&lt;&gt;""),IF($G$9&lt;&gt;0,VLOOKUP(G46/$G$9*100,TRANSMUTATION_TABLE!$A$2:$B$102,2),""),"")</f>
        <v/>
      </c>
      <c r="I46" s="5"/>
      <c r="J46" s="43" t="str">
        <f>IF(AND(B46&lt;&gt;""),IF($I$9&lt;&gt;0,VLOOKUP(I46/$I$9*100,TRANSMUTATION_TABLE!$A$2:$B$102,2),""),"")</f>
        <v/>
      </c>
      <c r="K46" s="48" t="str">
        <f t="shared" si="0"/>
        <v/>
      </c>
      <c r="L46" s="5"/>
      <c r="M46" s="42" t="str">
        <f>IF(AND(B46&lt;&gt;""),IF($L$9&lt;&gt;0,VLOOKUP(L46/$L$9*100,TRANSMUTATION_TABLE!$A$2:$B$102,2),""),"")</f>
        <v/>
      </c>
      <c r="N46" s="5"/>
      <c r="O46" s="42" t="str">
        <f>IF(AND(B46&lt;&gt;""),IF($N$9&lt;&gt;0,VLOOKUP(N46/$N$9*100,TRANSMUTATION_TABLE!$A$2:$B$102,2),""),"")</f>
        <v/>
      </c>
      <c r="P46" s="5"/>
      <c r="Q46" s="42" t="str">
        <f>IF(AND(B46&lt;&gt;""),IF($P$9&lt;&gt;0,VLOOKUP(P46/$P$9*100,TRANSMUTATION_TABLE!$A$2:$B$102,2),""),"")</f>
        <v/>
      </c>
      <c r="R46" s="5"/>
      <c r="S46" s="43" t="str">
        <f>IF(AND(B46&lt;&gt;""),IF($R$9&lt;&gt;0,VLOOKUP(R46/$R$9*100,TRANSMUTATION_TABLE!$A$2:$B$102,2),""),"")</f>
        <v/>
      </c>
      <c r="T46" s="48" t="str">
        <f t="shared" si="1"/>
        <v/>
      </c>
      <c r="U46" s="5"/>
      <c r="V46" s="42" t="str">
        <f>IF(AND(B46&lt;&gt;""),IF($U$9&lt;&gt;0,VLOOKUP(U46/$U$9*100,TRANSMUTATION_TABLE!$A$2:$B$102,2),""),"")</f>
        <v/>
      </c>
      <c r="W46" s="5"/>
      <c r="X46" s="42" t="str">
        <f>IF(AND(B46&lt;&gt;""),IF($W$9&lt;&gt;0,VLOOKUP(W46/$W$9*100,TRANSMUTATION_TABLE!$A$2:$B$102,2),""),"")</f>
        <v/>
      </c>
      <c r="Y46" s="5"/>
      <c r="Z46" s="42" t="str">
        <f>IF(AND(B46&lt;&gt;""),IF($Y$9&lt;&gt;0,VLOOKUP(Y46/$Y$9*100,TRANSMUTATION_TABLE!$A$2:$B$102,2),""),"")</f>
        <v/>
      </c>
      <c r="AA46" s="5"/>
      <c r="AB46" s="43" t="str">
        <f>IF(AND(B46&lt;&gt;""),IF($AA$9&lt;&gt;0,VLOOKUP(AA46/$AA$9*100,TRANSMUTATION_TABLE!$A$2:$B$102,2),""),"")</f>
        <v/>
      </c>
      <c r="AC46" s="48" t="str">
        <f t="shared" si="2"/>
        <v/>
      </c>
      <c r="AD46" s="53"/>
      <c r="AE46" s="42" t="str">
        <f>IF(AND(B46&lt;&gt;""),IF($AD$9&lt;&gt;0,VLOOKUP(AD46/$AD$9*100,TRANSMUTATION_TABLE!$A$2:$B$102,2),""),"")</f>
        <v/>
      </c>
      <c r="AF46" s="50">
        <f>Attendance!BW43</f>
        <v>0</v>
      </c>
      <c r="AG46" s="45" t="str">
        <f>IF(AND(B46&lt;&gt;""),IF($AF$9&lt;&gt;0,VLOOKUP(AF46/$AF$9*100,TRANSMUTATION_TABLE!$A$2:$B$102,2),""),"")</f>
        <v/>
      </c>
      <c r="AH46" s="5"/>
      <c r="AI46" s="45" t="str">
        <f>IF(AND(B46&lt;&gt;""),IF($AH$9&lt;&gt;0,VLOOKUP(AH46/$AH$9*100,TRANSMUTATION_TABLE!$A$2:$B$102,2),""),"")</f>
        <v/>
      </c>
      <c r="AJ46" s="45" t="str">
        <f>IF(OR(K46&lt;&gt;"",T46&lt;&gt;"",AC46&lt;&gt;"",AG46&lt;&gt;"",AI46&lt;&gt;""),SUM(PRODUCT(K46,IF(Settings!$I$17&lt;&gt;0,Settings!$I$17/100,0)),PRODUCT(T46,IF(Settings!$I$18&lt;&gt;0,Settings!$I$18/100,0)),PRODUCT(AC46,IF(Settings!$I$19&lt;&gt;0,Settings!$I$19/100,0)),PRODUCT(AG46,IF(Settings!$I$20&lt;&gt;0,Settings!$I$20/100,0)),PRODUCT(AI46,IF(Settings!$I$21&lt;&gt;0,Settings!$I$21/100,0))),"")</f>
        <v/>
      </c>
      <c r="AK46" s="45" t="str">
        <f>Prelim!AJ46</f>
        <v/>
      </c>
      <c r="AL46" s="45" t="str">
        <f>Midterm!AL46</f>
        <v/>
      </c>
      <c r="AM46" s="45" t="str">
        <f>SemiFinal!AM46</f>
        <v/>
      </c>
      <c r="AN46" s="46" t="str">
        <f>IF(AJ46&lt;&gt;"",AVERAGE(AVERAGE(Prelim!AJ46,Midterm!AL46),AVERAGE(SemiFinal!AM46,Final!AJ46)),"")</f>
        <v/>
      </c>
      <c r="AO46" s="45">
        <f t="shared" si="3"/>
        <v>5</v>
      </c>
      <c r="AP46" s="37"/>
      <c r="AQ46" s="37"/>
      <c r="AR46" s="37"/>
    </row>
    <row r="47" spans="1:44" ht="12" customHeight="1" thickBot="1" x14ac:dyDescent="0.35">
      <c r="A47" s="52"/>
      <c r="B47" s="60"/>
      <c r="C47" s="5"/>
      <c r="D47" s="42" t="str">
        <f>IF(AND(B47&lt;&gt;""),IF($C$9&lt;&gt;0,VLOOKUP(C47/$C$9*100,TRANSMUTATION_TABLE!$A$2:$B$102,2),""),"")</f>
        <v/>
      </c>
      <c r="E47" s="5"/>
      <c r="F47" s="42" t="str">
        <f>IF(AND(B47&lt;&gt;""),IF($E$9&lt;&gt;0,VLOOKUP(E47/$E$9*100,TRANSMUTATION_TABLE!$A$2:$B$102,2),""),"")</f>
        <v/>
      </c>
      <c r="G47" s="5"/>
      <c r="H47" s="42" t="str">
        <f>IF(AND(B47&lt;&gt;""),IF($G$9&lt;&gt;0,VLOOKUP(G47/$G$9*100,TRANSMUTATION_TABLE!$A$2:$B$102,2),""),"")</f>
        <v/>
      </c>
      <c r="I47" s="5"/>
      <c r="J47" s="43" t="str">
        <f>IF(AND(B47&lt;&gt;""),IF($I$9&lt;&gt;0,VLOOKUP(I47/$I$9*100,TRANSMUTATION_TABLE!$A$2:$B$102,2),""),"")</f>
        <v/>
      </c>
      <c r="K47" s="48" t="str">
        <f t="shared" si="0"/>
        <v/>
      </c>
      <c r="L47" s="5"/>
      <c r="M47" s="42" t="str">
        <f>IF(AND(B47&lt;&gt;""),IF($L$9&lt;&gt;0,VLOOKUP(L47/$L$9*100,TRANSMUTATION_TABLE!$A$2:$B$102,2),""),"")</f>
        <v/>
      </c>
      <c r="N47" s="5"/>
      <c r="O47" s="42" t="str">
        <f>IF(AND(B47&lt;&gt;""),IF($N$9&lt;&gt;0,VLOOKUP(N47/$N$9*100,TRANSMUTATION_TABLE!$A$2:$B$102,2),""),"")</f>
        <v/>
      </c>
      <c r="P47" s="5"/>
      <c r="Q47" s="42" t="str">
        <f>IF(AND(B47&lt;&gt;""),IF($P$9&lt;&gt;0,VLOOKUP(P47/$P$9*100,TRANSMUTATION_TABLE!$A$2:$B$102,2),""),"")</f>
        <v/>
      </c>
      <c r="R47" s="5"/>
      <c r="S47" s="43" t="str">
        <f>IF(AND(B47&lt;&gt;""),IF($R$9&lt;&gt;0,VLOOKUP(R47/$R$9*100,TRANSMUTATION_TABLE!$A$2:$B$102,2),""),"")</f>
        <v/>
      </c>
      <c r="T47" s="48" t="str">
        <f t="shared" si="1"/>
        <v/>
      </c>
      <c r="U47" s="5"/>
      <c r="V47" s="42" t="str">
        <f>IF(AND(B47&lt;&gt;""),IF($U$9&lt;&gt;0,VLOOKUP(U47/$U$9*100,TRANSMUTATION_TABLE!$A$2:$B$102,2),""),"")</f>
        <v/>
      </c>
      <c r="W47" s="5"/>
      <c r="X47" s="42" t="str">
        <f>IF(AND(B47&lt;&gt;""),IF($W$9&lt;&gt;0,VLOOKUP(W47/$W$9*100,TRANSMUTATION_TABLE!$A$2:$B$102,2),""),"")</f>
        <v/>
      </c>
      <c r="Y47" s="5"/>
      <c r="Z47" s="42" t="str">
        <f>IF(AND(B47&lt;&gt;""),IF($Y$9&lt;&gt;0,VLOOKUP(Y47/$Y$9*100,TRANSMUTATION_TABLE!$A$2:$B$102,2),""),"")</f>
        <v/>
      </c>
      <c r="AA47" s="5"/>
      <c r="AB47" s="43" t="str">
        <f>IF(AND(B47&lt;&gt;""),IF($AA$9&lt;&gt;0,VLOOKUP(AA47/$AA$9*100,TRANSMUTATION_TABLE!$A$2:$B$102,2),""),"")</f>
        <v/>
      </c>
      <c r="AC47" s="48" t="str">
        <f t="shared" si="2"/>
        <v/>
      </c>
      <c r="AD47" s="53"/>
      <c r="AE47" s="42" t="str">
        <f>IF(AND(B47&lt;&gt;""),IF($AD$9&lt;&gt;0,VLOOKUP(AD47/$AD$9*100,TRANSMUTATION_TABLE!$A$2:$B$102,2),""),"")</f>
        <v/>
      </c>
      <c r="AF47" s="50">
        <f>Attendance!BW44</f>
        <v>0</v>
      </c>
      <c r="AG47" s="45" t="str">
        <f>IF(AND(B47&lt;&gt;""),IF($AF$9&lt;&gt;0,VLOOKUP(AF47/$AF$9*100,TRANSMUTATION_TABLE!$A$2:$B$102,2),""),"")</f>
        <v/>
      </c>
      <c r="AH47" s="5"/>
      <c r="AI47" s="45" t="str">
        <f>IF(AND(B47&lt;&gt;""),IF($AH$9&lt;&gt;0,VLOOKUP(AH47/$AH$9*100,TRANSMUTATION_TABLE!$A$2:$B$102,2),""),"")</f>
        <v/>
      </c>
      <c r="AJ47" s="45" t="str">
        <f>IF(OR(K47&lt;&gt;"",T47&lt;&gt;"",AC47&lt;&gt;"",AG47&lt;&gt;"",AI47&lt;&gt;""),SUM(PRODUCT(K47,IF(Settings!$I$17&lt;&gt;0,Settings!$I$17/100,0)),PRODUCT(T47,IF(Settings!$I$18&lt;&gt;0,Settings!$I$18/100,0)),PRODUCT(AC47,IF(Settings!$I$19&lt;&gt;0,Settings!$I$19/100,0)),PRODUCT(AG47,IF(Settings!$I$20&lt;&gt;0,Settings!$I$20/100,0)),PRODUCT(AI47,IF(Settings!$I$21&lt;&gt;0,Settings!$I$21/100,0))),"")</f>
        <v/>
      </c>
      <c r="AK47" s="45" t="str">
        <f>Prelim!AJ47</f>
        <v/>
      </c>
      <c r="AL47" s="45" t="str">
        <f>Midterm!AL47</f>
        <v/>
      </c>
      <c r="AM47" s="45" t="str">
        <f>SemiFinal!AM47</f>
        <v/>
      </c>
      <c r="AN47" s="46" t="str">
        <f>IF(AJ47&lt;&gt;"",AVERAGE(AVERAGE(Prelim!AJ47,Midterm!AL47),AVERAGE(SemiFinal!AM47,Final!AJ47)),"")</f>
        <v/>
      </c>
      <c r="AO47" s="45">
        <f t="shared" si="3"/>
        <v>5</v>
      </c>
      <c r="AP47" s="37"/>
      <c r="AQ47" s="37"/>
      <c r="AR47" s="37"/>
    </row>
    <row r="48" spans="1:44" ht="12" customHeight="1" thickBot="1" x14ac:dyDescent="0.35">
      <c r="A48" s="52"/>
      <c r="B48" s="60"/>
      <c r="C48" s="5"/>
      <c r="D48" s="42" t="str">
        <f>IF(AND(B48&lt;&gt;""),IF($C$9&lt;&gt;0,VLOOKUP(C48/$C$9*100,TRANSMUTATION_TABLE!$A$2:$B$102,2),""),"")</f>
        <v/>
      </c>
      <c r="E48" s="5"/>
      <c r="F48" s="42" t="str">
        <f>IF(AND(B48&lt;&gt;""),IF($E$9&lt;&gt;0,VLOOKUP(E48/$E$9*100,TRANSMUTATION_TABLE!$A$2:$B$102,2),""),"")</f>
        <v/>
      </c>
      <c r="G48" s="5"/>
      <c r="H48" s="42" t="str">
        <f>IF(AND(B48&lt;&gt;""),IF($G$9&lt;&gt;0,VLOOKUP(G48/$G$9*100,TRANSMUTATION_TABLE!$A$2:$B$102,2),""),"")</f>
        <v/>
      </c>
      <c r="I48" s="5"/>
      <c r="J48" s="43" t="str">
        <f>IF(AND(B48&lt;&gt;""),IF($I$9&lt;&gt;0,VLOOKUP(I48/$I$9*100,TRANSMUTATION_TABLE!$A$2:$B$102,2),""),"")</f>
        <v/>
      </c>
      <c r="K48" s="48" t="str">
        <f t="shared" si="0"/>
        <v/>
      </c>
      <c r="L48" s="5"/>
      <c r="M48" s="42" t="str">
        <f>IF(AND(B48&lt;&gt;""),IF($L$9&lt;&gt;0,VLOOKUP(L48/$L$9*100,TRANSMUTATION_TABLE!$A$2:$B$102,2),""),"")</f>
        <v/>
      </c>
      <c r="N48" s="5"/>
      <c r="O48" s="42" t="str">
        <f>IF(AND(B48&lt;&gt;""),IF($N$9&lt;&gt;0,VLOOKUP(N48/$N$9*100,TRANSMUTATION_TABLE!$A$2:$B$102,2),""),"")</f>
        <v/>
      </c>
      <c r="P48" s="5"/>
      <c r="Q48" s="42" t="str">
        <f>IF(AND(B48&lt;&gt;""),IF($P$9&lt;&gt;0,VLOOKUP(P48/$P$9*100,TRANSMUTATION_TABLE!$A$2:$B$102,2),""),"")</f>
        <v/>
      </c>
      <c r="R48" s="5"/>
      <c r="S48" s="43" t="str">
        <f>IF(AND(B48&lt;&gt;""),IF($R$9&lt;&gt;0,VLOOKUP(R48/$R$9*100,TRANSMUTATION_TABLE!$A$2:$B$102,2),""),"")</f>
        <v/>
      </c>
      <c r="T48" s="48" t="str">
        <f t="shared" si="1"/>
        <v/>
      </c>
      <c r="U48" s="5"/>
      <c r="V48" s="42" t="str">
        <f>IF(AND(B48&lt;&gt;""),IF($U$9&lt;&gt;0,VLOOKUP(U48/$U$9*100,TRANSMUTATION_TABLE!$A$2:$B$102,2),""),"")</f>
        <v/>
      </c>
      <c r="W48" s="5"/>
      <c r="X48" s="42" t="str">
        <f>IF(AND(B48&lt;&gt;""),IF($W$9&lt;&gt;0,VLOOKUP(W48/$W$9*100,TRANSMUTATION_TABLE!$A$2:$B$102,2),""),"")</f>
        <v/>
      </c>
      <c r="Y48" s="5"/>
      <c r="Z48" s="42" t="str">
        <f>IF(AND(B48&lt;&gt;""),IF($Y$9&lt;&gt;0,VLOOKUP(Y48/$Y$9*100,TRANSMUTATION_TABLE!$A$2:$B$102,2),""),"")</f>
        <v/>
      </c>
      <c r="AA48" s="5"/>
      <c r="AB48" s="43" t="str">
        <f>IF(AND(B48&lt;&gt;""),IF($AA$9&lt;&gt;0,VLOOKUP(AA48/$AA$9*100,TRANSMUTATION_TABLE!$A$2:$B$102,2),""),"")</f>
        <v/>
      </c>
      <c r="AC48" s="48" t="str">
        <f t="shared" si="2"/>
        <v/>
      </c>
      <c r="AD48" s="53"/>
      <c r="AE48" s="42" t="str">
        <f>IF(AND(B48&lt;&gt;""),IF($AD$9&lt;&gt;0,VLOOKUP(AD48/$AD$9*100,TRANSMUTATION_TABLE!$A$2:$B$102,2),""),"")</f>
        <v/>
      </c>
      <c r="AF48" s="50">
        <f>Attendance!BW45</f>
        <v>0</v>
      </c>
      <c r="AG48" s="45" t="str">
        <f>IF(AND(B48&lt;&gt;""),IF($AF$9&lt;&gt;0,VLOOKUP(AF48/$AF$9*100,TRANSMUTATION_TABLE!$A$2:$B$102,2),""),"")</f>
        <v/>
      </c>
      <c r="AH48" s="5"/>
      <c r="AI48" s="45" t="str">
        <f>IF(AND(B48&lt;&gt;""),IF($AH$9&lt;&gt;0,VLOOKUP(AH48/$AH$9*100,TRANSMUTATION_TABLE!$A$2:$B$102,2),""),"")</f>
        <v/>
      </c>
      <c r="AJ48" s="45" t="str">
        <f>IF(OR(K48&lt;&gt;"",T48&lt;&gt;"",AC48&lt;&gt;"",AG48&lt;&gt;"",AI48&lt;&gt;""),SUM(PRODUCT(K48,IF(Settings!$I$17&lt;&gt;0,Settings!$I$17/100,0)),PRODUCT(T48,IF(Settings!$I$18&lt;&gt;0,Settings!$I$18/100,0)),PRODUCT(AC48,IF(Settings!$I$19&lt;&gt;0,Settings!$I$19/100,0)),PRODUCT(AG48,IF(Settings!$I$20&lt;&gt;0,Settings!$I$20/100,0)),PRODUCT(AI48,IF(Settings!$I$21&lt;&gt;0,Settings!$I$21/100,0))),"")</f>
        <v/>
      </c>
      <c r="AK48" s="45" t="str">
        <f>Prelim!AJ48</f>
        <v/>
      </c>
      <c r="AL48" s="45" t="str">
        <f>Midterm!AL48</f>
        <v/>
      </c>
      <c r="AM48" s="45" t="str">
        <f>SemiFinal!AM48</f>
        <v/>
      </c>
      <c r="AN48" s="46" t="str">
        <f>IF(AJ48&lt;&gt;"",AVERAGE(AVERAGE(Prelim!AJ48,Midterm!AL48),AVERAGE(SemiFinal!AM48,Final!AJ48)),"")</f>
        <v/>
      </c>
      <c r="AO48" s="45">
        <f t="shared" si="3"/>
        <v>5</v>
      </c>
      <c r="AP48" s="37"/>
      <c r="AQ48" s="37"/>
      <c r="AR48" s="37"/>
    </row>
    <row r="49" spans="1:44" ht="12" customHeight="1" thickBot="1" x14ac:dyDescent="0.35">
      <c r="A49" s="54"/>
      <c r="B49" s="60"/>
      <c r="C49" s="55"/>
      <c r="D49" s="42" t="str">
        <f>IF(AND(B49&lt;&gt;""),IF($C$9&lt;&gt;0,VLOOKUP(C49/$C$9*100,TRANSMUTATION_TABLE!$A$2:$B$102,2),""),"")</f>
        <v/>
      </c>
      <c r="E49" s="55"/>
      <c r="F49" s="42" t="str">
        <f>IF(AND(B49&lt;&gt;""),IF($E$9&lt;&gt;0,VLOOKUP(E49/$E$9*100,TRANSMUTATION_TABLE!$A$2:$B$102,2),""),"")</f>
        <v/>
      </c>
      <c r="G49" s="55"/>
      <c r="H49" s="42" t="str">
        <f>IF(AND(B49&lt;&gt;""),IF($G$9&lt;&gt;0,VLOOKUP(G49/$G$9*100,TRANSMUTATION_TABLE!$A$2:$B$102,2),""),"")</f>
        <v/>
      </c>
      <c r="I49" s="55"/>
      <c r="J49" s="43" t="str">
        <f>IF(AND(B49&lt;&gt;""),IF($I$9&lt;&gt;0,VLOOKUP(I49/$I$9*100,TRANSMUTATION_TABLE!$A$2:$B$102,2),""),"")</f>
        <v/>
      </c>
      <c r="K49" s="48" t="str">
        <f t="shared" si="0"/>
        <v/>
      </c>
      <c r="L49" s="55"/>
      <c r="M49" s="42" t="str">
        <f>IF(AND(B49&lt;&gt;""),IF($L$9&lt;&gt;0,VLOOKUP(L49/$L$9*100,TRANSMUTATION_TABLE!$A$2:$B$102,2),""),"")</f>
        <v/>
      </c>
      <c r="N49" s="55"/>
      <c r="O49" s="42" t="str">
        <f>IF(AND(B49&lt;&gt;""),IF($N$9&lt;&gt;0,VLOOKUP(N49/$N$9*100,TRANSMUTATION_TABLE!$A$2:$B$102,2),""),"")</f>
        <v/>
      </c>
      <c r="P49" s="55"/>
      <c r="Q49" s="42" t="str">
        <f>IF(AND(B49&lt;&gt;""),IF($P$9&lt;&gt;0,VLOOKUP(P49/$P$9*100,TRANSMUTATION_TABLE!$A$2:$B$102,2),""),"")</f>
        <v/>
      </c>
      <c r="R49" s="55"/>
      <c r="S49" s="43" t="str">
        <f>IF(AND(B49&lt;&gt;""),IF($R$9&lt;&gt;0,VLOOKUP(R49/$R$9*100,TRANSMUTATION_TABLE!$A$2:$B$102,2),""),"")</f>
        <v/>
      </c>
      <c r="T49" s="48" t="str">
        <f t="shared" si="1"/>
        <v/>
      </c>
      <c r="U49" s="55"/>
      <c r="V49" s="42" t="str">
        <f>IF(AND(B49&lt;&gt;""),IF($U$9&lt;&gt;0,VLOOKUP(U49/$U$9*100,TRANSMUTATION_TABLE!$A$2:$B$102,2),""),"")</f>
        <v/>
      </c>
      <c r="W49" s="55"/>
      <c r="X49" s="42" t="str">
        <f>IF(AND(B49&lt;&gt;""),IF($W$9&lt;&gt;0,VLOOKUP(W49/$W$9*100,TRANSMUTATION_TABLE!$A$2:$B$102,2),""),"")</f>
        <v/>
      </c>
      <c r="Y49" s="55"/>
      <c r="Z49" s="42" t="str">
        <f>IF(AND(B49&lt;&gt;""),IF($Y$9&lt;&gt;0,VLOOKUP(Y49/$Y$9*100,TRANSMUTATION_TABLE!$A$2:$B$102,2),""),"")</f>
        <v/>
      </c>
      <c r="AA49" s="55"/>
      <c r="AB49" s="43" t="str">
        <f>IF(AND(B49&lt;&gt;""),IF($AA$9&lt;&gt;0,VLOOKUP(AA49/$AA$9*100,TRANSMUTATION_TABLE!$A$2:$B$102,2),""),"")</f>
        <v/>
      </c>
      <c r="AC49" s="48" t="str">
        <f t="shared" si="2"/>
        <v/>
      </c>
      <c r="AD49" s="56"/>
      <c r="AE49" s="42" t="str">
        <f>IF(AND(B49&lt;&gt;""),IF($AD$9&lt;&gt;0,VLOOKUP(AD49/$AD$9*100,TRANSMUTATION_TABLE!$A$2:$B$102,2),""),"")</f>
        <v/>
      </c>
      <c r="AF49" s="50">
        <f>Attendance!BW46</f>
        <v>0</v>
      </c>
      <c r="AG49" s="45" t="str">
        <f>IF(AND(B49&lt;&gt;""),IF($AF$9&lt;&gt;0,VLOOKUP(AF49/$AF$9*100,TRANSMUTATION_TABLE!$A$2:$B$102,2),""),"")</f>
        <v/>
      </c>
      <c r="AH49" s="55"/>
      <c r="AI49" s="45" t="str">
        <f>IF(AND(B49&lt;&gt;""),IF($AH$9&lt;&gt;0,VLOOKUP(AH49/$AH$9*100,TRANSMUTATION_TABLE!$A$2:$B$102,2),""),"")</f>
        <v/>
      </c>
      <c r="AJ49" s="45" t="str">
        <f>IF(OR(K49&lt;&gt;"",T49&lt;&gt;"",AC49&lt;&gt;"",AG49&lt;&gt;"",AI49&lt;&gt;""),SUM(PRODUCT(K49,IF(Settings!$I$17&lt;&gt;0,Settings!$I$17/100,0)),PRODUCT(T49,IF(Settings!$I$18&lt;&gt;0,Settings!$I$18/100,0)),PRODUCT(AC49,IF(Settings!$I$19&lt;&gt;0,Settings!$I$19/100,0)),PRODUCT(AG49,IF(Settings!$I$20&lt;&gt;0,Settings!$I$20/100,0)),PRODUCT(AI49,IF(Settings!$I$21&lt;&gt;0,Settings!$I$21/100,0))),"")</f>
        <v/>
      </c>
      <c r="AK49" s="45" t="str">
        <f>Prelim!AJ49</f>
        <v/>
      </c>
      <c r="AL49" s="45" t="str">
        <f>Midterm!AL49</f>
        <v/>
      </c>
      <c r="AM49" s="45" t="str">
        <f>SemiFinal!AM49</f>
        <v/>
      </c>
      <c r="AN49" s="46" t="str">
        <f>IF(AJ49&lt;&gt;"",AVERAGE(AVERAGE(Prelim!AJ49,Midterm!AL49),AVERAGE(SemiFinal!AM49,Final!AJ49)),"")</f>
        <v/>
      </c>
      <c r="AO49" s="45">
        <f t="shared" si="3"/>
        <v>5</v>
      </c>
      <c r="AP49" s="37"/>
      <c r="AQ49" s="37"/>
      <c r="AR49" s="37"/>
    </row>
    <row r="50" spans="1:44" ht="12" customHeight="1" thickBot="1" x14ac:dyDescent="0.35">
      <c r="A50" s="59"/>
      <c r="B50" s="60"/>
      <c r="C50" s="5"/>
      <c r="D50" s="42" t="str">
        <f>IF(AND(B50&lt;&gt;""),IF($C$9&lt;&gt;0,VLOOKUP(C50/$C$9*100,TRANSMUTATION_TABLE!$A$2:$B$102,2),""),"")</f>
        <v/>
      </c>
      <c r="E50" s="5"/>
      <c r="F50" s="42" t="str">
        <f>IF(AND(B50&lt;&gt;""),IF($E$9&lt;&gt;0,VLOOKUP(E50/$E$9*100,TRANSMUTATION_TABLE!$A$2:$B$102,2),""),"")</f>
        <v/>
      </c>
      <c r="G50" s="5"/>
      <c r="H50" s="42" t="str">
        <f>IF(AND(B50&lt;&gt;""),IF($G$9&lt;&gt;0,VLOOKUP(G50/$G$9*100,TRANSMUTATION_TABLE!$A$2:$B$102,2),""),"")</f>
        <v/>
      </c>
      <c r="I50" s="5"/>
      <c r="J50" s="43" t="str">
        <f>IF(AND(B50&lt;&gt;""),IF($I$9&lt;&gt;0,VLOOKUP(I50/$I$9*100,TRANSMUTATION_TABLE!$A$2:$B$102,2),""),"")</f>
        <v/>
      </c>
      <c r="K50" s="48" t="str">
        <f t="shared" si="0"/>
        <v/>
      </c>
      <c r="L50" s="5"/>
      <c r="M50" s="42" t="str">
        <f>IF(AND(B50&lt;&gt;""),IF($L$9&lt;&gt;0,VLOOKUP(L50/$L$9*100,TRANSMUTATION_TABLE!$A$2:$B$102,2),""),"")</f>
        <v/>
      </c>
      <c r="N50" s="5"/>
      <c r="O50" s="42" t="str">
        <f>IF(AND(B50&lt;&gt;""),IF($N$9&lt;&gt;0,VLOOKUP(N50/$N$9*100,TRANSMUTATION_TABLE!$A$2:$B$102,2),""),"")</f>
        <v/>
      </c>
      <c r="P50" s="5"/>
      <c r="Q50" s="42" t="str">
        <f>IF(AND(B50&lt;&gt;""),IF($P$9&lt;&gt;0,VLOOKUP(P50/$P$9*100,TRANSMUTATION_TABLE!$A$2:$B$102,2),""),"")</f>
        <v/>
      </c>
      <c r="R50" s="5"/>
      <c r="S50" s="43" t="str">
        <f>IF(AND(B50&lt;&gt;""),IF($R$9&lt;&gt;0,VLOOKUP(R50/$R$9*100,TRANSMUTATION_TABLE!$A$2:$B$102,2),""),"")</f>
        <v/>
      </c>
      <c r="T50" s="48" t="str">
        <f t="shared" si="1"/>
        <v/>
      </c>
      <c r="U50" s="5"/>
      <c r="V50" s="42" t="str">
        <f>IF(AND(B50&lt;&gt;""),IF($U$9&lt;&gt;0,VLOOKUP(U50/$U$9*100,TRANSMUTATION_TABLE!$A$2:$B$102,2),""),"")</f>
        <v/>
      </c>
      <c r="W50" s="5"/>
      <c r="X50" s="42" t="str">
        <f>IF(AND(B50&lt;&gt;""),IF($W$9&lt;&gt;0,VLOOKUP(W50/$W$9*100,TRANSMUTATION_TABLE!$A$2:$B$102,2),""),"")</f>
        <v/>
      </c>
      <c r="Y50" s="5"/>
      <c r="Z50" s="42" t="str">
        <f>IF(AND(B50&lt;&gt;""),IF($Y$9&lt;&gt;0,VLOOKUP(Y50/$Y$9*100,TRANSMUTATION_TABLE!$A$2:$B$102,2),""),"")</f>
        <v/>
      </c>
      <c r="AA50" s="5"/>
      <c r="AB50" s="43" t="str">
        <f>IF(AND(B50&lt;&gt;""),IF($AA$9&lt;&gt;0,VLOOKUP(AA50/$AA$9*100,TRANSMUTATION_TABLE!$A$2:$B$102,2),""),"")</f>
        <v/>
      </c>
      <c r="AC50" s="48" t="str">
        <f t="shared" si="2"/>
        <v/>
      </c>
      <c r="AD50" s="58"/>
      <c r="AE50" s="42" t="str">
        <f>IF(AND(B50&lt;&gt;""),IF($AD$9&lt;&gt;0,VLOOKUP(AD50/$AD$9*100,TRANSMUTATION_TABLE!$A$2:$B$102,2),""),"")</f>
        <v/>
      </c>
      <c r="AF50" s="50">
        <f>Attendance!BW47</f>
        <v>0</v>
      </c>
      <c r="AG50" s="45" t="str">
        <f>IF(AND(B50&lt;&gt;""),IF($AF$9&lt;&gt;0,VLOOKUP(AF50/$AF$9*100,TRANSMUTATION_TABLE!$A$2:$B$102,2),""),"")</f>
        <v/>
      </c>
      <c r="AH50" s="5"/>
      <c r="AI50" s="45" t="str">
        <f>IF(AND(B50&lt;&gt;""),IF($AH$9&lt;&gt;0,VLOOKUP(AH50/$AH$9*100,TRANSMUTATION_TABLE!$A$2:$B$102,2),""),"")</f>
        <v/>
      </c>
      <c r="AJ50" s="45" t="str">
        <f>IF(OR(K50&lt;&gt;"",T50&lt;&gt;"",AC50&lt;&gt;"",AG50&lt;&gt;"",AI50&lt;&gt;""),SUM(PRODUCT(K50,IF(Settings!$I$17&lt;&gt;0,Settings!$I$17/100,0)),PRODUCT(T50,IF(Settings!$I$18&lt;&gt;0,Settings!$I$18/100,0)),PRODUCT(AC50,IF(Settings!$I$19&lt;&gt;0,Settings!$I$19/100,0)),PRODUCT(AG50,IF(Settings!$I$20&lt;&gt;0,Settings!$I$20/100,0)),PRODUCT(AI50,IF(Settings!$I$21&lt;&gt;0,Settings!$I$21/100,0))),"")</f>
        <v/>
      </c>
      <c r="AK50" s="45" t="str">
        <f>Prelim!AJ50</f>
        <v/>
      </c>
      <c r="AL50" s="45" t="str">
        <f>Midterm!AL50</f>
        <v/>
      </c>
      <c r="AM50" s="45" t="str">
        <f>SemiFinal!AM50</f>
        <v/>
      </c>
      <c r="AN50" s="46" t="str">
        <f>IF(AJ50&lt;&gt;"",AVERAGE(AVERAGE(Prelim!AJ50,Midterm!AL50),AVERAGE(SemiFinal!AM50,Final!AJ50)),"")</f>
        <v/>
      </c>
      <c r="AO50" s="45">
        <f t="shared" si="3"/>
        <v>5</v>
      </c>
      <c r="AP50" s="37"/>
      <c r="AQ50" s="37"/>
      <c r="AR50" s="37"/>
    </row>
    <row r="51" spans="1:44" ht="12" customHeight="1" thickBot="1" x14ac:dyDescent="0.35">
      <c r="A51" s="52"/>
      <c r="B51" s="60"/>
      <c r="C51" s="5"/>
      <c r="D51" s="42" t="str">
        <f>IF(AND(B51&lt;&gt;""),IF($C$9&lt;&gt;0,VLOOKUP(C51/$C$9*100,TRANSMUTATION_TABLE!$A$2:$B$102,2),""),"")</f>
        <v/>
      </c>
      <c r="E51" s="5"/>
      <c r="F51" s="42" t="str">
        <f>IF(AND(B51&lt;&gt;""),IF($E$9&lt;&gt;0,VLOOKUP(E51/$E$9*100,TRANSMUTATION_TABLE!$A$2:$B$102,2),""),"")</f>
        <v/>
      </c>
      <c r="G51" s="5"/>
      <c r="H51" s="42" t="str">
        <f>IF(AND(B51&lt;&gt;""),IF($G$9&lt;&gt;0,VLOOKUP(G51/$G$9*100,TRANSMUTATION_TABLE!$A$2:$B$102,2),""),"")</f>
        <v/>
      </c>
      <c r="I51" s="5"/>
      <c r="J51" s="43" t="str">
        <f>IF(AND(B51&lt;&gt;""),IF($I$9&lt;&gt;0,VLOOKUP(I51/$I$9*100,TRANSMUTATION_TABLE!$A$2:$B$102,2),""),"")</f>
        <v/>
      </c>
      <c r="K51" s="48" t="str">
        <f t="shared" si="0"/>
        <v/>
      </c>
      <c r="L51" s="5"/>
      <c r="M51" s="42" t="str">
        <f>IF(AND(B51&lt;&gt;""),IF($L$9&lt;&gt;0,VLOOKUP(L51/$L$9*100,TRANSMUTATION_TABLE!$A$2:$B$102,2),""),"")</f>
        <v/>
      </c>
      <c r="N51" s="5"/>
      <c r="O51" s="42" t="str">
        <f>IF(AND(B51&lt;&gt;""),IF($N$9&lt;&gt;0,VLOOKUP(N51/$N$9*100,TRANSMUTATION_TABLE!$A$2:$B$102,2),""),"")</f>
        <v/>
      </c>
      <c r="P51" s="5"/>
      <c r="Q51" s="42" t="str">
        <f>IF(AND(B51&lt;&gt;""),IF($P$9&lt;&gt;0,VLOOKUP(P51/$P$9*100,TRANSMUTATION_TABLE!$A$2:$B$102,2),""),"")</f>
        <v/>
      </c>
      <c r="R51" s="5"/>
      <c r="S51" s="43" t="str">
        <f>IF(AND(B51&lt;&gt;""),IF($R$9&lt;&gt;0,VLOOKUP(R51/$R$9*100,TRANSMUTATION_TABLE!$A$2:$B$102,2),""),"")</f>
        <v/>
      </c>
      <c r="T51" s="48" t="str">
        <f t="shared" si="1"/>
        <v/>
      </c>
      <c r="U51" s="5"/>
      <c r="V51" s="42" t="str">
        <f>IF(AND(B51&lt;&gt;""),IF($U$9&lt;&gt;0,VLOOKUP(U51/$U$9*100,TRANSMUTATION_TABLE!$A$2:$B$102,2),""),"")</f>
        <v/>
      </c>
      <c r="W51" s="5"/>
      <c r="X51" s="42" t="str">
        <f>IF(AND(B51&lt;&gt;""),IF($W$9&lt;&gt;0,VLOOKUP(W51/$W$9*100,TRANSMUTATION_TABLE!$A$2:$B$102,2),""),"")</f>
        <v/>
      </c>
      <c r="Y51" s="5"/>
      <c r="Z51" s="42" t="str">
        <f>IF(AND(B51&lt;&gt;""),IF($Y$9&lt;&gt;0,VLOOKUP(Y51/$Y$9*100,TRANSMUTATION_TABLE!$A$2:$B$102,2),""),"")</f>
        <v/>
      </c>
      <c r="AA51" s="5"/>
      <c r="AB51" s="43" t="str">
        <f>IF(AND(B51&lt;&gt;""),IF($AA$9&lt;&gt;0,VLOOKUP(AA51/$AA$9*100,TRANSMUTATION_TABLE!$A$2:$B$102,2),""),"")</f>
        <v/>
      </c>
      <c r="AC51" s="48" t="str">
        <f t="shared" si="2"/>
        <v/>
      </c>
      <c r="AD51" s="53"/>
      <c r="AE51" s="42" t="str">
        <f>IF(AND(B51&lt;&gt;""),IF($AD$9&lt;&gt;0,VLOOKUP(AD51/$AD$9*100,TRANSMUTATION_TABLE!$A$2:$B$102,2),""),"")</f>
        <v/>
      </c>
      <c r="AF51" s="50">
        <f>Attendance!BW48</f>
        <v>0</v>
      </c>
      <c r="AG51" s="45" t="str">
        <f>IF(AND(B51&lt;&gt;""),IF($AF$9&lt;&gt;0,VLOOKUP(AF51/$AF$9*100,TRANSMUTATION_TABLE!$A$2:$B$102,2),""),"")</f>
        <v/>
      </c>
      <c r="AH51" s="5"/>
      <c r="AI51" s="45" t="str">
        <f>IF(AND(B51&lt;&gt;""),IF($AH$9&lt;&gt;0,VLOOKUP(AH51/$AH$9*100,TRANSMUTATION_TABLE!$A$2:$B$102,2),""),"")</f>
        <v/>
      </c>
      <c r="AJ51" s="45" t="str">
        <f>IF(OR(K51&lt;&gt;"",T51&lt;&gt;"",AC51&lt;&gt;"",AG51&lt;&gt;"",AI51&lt;&gt;""),SUM(PRODUCT(K51,IF(Settings!$I$17&lt;&gt;0,Settings!$I$17/100,0)),PRODUCT(T51,IF(Settings!$I$18&lt;&gt;0,Settings!$I$18/100,0)),PRODUCT(AC51,IF(Settings!$I$19&lt;&gt;0,Settings!$I$19/100,0)),PRODUCT(AG51,IF(Settings!$I$20&lt;&gt;0,Settings!$I$20/100,0)),PRODUCT(AI51,IF(Settings!$I$21&lt;&gt;0,Settings!$I$21/100,0))),"")</f>
        <v/>
      </c>
      <c r="AK51" s="45" t="str">
        <f>Prelim!AJ51</f>
        <v/>
      </c>
      <c r="AL51" s="45" t="str">
        <f>Midterm!AL51</f>
        <v/>
      </c>
      <c r="AM51" s="45" t="str">
        <f>SemiFinal!AM51</f>
        <v/>
      </c>
      <c r="AN51" s="46" t="str">
        <f>IF(AJ51&lt;&gt;"",AVERAGE(AVERAGE(Prelim!AJ51,Midterm!AL51),AVERAGE(SemiFinal!AM51,Final!AJ51)),"")</f>
        <v/>
      </c>
      <c r="AO51" s="45">
        <f t="shared" si="3"/>
        <v>5</v>
      </c>
      <c r="AP51" s="37"/>
      <c r="AQ51" s="37"/>
      <c r="AR51" s="37"/>
    </row>
    <row r="52" spans="1:44" ht="12" customHeight="1" thickBot="1" x14ac:dyDescent="0.35">
      <c r="A52" s="52"/>
      <c r="B52" s="60"/>
      <c r="C52" s="5"/>
      <c r="D52" s="42" t="str">
        <f>IF(AND(B52&lt;&gt;""),IF($C$9&lt;&gt;0,VLOOKUP(C52/$C$9*100,TRANSMUTATION_TABLE!$A$2:$B$102,2),""),"")</f>
        <v/>
      </c>
      <c r="E52" s="5"/>
      <c r="F52" s="42" t="str">
        <f>IF(AND(B52&lt;&gt;""),IF($E$9&lt;&gt;0,VLOOKUP(E52/$E$9*100,TRANSMUTATION_TABLE!$A$2:$B$102,2),""),"")</f>
        <v/>
      </c>
      <c r="G52" s="5"/>
      <c r="H52" s="42" t="str">
        <f>IF(AND(B52&lt;&gt;""),IF($G$9&lt;&gt;0,VLOOKUP(G52/$G$9*100,TRANSMUTATION_TABLE!$A$2:$B$102,2),""),"")</f>
        <v/>
      </c>
      <c r="I52" s="5"/>
      <c r="J52" s="43" t="str">
        <f>IF(AND(B52&lt;&gt;""),IF($I$9&lt;&gt;0,VLOOKUP(I52/$I$9*100,TRANSMUTATION_TABLE!$A$2:$B$102,2),""),"")</f>
        <v/>
      </c>
      <c r="K52" s="48" t="str">
        <f t="shared" si="0"/>
        <v/>
      </c>
      <c r="L52" s="5"/>
      <c r="M52" s="42" t="str">
        <f>IF(AND(B52&lt;&gt;""),IF($L$9&lt;&gt;0,VLOOKUP(L52/$L$9*100,TRANSMUTATION_TABLE!$A$2:$B$102,2),""),"")</f>
        <v/>
      </c>
      <c r="N52" s="5"/>
      <c r="O52" s="42" t="str">
        <f>IF(AND(B52&lt;&gt;""),IF($N$9&lt;&gt;0,VLOOKUP(N52/$N$9*100,TRANSMUTATION_TABLE!$A$2:$B$102,2),""),"")</f>
        <v/>
      </c>
      <c r="P52" s="5"/>
      <c r="Q52" s="42" t="str">
        <f>IF(AND(B52&lt;&gt;""),IF($P$9&lt;&gt;0,VLOOKUP(P52/$P$9*100,TRANSMUTATION_TABLE!$A$2:$B$102,2),""),"")</f>
        <v/>
      </c>
      <c r="R52" s="5"/>
      <c r="S52" s="43" t="str">
        <f>IF(AND(B52&lt;&gt;""),IF($R$9&lt;&gt;0,VLOOKUP(R52/$R$9*100,TRANSMUTATION_TABLE!$A$2:$B$102,2),""),"")</f>
        <v/>
      </c>
      <c r="T52" s="48" t="str">
        <f t="shared" si="1"/>
        <v/>
      </c>
      <c r="U52" s="5"/>
      <c r="V52" s="42" t="str">
        <f>IF(AND(B52&lt;&gt;""),IF($U$9&lt;&gt;0,VLOOKUP(U52/$U$9*100,TRANSMUTATION_TABLE!$A$2:$B$102,2),""),"")</f>
        <v/>
      </c>
      <c r="W52" s="5"/>
      <c r="X52" s="42" t="str">
        <f>IF(AND(B52&lt;&gt;""),IF($W$9&lt;&gt;0,VLOOKUP(W52/$W$9*100,TRANSMUTATION_TABLE!$A$2:$B$102,2),""),"")</f>
        <v/>
      </c>
      <c r="Y52" s="5"/>
      <c r="Z52" s="42" t="str">
        <f>IF(AND(B52&lt;&gt;""),IF($Y$9&lt;&gt;0,VLOOKUP(Y52/$Y$9*100,TRANSMUTATION_TABLE!$A$2:$B$102,2),""),"")</f>
        <v/>
      </c>
      <c r="AA52" s="5"/>
      <c r="AB52" s="43" t="str">
        <f>IF(AND(B52&lt;&gt;""),IF($AA$9&lt;&gt;0,VLOOKUP(AA52/$AA$9*100,TRANSMUTATION_TABLE!$A$2:$B$102,2),""),"")</f>
        <v/>
      </c>
      <c r="AC52" s="48" t="str">
        <f t="shared" si="2"/>
        <v/>
      </c>
      <c r="AD52" s="53"/>
      <c r="AE52" s="42" t="str">
        <f>IF(AND(B52&lt;&gt;""),IF($AD$9&lt;&gt;0,VLOOKUP(AD52/$AD$9*100,TRANSMUTATION_TABLE!$A$2:$B$102,2),""),"")</f>
        <v/>
      </c>
      <c r="AF52" s="50">
        <f>Attendance!BW49</f>
        <v>0</v>
      </c>
      <c r="AG52" s="45" t="str">
        <f>IF(AND(B52&lt;&gt;""),IF($AF$9&lt;&gt;0,VLOOKUP(AF52/$AF$9*100,TRANSMUTATION_TABLE!$A$2:$B$102,2),""),"")</f>
        <v/>
      </c>
      <c r="AH52" s="5"/>
      <c r="AI52" s="45" t="str">
        <f>IF(AND(B52&lt;&gt;""),IF($AH$9&lt;&gt;0,VLOOKUP(AH52/$AH$9*100,TRANSMUTATION_TABLE!$A$2:$B$102,2),""),"")</f>
        <v/>
      </c>
      <c r="AJ52" s="45" t="str">
        <f>IF(OR(K52&lt;&gt;"",T52&lt;&gt;"",AC52&lt;&gt;"",AG52&lt;&gt;"",AI52&lt;&gt;""),SUM(PRODUCT(K52,IF(Settings!$I$17&lt;&gt;0,Settings!$I$17/100,0)),PRODUCT(T52,IF(Settings!$I$18&lt;&gt;0,Settings!$I$18/100,0)),PRODUCT(AC52,IF(Settings!$I$19&lt;&gt;0,Settings!$I$19/100,0)),PRODUCT(AG52,IF(Settings!$I$20&lt;&gt;0,Settings!$I$20/100,0)),PRODUCT(AI52,IF(Settings!$I$21&lt;&gt;0,Settings!$I$21/100,0))),"")</f>
        <v/>
      </c>
      <c r="AK52" s="45" t="str">
        <f>Prelim!AJ52</f>
        <v/>
      </c>
      <c r="AL52" s="45" t="str">
        <f>Midterm!AL52</f>
        <v/>
      </c>
      <c r="AM52" s="45" t="str">
        <f>SemiFinal!AM52</f>
        <v/>
      </c>
      <c r="AN52" s="46" t="str">
        <f>IF(AJ52&lt;&gt;"",AVERAGE(AVERAGE(Prelim!AJ52,Midterm!AL52),AVERAGE(SemiFinal!AM52,Final!AJ52)),"")</f>
        <v/>
      </c>
      <c r="AO52" s="45">
        <f t="shared" si="3"/>
        <v>5</v>
      </c>
      <c r="AP52" s="37"/>
      <c r="AQ52" s="37"/>
      <c r="AR52" s="37"/>
    </row>
    <row r="53" spans="1:44" ht="12" customHeight="1" thickBot="1" x14ac:dyDescent="0.35">
      <c r="A53" s="52"/>
      <c r="B53" s="60"/>
      <c r="C53" s="5"/>
      <c r="D53" s="42" t="str">
        <f>IF(AND(B53&lt;&gt;""),IF($C$9&lt;&gt;0,VLOOKUP(C53/$C$9*100,TRANSMUTATION_TABLE!$A$2:$B$102,2),""),"")</f>
        <v/>
      </c>
      <c r="E53" s="5"/>
      <c r="F53" s="42" t="str">
        <f>IF(AND(B53&lt;&gt;""),IF($E$9&lt;&gt;0,VLOOKUP(E53/$E$9*100,TRANSMUTATION_TABLE!$A$2:$B$102,2),""),"")</f>
        <v/>
      </c>
      <c r="G53" s="5"/>
      <c r="H53" s="42" t="str">
        <f>IF(AND(B53&lt;&gt;""),IF($G$9&lt;&gt;0,VLOOKUP(G53/$G$9*100,TRANSMUTATION_TABLE!$A$2:$B$102,2),""),"")</f>
        <v/>
      </c>
      <c r="I53" s="5"/>
      <c r="J53" s="43" t="str">
        <f>IF(AND(B53&lt;&gt;""),IF($I$9&lt;&gt;0,VLOOKUP(I53/$I$9*100,TRANSMUTATION_TABLE!$A$2:$B$102,2),""),"")</f>
        <v/>
      </c>
      <c r="K53" s="48" t="str">
        <f t="shared" si="0"/>
        <v/>
      </c>
      <c r="L53" s="5"/>
      <c r="M53" s="42" t="str">
        <f>IF(AND(B53&lt;&gt;""),IF($L$9&lt;&gt;0,VLOOKUP(L53/$L$9*100,TRANSMUTATION_TABLE!$A$2:$B$102,2),""),"")</f>
        <v/>
      </c>
      <c r="N53" s="5"/>
      <c r="O53" s="42" t="str">
        <f>IF(AND(B53&lt;&gt;""),IF($N$9&lt;&gt;0,VLOOKUP(N53/$N$9*100,TRANSMUTATION_TABLE!$A$2:$B$102,2),""),"")</f>
        <v/>
      </c>
      <c r="P53" s="5"/>
      <c r="Q53" s="42" t="str">
        <f>IF(AND(B53&lt;&gt;""),IF($P$9&lt;&gt;0,VLOOKUP(P53/$P$9*100,TRANSMUTATION_TABLE!$A$2:$B$102,2),""),"")</f>
        <v/>
      </c>
      <c r="R53" s="5"/>
      <c r="S53" s="43" t="str">
        <f>IF(AND(B53&lt;&gt;""),IF($R$9&lt;&gt;0,VLOOKUP(R53/$R$9*100,TRANSMUTATION_TABLE!$A$2:$B$102,2),""),"")</f>
        <v/>
      </c>
      <c r="T53" s="48" t="str">
        <f t="shared" si="1"/>
        <v/>
      </c>
      <c r="U53" s="5"/>
      <c r="V53" s="42" t="str">
        <f>IF(AND(B53&lt;&gt;""),IF($U$9&lt;&gt;0,VLOOKUP(U53/$U$9*100,TRANSMUTATION_TABLE!$A$2:$B$102,2),""),"")</f>
        <v/>
      </c>
      <c r="W53" s="5"/>
      <c r="X53" s="42" t="str">
        <f>IF(AND(B53&lt;&gt;""),IF($W$9&lt;&gt;0,VLOOKUP(W53/$W$9*100,TRANSMUTATION_TABLE!$A$2:$B$102,2),""),"")</f>
        <v/>
      </c>
      <c r="Y53" s="5"/>
      <c r="Z53" s="42" t="str">
        <f>IF(AND(B53&lt;&gt;""),IF($Y$9&lt;&gt;0,VLOOKUP(Y53/$Y$9*100,TRANSMUTATION_TABLE!$A$2:$B$102,2),""),"")</f>
        <v/>
      </c>
      <c r="AA53" s="5"/>
      <c r="AB53" s="43" t="str">
        <f>IF(AND(B53&lt;&gt;""),IF($AA$9&lt;&gt;0,VLOOKUP(AA53/$AA$9*100,TRANSMUTATION_TABLE!$A$2:$B$102,2),""),"")</f>
        <v/>
      </c>
      <c r="AC53" s="48" t="str">
        <f t="shared" si="2"/>
        <v/>
      </c>
      <c r="AD53" s="53"/>
      <c r="AE53" s="42" t="str">
        <f>IF(AND(B53&lt;&gt;""),IF($AD$9&lt;&gt;0,VLOOKUP(AD53/$AD$9*100,TRANSMUTATION_TABLE!$A$2:$B$102,2),""),"")</f>
        <v/>
      </c>
      <c r="AF53" s="50">
        <f>Attendance!BW50</f>
        <v>0</v>
      </c>
      <c r="AG53" s="45" t="str">
        <f>IF(AND(B53&lt;&gt;""),IF($AF$9&lt;&gt;0,VLOOKUP(AF53/$AF$9*100,TRANSMUTATION_TABLE!$A$2:$B$102,2),""),"")</f>
        <v/>
      </c>
      <c r="AH53" s="5"/>
      <c r="AI53" s="45" t="str">
        <f>IF(AND(B53&lt;&gt;""),IF($AH$9&lt;&gt;0,VLOOKUP(AH53/$AH$9*100,TRANSMUTATION_TABLE!$A$2:$B$102,2),""),"")</f>
        <v/>
      </c>
      <c r="AJ53" s="45" t="str">
        <f>IF(OR(K53&lt;&gt;"",T53&lt;&gt;"",AC53&lt;&gt;"",AG53&lt;&gt;"",AI53&lt;&gt;""),SUM(PRODUCT(K53,IF(Settings!$I$17&lt;&gt;0,Settings!$I$17/100,0)),PRODUCT(T53,IF(Settings!$I$18&lt;&gt;0,Settings!$I$18/100,0)),PRODUCT(AC53,IF(Settings!$I$19&lt;&gt;0,Settings!$I$19/100,0)),PRODUCT(AG53,IF(Settings!$I$20&lt;&gt;0,Settings!$I$20/100,0)),PRODUCT(AI53,IF(Settings!$I$21&lt;&gt;0,Settings!$I$21/100,0))),"")</f>
        <v/>
      </c>
      <c r="AK53" s="45" t="str">
        <f>Prelim!AJ53</f>
        <v/>
      </c>
      <c r="AL53" s="45" t="str">
        <f>Midterm!AL53</f>
        <v/>
      </c>
      <c r="AM53" s="45" t="str">
        <f>SemiFinal!AM53</f>
        <v/>
      </c>
      <c r="AN53" s="46" t="str">
        <f>IF(AJ53&lt;&gt;"",AVERAGE(AVERAGE(Prelim!AJ53,Midterm!AL53),AVERAGE(SemiFinal!AM53,Final!AJ53)),"")</f>
        <v/>
      </c>
      <c r="AO53" s="45">
        <f t="shared" si="3"/>
        <v>5</v>
      </c>
      <c r="AP53" s="37"/>
      <c r="AQ53" s="37"/>
      <c r="AR53" s="37"/>
    </row>
    <row r="54" spans="1:44" ht="12" customHeight="1" thickBot="1" x14ac:dyDescent="0.35">
      <c r="A54" s="54"/>
      <c r="B54" s="60"/>
      <c r="C54" s="55"/>
      <c r="D54" s="42" t="str">
        <f>IF(AND(B54&lt;&gt;""),IF($C$9&lt;&gt;0,VLOOKUP(C54/$C$9*100,TRANSMUTATION_TABLE!$A$2:$B$102,2),""),"")</f>
        <v/>
      </c>
      <c r="E54" s="55"/>
      <c r="F54" s="42" t="str">
        <f>IF(AND(B54&lt;&gt;""),IF($E$9&lt;&gt;0,VLOOKUP(E54/$E$9*100,TRANSMUTATION_TABLE!$A$2:$B$102,2),""),"")</f>
        <v/>
      </c>
      <c r="G54" s="55"/>
      <c r="H54" s="42" t="str">
        <f>IF(AND(B54&lt;&gt;""),IF($G$9&lt;&gt;0,VLOOKUP(G54/$G$9*100,TRANSMUTATION_TABLE!$A$2:$B$102,2),""),"")</f>
        <v/>
      </c>
      <c r="I54" s="55"/>
      <c r="J54" s="43" t="str">
        <f>IF(AND(B54&lt;&gt;""),IF($I$9&lt;&gt;0,VLOOKUP(I54/$I$9*100,TRANSMUTATION_TABLE!$A$2:$B$102,2),""),"")</f>
        <v/>
      </c>
      <c r="K54" s="48" t="str">
        <f t="shared" si="0"/>
        <v/>
      </c>
      <c r="L54" s="55"/>
      <c r="M54" s="42" t="str">
        <f>IF(AND(B54&lt;&gt;""),IF($L$9&lt;&gt;0,VLOOKUP(L54/$L$9*100,TRANSMUTATION_TABLE!$A$2:$B$102,2),""),"")</f>
        <v/>
      </c>
      <c r="N54" s="55"/>
      <c r="O54" s="42" t="str">
        <f>IF(AND(B54&lt;&gt;""),IF($N$9&lt;&gt;0,VLOOKUP(N54/$N$9*100,TRANSMUTATION_TABLE!$A$2:$B$102,2),""),"")</f>
        <v/>
      </c>
      <c r="P54" s="55"/>
      <c r="Q54" s="42" t="str">
        <f>IF(AND(B54&lt;&gt;""),IF($P$9&lt;&gt;0,VLOOKUP(P54/$P$9*100,TRANSMUTATION_TABLE!$A$2:$B$102,2),""),"")</f>
        <v/>
      </c>
      <c r="R54" s="55"/>
      <c r="S54" s="43" t="str">
        <f>IF(AND(B54&lt;&gt;""),IF($R$9&lt;&gt;0,VLOOKUP(R54/$R$9*100,TRANSMUTATION_TABLE!$A$2:$B$102,2),""),"")</f>
        <v/>
      </c>
      <c r="T54" s="48" t="str">
        <f t="shared" si="1"/>
        <v/>
      </c>
      <c r="U54" s="55"/>
      <c r="V54" s="42" t="str">
        <f>IF(AND(B54&lt;&gt;""),IF($U$9&lt;&gt;0,VLOOKUP(U54/$U$9*100,TRANSMUTATION_TABLE!$A$2:$B$102,2),""),"")</f>
        <v/>
      </c>
      <c r="W54" s="55"/>
      <c r="X54" s="42" t="str">
        <f>IF(AND(B54&lt;&gt;""),IF($W$9&lt;&gt;0,VLOOKUP(W54/$W$9*100,TRANSMUTATION_TABLE!$A$2:$B$102,2),""),"")</f>
        <v/>
      </c>
      <c r="Y54" s="55"/>
      <c r="Z54" s="42" t="str">
        <f>IF(AND(B54&lt;&gt;""),IF($Y$9&lt;&gt;0,VLOOKUP(Y54/$Y$9*100,TRANSMUTATION_TABLE!$A$2:$B$102,2),""),"")</f>
        <v/>
      </c>
      <c r="AA54" s="55"/>
      <c r="AB54" s="43" t="str">
        <f>IF(AND(B54&lt;&gt;""),IF($AA$9&lt;&gt;0,VLOOKUP(AA54/$AA$9*100,TRANSMUTATION_TABLE!$A$2:$B$102,2),""),"")</f>
        <v/>
      </c>
      <c r="AC54" s="48" t="str">
        <f t="shared" si="2"/>
        <v/>
      </c>
      <c r="AD54" s="53"/>
      <c r="AE54" s="42" t="str">
        <f>IF(AND(B54&lt;&gt;""),IF($AD$9&lt;&gt;0,VLOOKUP(AD54/$AD$9*100,TRANSMUTATION_TABLE!$A$2:$B$102,2),""),"")</f>
        <v/>
      </c>
      <c r="AF54" s="50">
        <f>Attendance!BW51</f>
        <v>0</v>
      </c>
      <c r="AG54" s="45" t="str">
        <f>IF(AND(B54&lt;&gt;""),IF($AF$9&lt;&gt;0,VLOOKUP(AF54/$AF$9*100,TRANSMUTATION_TABLE!$A$2:$B$102,2),""),"")</f>
        <v/>
      </c>
      <c r="AH54" s="55"/>
      <c r="AI54" s="45" t="str">
        <f>IF(AND(B54&lt;&gt;""),IF($AH$9&lt;&gt;0,VLOOKUP(AH54/$AH$9*100,TRANSMUTATION_TABLE!$A$2:$B$102,2),""),"")</f>
        <v/>
      </c>
      <c r="AJ54" s="45" t="str">
        <f>IF(OR(K54&lt;&gt;"",T54&lt;&gt;"",AC54&lt;&gt;"",AG54&lt;&gt;"",AI54&lt;&gt;""),SUM(PRODUCT(K54,IF(Settings!$I$17&lt;&gt;0,Settings!$I$17/100,0)),PRODUCT(T54,IF(Settings!$I$18&lt;&gt;0,Settings!$I$18/100,0)),PRODUCT(AC54,IF(Settings!$I$19&lt;&gt;0,Settings!$I$19/100,0)),PRODUCT(AG54,IF(Settings!$I$20&lt;&gt;0,Settings!$I$20/100,0)),PRODUCT(AI54,IF(Settings!$I$21&lt;&gt;0,Settings!$I$21/100,0))),"")</f>
        <v/>
      </c>
      <c r="AK54" s="45" t="str">
        <f>Prelim!AJ54</f>
        <v/>
      </c>
      <c r="AL54" s="45" t="str">
        <f>Midterm!AL54</f>
        <v/>
      </c>
      <c r="AM54" s="45" t="str">
        <f>SemiFinal!AM54</f>
        <v/>
      </c>
      <c r="AN54" s="46" t="str">
        <f>IF(AJ54&lt;&gt;"",AVERAGE(AVERAGE(Prelim!AJ54,Midterm!AL54),AVERAGE(SemiFinal!AM54,Final!AJ54)),"")</f>
        <v/>
      </c>
      <c r="AO54" s="45">
        <f t="shared" si="3"/>
        <v>5</v>
      </c>
      <c r="AP54" s="37"/>
      <c r="AQ54" s="37"/>
      <c r="AR54" s="37"/>
    </row>
    <row r="55" spans="1:44" ht="12" customHeight="1" thickBot="1" x14ac:dyDescent="0.35">
      <c r="A55" s="59"/>
      <c r="B55" s="117"/>
      <c r="C55" s="5"/>
      <c r="D55" s="42" t="str">
        <f>IF(AND(B55&lt;&gt;""),IF($C$9&lt;&gt;0,VLOOKUP(C55/$C$9*100,TRANSMUTATION_TABLE!$A$2:$B$102,2),""),"")</f>
        <v/>
      </c>
      <c r="E55" s="5"/>
      <c r="F55" s="42" t="str">
        <f>IF(AND(B55&lt;&gt;""),IF($E$9&lt;&gt;0,VLOOKUP(E55/$E$9*100,TRANSMUTATION_TABLE!$A$2:$B$102,2),""),"")</f>
        <v/>
      </c>
      <c r="G55" s="5"/>
      <c r="H55" s="42" t="str">
        <f>IF(AND(B55&lt;&gt;""),IF($G$9&lt;&gt;0,VLOOKUP(G55/$G$9*100,TRANSMUTATION_TABLE!$A$2:$B$102,2),""),"")</f>
        <v/>
      </c>
      <c r="I55" s="5"/>
      <c r="J55" s="43" t="str">
        <f>IF(AND(B55&lt;&gt;""),IF($I$9&lt;&gt;0,VLOOKUP(I55/$I$9*100,TRANSMUTATION_TABLE!$A$2:$B$102,2),""),"")</f>
        <v/>
      </c>
      <c r="K55" s="48" t="str">
        <f t="shared" si="0"/>
        <v/>
      </c>
      <c r="L55" s="5"/>
      <c r="M55" s="42" t="str">
        <f>IF(AND(B55&lt;&gt;""),IF($L$9&lt;&gt;0,VLOOKUP(L55/$L$9*100,TRANSMUTATION_TABLE!$A$2:$B$102,2),""),"")</f>
        <v/>
      </c>
      <c r="N55" s="5"/>
      <c r="O55" s="42" t="str">
        <f>IF(AND(B55&lt;&gt;""),IF($N$9&lt;&gt;0,VLOOKUP(N55/$N$9*100,TRANSMUTATION_TABLE!$A$2:$B$102,2),""),"")</f>
        <v/>
      </c>
      <c r="P55" s="5"/>
      <c r="Q55" s="42" t="str">
        <f>IF(AND(B55&lt;&gt;""),IF($P$9&lt;&gt;0,VLOOKUP(P55/$P$9*100,TRANSMUTATION_TABLE!$A$2:$B$102,2),""),"")</f>
        <v/>
      </c>
      <c r="R55" s="5"/>
      <c r="S55" s="43" t="str">
        <f>IF(AND(B55&lt;&gt;""),IF($R$9&lt;&gt;0,VLOOKUP(R55/$R$9*100,TRANSMUTATION_TABLE!$A$2:$B$102,2),""),"")</f>
        <v/>
      </c>
      <c r="T55" s="48" t="str">
        <f t="shared" si="1"/>
        <v/>
      </c>
      <c r="U55" s="5"/>
      <c r="V55" s="42" t="str">
        <f>IF(AND(B55&lt;&gt;""),IF($U$9&lt;&gt;0,VLOOKUP(U55/$U$9*100,TRANSMUTATION_TABLE!$A$2:$B$102,2),""),"")</f>
        <v/>
      </c>
      <c r="W55" s="5"/>
      <c r="X55" s="42" t="str">
        <f>IF(AND(B55&lt;&gt;""),IF($W$9&lt;&gt;0,VLOOKUP(W55/$W$9*100,TRANSMUTATION_TABLE!$A$2:$B$102,2),""),"")</f>
        <v/>
      </c>
      <c r="Y55" s="5"/>
      <c r="Z55" s="42" t="str">
        <f>IF(AND(B55&lt;&gt;""),IF($Y$9&lt;&gt;0,VLOOKUP(Y55/$Y$9*100,TRANSMUTATION_TABLE!$A$2:$B$102,2),""),"")</f>
        <v/>
      </c>
      <c r="AA55" s="5"/>
      <c r="AB55" s="43" t="str">
        <f>IF(AND(B55&lt;&gt;""),IF($AA$9&lt;&gt;0,VLOOKUP(AA55/$AA$9*100,TRANSMUTATION_TABLE!$A$2:$B$102,2),""),"")</f>
        <v/>
      </c>
      <c r="AC55" s="48" t="str">
        <f t="shared" si="2"/>
        <v/>
      </c>
      <c r="AD55" s="53"/>
      <c r="AE55" s="42" t="str">
        <f>IF(AND(B55&lt;&gt;""),IF($AD$9&lt;&gt;0,VLOOKUP(AD55/$AD$9*100,TRANSMUTATION_TABLE!$A$2:$B$102,2),""),"")</f>
        <v/>
      </c>
      <c r="AF55" s="50">
        <f>Attendance!BW52</f>
        <v>0</v>
      </c>
      <c r="AG55" s="45" t="str">
        <f>IF(AND(B55&lt;&gt;""),IF($AF$9&lt;&gt;0,VLOOKUP(AF55/$AF$9*100,TRANSMUTATION_TABLE!$A$2:$B$102,2),""),"")</f>
        <v/>
      </c>
      <c r="AH55" s="5"/>
      <c r="AI55" s="45" t="str">
        <f>IF(AND(B55&lt;&gt;""),IF($AH$9&lt;&gt;0,VLOOKUP(AH55/$AH$9*100,TRANSMUTATION_TABLE!$A$2:$B$102,2),""),"")</f>
        <v/>
      </c>
      <c r="AJ55" s="45" t="str">
        <f>IF(OR(K55&lt;&gt;"",T55&lt;&gt;"",AC55&lt;&gt;"",AG55&lt;&gt;"",AI55&lt;&gt;""),SUM(PRODUCT(K55,IF(Settings!$I$17&lt;&gt;0,Settings!$I$17/100,0)),PRODUCT(T55,IF(Settings!$I$18&lt;&gt;0,Settings!$I$18/100,0)),PRODUCT(AC55,IF(Settings!$I$19&lt;&gt;0,Settings!$I$19/100,0)),PRODUCT(AG55,IF(Settings!$I$20&lt;&gt;0,Settings!$I$20/100,0)),PRODUCT(AI55,IF(Settings!$I$21&lt;&gt;0,Settings!$I$21/100,0))),"")</f>
        <v/>
      </c>
      <c r="AK55" s="45" t="str">
        <f>Prelim!AJ55</f>
        <v/>
      </c>
      <c r="AL55" s="45" t="str">
        <f>Midterm!AL55</f>
        <v/>
      </c>
      <c r="AM55" s="45" t="str">
        <f>SemiFinal!AM55</f>
        <v/>
      </c>
      <c r="AN55" s="46" t="str">
        <f>IF(AJ55&lt;&gt;"",AVERAGE(AVERAGE(Prelim!AJ55,Midterm!AL55),AVERAGE(SemiFinal!AM55,Final!AJ55)),"")</f>
        <v/>
      </c>
      <c r="AO55" s="45">
        <f t="shared" si="3"/>
        <v>5</v>
      </c>
      <c r="AP55" s="37"/>
      <c r="AQ55" s="37"/>
      <c r="AR55" s="37"/>
    </row>
    <row r="56" spans="1:44" ht="12" customHeight="1" thickBot="1" x14ac:dyDescent="0.35">
      <c r="A56" s="52"/>
      <c r="B56" s="60"/>
      <c r="C56" s="5"/>
      <c r="D56" s="42" t="str">
        <f>IF(AND(B56&lt;&gt;""),IF($C$9&lt;&gt;0,VLOOKUP(C56/$C$9*100,TRANSMUTATION_TABLE!$A$2:$B$102,2),""),"")</f>
        <v/>
      </c>
      <c r="E56" s="5"/>
      <c r="F56" s="42" t="str">
        <f>IF(AND(B56&lt;&gt;""),IF($E$9&lt;&gt;0,VLOOKUP(E56/$E$9*100,TRANSMUTATION_TABLE!$A$2:$B$102,2),""),"")</f>
        <v/>
      </c>
      <c r="G56" s="5"/>
      <c r="H56" s="42" t="str">
        <f>IF(AND(B56&lt;&gt;""),IF($G$9&lt;&gt;0,VLOOKUP(G56/$G$9*100,TRANSMUTATION_TABLE!$A$2:$B$102,2),""),"")</f>
        <v/>
      </c>
      <c r="I56" s="5"/>
      <c r="J56" s="43" t="str">
        <f>IF(AND(B56&lt;&gt;""),IF($I$9&lt;&gt;0,VLOOKUP(I56/$I$9*100,TRANSMUTATION_TABLE!$A$2:$B$102,2),""),"")</f>
        <v/>
      </c>
      <c r="K56" s="48" t="str">
        <f t="shared" si="0"/>
        <v/>
      </c>
      <c r="L56" s="5"/>
      <c r="M56" s="42" t="str">
        <f>IF(AND(B56&lt;&gt;""),IF($L$9&lt;&gt;0,VLOOKUP(L56/$L$9*100,TRANSMUTATION_TABLE!$A$2:$B$102,2),""),"")</f>
        <v/>
      </c>
      <c r="N56" s="5"/>
      <c r="O56" s="42" t="str">
        <f>IF(AND(B56&lt;&gt;""),IF($N$9&lt;&gt;0,VLOOKUP(N56/$N$9*100,TRANSMUTATION_TABLE!$A$2:$B$102,2),""),"")</f>
        <v/>
      </c>
      <c r="P56" s="5"/>
      <c r="Q56" s="42" t="str">
        <f>IF(AND(B56&lt;&gt;""),IF($P$9&lt;&gt;0,VLOOKUP(P56/$P$9*100,TRANSMUTATION_TABLE!$A$2:$B$102,2),""),"")</f>
        <v/>
      </c>
      <c r="R56" s="5"/>
      <c r="S56" s="43" t="str">
        <f>IF(AND(B56&lt;&gt;""),IF($R$9&lt;&gt;0,VLOOKUP(R56/$R$9*100,TRANSMUTATION_TABLE!$A$2:$B$102,2),""),"")</f>
        <v/>
      </c>
      <c r="T56" s="48" t="str">
        <f t="shared" si="1"/>
        <v/>
      </c>
      <c r="U56" s="5"/>
      <c r="V56" s="42" t="str">
        <f>IF(AND(B56&lt;&gt;""),IF($U$9&lt;&gt;0,VLOOKUP(U56/$U$9*100,TRANSMUTATION_TABLE!$A$2:$B$102,2),""),"")</f>
        <v/>
      </c>
      <c r="W56" s="5"/>
      <c r="X56" s="42" t="str">
        <f>IF(AND(B56&lt;&gt;""),IF($W$9&lt;&gt;0,VLOOKUP(W56/$W$9*100,TRANSMUTATION_TABLE!$A$2:$B$102,2),""),"")</f>
        <v/>
      </c>
      <c r="Y56" s="5"/>
      <c r="Z56" s="42" t="str">
        <f>IF(AND(B56&lt;&gt;""),IF($Y$9&lt;&gt;0,VLOOKUP(Y56/$Y$9*100,TRANSMUTATION_TABLE!$A$2:$B$102,2),""),"")</f>
        <v/>
      </c>
      <c r="AA56" s="5"/>
      <c r="AB56" s="43" t="str">
        <f>IF(AND(B56&lt;&gt;""),IF($AA$9&lt;&gt;0,VLOOKUP(AA56/$AA$9*100,TRANSMUTATION_TABLE!$A$2:$B$102,2),""),"")</f>
        <v/>
      </c>
      <c r="AC56" s="48" t="str">
        <f t="shared" si="2"/>
        <v/>
      </c>
      <c r="AD56" s="53"/>
      <c r="AE56" s="42" t="str">
        <f>IF(AND(B56&lt;&gt;""),IF($AD$9&lt;&gt;0,VLOOKUP(AD56/$AD$9*100,TRANSMUTATION_TABLE!$A$2:$B$102,2),""),"")</f>
        <v/>
      </c>
      <c r="AF56" s="50">
        <f>Attendance!BW53</f>
        <v>0</v>
      </c>
      <c r="AG56" s="45" t="str">
        <f>IF(AND(B56&lt;&gt;""),IF($AF$9&lt;&gt;0,VLOOKUP(AF56/$AF$9*100,TRANSMUTATION_TABLE!$A$2:$B$102,2),""),"")</f>
        <v/>
      </c>
      <c r="AH56" s="5"/>
      <c r="AI56" s="45" t="str">
        <f>IF(AND(B56&lt;&gt;""),IF($AH$9&lt;&gt;0,VLOOKUP(AH56/$AH$9*100,TRANSMUTATION_TABLE!$A$2:$B$102,2),""),"")</f>
        <v/>
      </c>
      <c r="AJ56" s="45" t="str">
        <f>IF(OR(K56&lt;&gt;"",T56&lt;&gt;"",AC56&lt;&gt;"",AG56&lt;&gt;"",AI56&lt;&gt;""),SUM(PRODUCT(K56,IF(Settings!$I$17&lt;&gt;0,Settings!$I$17/100,0)),PRODUCT(T56,IF(Settings!$I$18&lt;&gt;0,Settings!$I$18/100,0)),PRODUCT(AC56,IF(Settings!$I$19&lt;&gt;0,Settings!$I$19/100,0)),PRODUCT(AG56,IF(Settings!$I$20&lt;&gt;0,Settings!$I$20/100,0)),PRODUCT(AI56,IF(Settings!$I$21&lt;&gt;0,Settings!$I$21/100,0))),"")</f>
        <v/>
      </c>
      <c r="AK56" s="45" t="str">
        <f>Prelim!AJ56</f>
        <v/>
      </c>
      <c r="AL56" s="45" t="str">
        <f>Midterm!AL56</f>
        <v/>
      </c>
      <c r="AM56" s="45" t="str">
        <f>SemiFinal!AM56</f>
        <v/>
      </c>
      <c r="AN56" s="46" t="str">
        <f>IF(AJ56&lt;&gt;"",AVERAGE(AVERAGE(Prelim!AJ56,Midterm!AL56),AVERAGE(SemiFinal!AM56,Final!AJ56)),"")</f>
        <v/>
      </c>
      <c r="AO56" s="45">
        <f t="shared" si="3"/>
        <v>5</v>
      </c>
      <c r="AP56" s="37"/>
      <c r="AQ56" s="37"/>
      <c r="AR56" s="37"/>
    </row>
    <row r="57" spans="1:44" ht="12" customHeight="1" thickBot="1" x14ac:dyDescent="0.35">
      <c r="A57" s="52"/>
      <c r="B57" s="60"/>
      <c r="C57" s="5"/>
      <c r="D57" s="42" t="str">
        <f>IF(AND(B57&lt;&gt;""),IF($C$9&lt;&gt;0,VLOOKUP(C57/$C$9*100,TRANSMUTATION_TABLE!$A$2:$B$102,2),""),"")</f>
        <v/>
      </c>
      <c r="E57" s="5"/>
      <c r="F57" s="42" t="str">
        <f>IF(AND(B57&lt;&gt;""),IF($E$9&lt;&gt;0,VLOOKUP(E57/$E$9*100,TRANSMUTATION_TABLE!$A$2:$B$102,2),""),"")</f>
        <v/>
      </c>
      <c r="G57" s="5"/>
      <c r="H57" s="42" t="str">
        <f>IF(AND(B57&lt;&gt;""),IF($G$9&lt;&gt;0,VLOOKUP(G57/$G$9*100,TRANSMUTATION_TABLE!$A$2:$B$102,2),""),"")</f>
        <v/>
      </c>
      <c r="I57" s="5"/>
      <c r="J57" s="43" t="str">
        <f>IF(AND(B57&lt;&gt;""),IF($I$9&lt;&gt;0,VLOOKUP(I57/$I$9*100,TRANSMUTATION_TABLE!$A$2:$B$102,2),""),"")</f>
        <v/>
      </c>
      <c r="K57" s="48" t="str">
        <f t="shared" si="0"/>
        <v/>
      </c>
      <c r="L57" s="5"/>
      <c r="M57" s="42" t="str">
        <f>IF(AND(B57&lt;&gt;""),IF($L$9&lt;&gt;0,VLOOKUP(L57/$L$9*100,TRANSMUTATION_TABLE!$A$2:$B$102,2),""),"")</f>
        <v/>
      </c>
      <c r="N57" s="5"/>
      <c r="O57" s="42" t="str">
        <f>IF(AND(B57&lt;&gt;""),IF($N$9&lt;&gt;0,VLOOKUP(N57/$N$9*100,TRANSMUTATION_TABLE!$A$2:$B$102,2),""),"")</f>
        <v/>
      </c>
      <c r="P57" s="5"/>
      <c r="Q57" s="42" t="str">
        <f>IF(AND(B57&lt;&gt;""),IF($P$9&lt;&gt;0,VLOOKUP(P57/$P$9*100,TRANSMUTATION_TABLE!$A$2:$B$102,2),""),"")</f>
        <v/>
      </c>
      <c r="R57" s="5"/>
      <c r="S57" s="43" t="str">
        <f>IF(AND(B57&lt;&gt;""),IF($R$9&lt;&gt;0,VLOOKUP(R57/$R$9*100,TRANSMUTATION_TABLE!$A$2:$B$102,2),""),"")</f>
        <v/>
      </c>
      <c r="T57" s="48" t="str">
        <f t="shared" si="1"/>
        <v/>
      </c>
      <c r="U57" s="5"/>
      <c r="V57" s="42" t="str">
        <f>IF(AND(B57&lt;&gt;""),IF($U$9&lt;&gt;0,VLOOKUP(U57/$U$9*100,TRANSMUTATION_TABLE!$A$2:$B$102,2),""),"")</f>
        <v/>
      </c>
      <c r="W57" s="5"/>
      <c r="X57" s="42" t="str">
        <f>IF(AND(B57&lt;&gt;""),IF($W$9&lt;&gt;0,VLOOKUP(W57/$W$9*100,TRANSMUTATION_TABLE!$A$2:$B$102,2),""),"")</f>
        <v/>
      </c>
      <c r="Y57" s="5"/>
      <c r="Z57" s="42" t="str">
        <f>IF(AND(B57&lt;&gt;""),IF($Y$9&lt;&gt;0,VLOOKUP(Y57/$Y$9*100,TRANSMUTATION_TABLE!$A$2:$B$102,2),""),"")</f>
        <v/>
      </c>
      <c r="AA57" s="5"/>
      <c r="AB57" s="43" t="str">
        <f>IF(AND(B57&lt;&gt;""),IF($AA$9&lt;&gt;0,VLOOKUP(AA57/$AA$9*100,TRANSMUTATION_TABLE!$A$2:$B$102,2),""),"")</f>
        <v/>
      </c>
      <c r="AC57" s="48" t="str">
        <f t="shared" si="2"/>
        <v/>
      </c>
      <c r="AD57" s="53"/>
      <c r="AE57" s="42" t="str">
        <f>IF(AND(B57&lt;&gt;""),IF($AD$9&lt;&gt;0,VLOOKUP(AD57/$AD$9*100,TRANSMUTATION_TABLE!$A$2:$B$102,2),""),"")</f>
        <v/>
      </c>
      <c r="AF57" s="50">
        <f>Attendance!BW54</f>
        <v>0</v>
      </c>
      <c r="AG57" s="45" t="str">
        <f>IF(AND(B57&lt;&gt;""),IF($AF$9&lt;&gt;0,VLOOKUP(AF57/$AF$9*100,TRANSMUTATION_TABLE!$A$2:$B$102,2),""),"")</f>
        <v/>
      </c>
      <c r="AH57" s="5"/>
      <c r="AI57" s="45" t="str">
        <f>IF(AND(B57&lt;&gt;""),IF($AH$9&lt;&gt;0,VLOOKUP(AH57/$AH$9*100,TRANSMUTATION_TABLE!$A$2:$B$102,2),""),"")</f>
        <v/>
      </c>
      <c r="AJ57" s="45" t="str">
        <f>IF(OR(K57&lt;&gt;"",T57&lt;&gt;"",AC57&lt;&gt;"",AG57&lt;&gt;"",AI57&lt;&gt;""),SUM(PRODUCT(K57,IF(Settings!$I$17&lt;&gt;0,Settings!$I$17/100,0)),PRODUCT(T57,IF(Settings!$I$18&lt;&gt;0,Settings!$I$18/100,0)),PRODUCT(AC57,IF(Settings!$I$19&lt;&gt;0,Settings!$I$19/100,0)),PRODUCT(AG57,IF(Settings!$I$20&lt;&gt;0,Settings!$I$20/100,0)),PRODUCT(AI57,IF(Settings!$I$21&lt;&gt;0,Settings!$I$21/100,0))),"")</f>
        <v/>
      </c>
      <c r="AK57" s="45" t="str">
        <f>Prelim!AJ57</f>
        <v/>
      </c>
      <c r="AL57" s="45" t="str">
        <f>Midterm!AL57</f>
        <v/>
      </c>
      <c r="AM57" s="45" t="str">
        <f>SemiFinal!AM57</f>
        <v/>
      </c>
      <c r="AN57" s="46" t="str">
        <f>IF(AJ57&lt;&gt;"",AVERAGE(AVERAGE(Prelim!AJ57,Midterm!AL57),AVERAGE(SemiFinal!AM57,Final!AJ57)),"")</f>
        <v/>
      </c>
      <c r="AO57" s="45">
        <f t="shared" si="3"/>
        <v>5</v>
      </c>
      <c r="AP57" s="37"/>
      <c r="AQ57" s="37"/>
      <c r="AR57" s="37"/>
    </row>
    <row r="58" spans="1:44" ht="12" customHeight="1" thickBot="1" x14ac:dyDescent="0.35">
      <c r="A58" s="52"/>
      <c r="B58" s="60"/>
      <c r="C58" s="5"/>
      <c r="D58" s="42" t="str">
        <f>IF(AND(B58&lt;&gt;""),IF($C$9&lt;&gt;0,VLOOKUP(C58/$C$9*100,TRANSMUTATION_TABLE!$A$2:$B$102,2),""),"")</f>
        <v/>
      </c>
      <c r="E58" s="5"/>
      <c r="F58" s="42" t="str">
        <f>IF(AND(B58&lt;&gt;""),IF($E$9&lt;&gt;0,VLOOKUP(E58/$E$9*100,TRANSMUTATION_TABLE!$A$2:$B$102,2),""),"")</f>
        <v/>
      </c>
      <c r="G58" s="5"/>
      <c r="H58" s="42" t="str">
        <f>IF(AND(B58&lt;&gt;""),IF($G$9&lt;&gt;0,VLOOKUP(G58/$G$9*100,TRANSMUTATION_TABLE!$A$2:$B$102,2),""),"")</f>
        <v/>
      </c>
      <c r="I58" s="5"/>
      <c r="J58" s="43" t="str">
        <f>IF(AND(B58&lt;&gt;""),IF($I$9&lt;&gt;0,VLOOKUP(I58/$I$9*100,TRANSMUTATION_TABLE!$A$2:$B$102,2),""),"")</f>
        <v/>
      </c>
      <c r="K58" s="48" t="str">
        <f t="shared" si="0"/>
        <v/>
      </c>
      <c r="L58" s="5"/>
      <c r="M58" s="42" t="str">
        <f>IF(AND(B58&lt;&gt;""),IF($L$9&lt;&gt;0,VLOOKUP(L58/$L$9*100,TRANSMUTATION_TABLE!$A$2:$B$102,2),""),"")</f>
        <v/>
      </c>
      <c r="N58" s="5"/>
      <c r="O58" s="42" t="str">
        <f>IF(AND(B58&lt;&gt;""),IF($N$9&lt;&gt;0,VLOOKUP(N58/$N$9*100,TRANSMUTATION_TABLE!$A$2:$B$102,2),""),"")</f>
        <v/>
      </c>
      <c r="P58" s="5"/>
      <c r="Q58" s="42" t="str">
        <f>IF(AND(B58&lt;&gt;""),IF($P$9&lt;&gt;0,VLOOKUP(P58/$P$9*100,TRANSMUTATION_TABLE!$A$2:$B$102,2),""),"")</f>
        <v/>
      </c>
      <c r="R58" s="5"/>
      <c r="S58" s="43" t="str">
        <f>IF(AND(B58&lt;&gt;""),IF($R$9&lt;&gt;0,VLOOKUP(R58/$R$9*100,TRANSMUTATION_TABLE!$A$2:$B$102,2),""),"")</f>
        <v/>
      </c>
      <c r="T58" s="48" t="str">
        <f t="shared" si="1"/>
        <v/>
      </c>
      <c r="U58" s="5"/>
      <c r="V58" s="42" t="str">
        <f>IF(AND(B58&lt;&gt;""),IF($U$9&lt;&gt;0,VLOOKUP(U58/$U$9*100,TRANSMUTATION_TABLE!$A$2:$B$102,2),""),"")</f>
        <v/>
      </c>
      <c r="W58" s="5"/>
      <c r="X58" s="42" t="str">
        <f>IF(AND(B58&lt;&gt;""),IF($W$9&lt;&gt;0,VLOOKUP(W58/$W$9*100,TRANSMUTATION_TABLE!$A$2:$B$102,2),""),"")</f>
        <v/>
      </c>
      <c r="Y58" s="5"/>
      <c r="Z58" s="42" t="str">
        <f>IF(AND(B58&lt;&gt;""),IF($Y$9&lt;&gt;0,VLOOKUP(Y58/$Y$9*100,TRANSMUTATION_TABLE!$A$2:$B$102,2),""),"")</f>
        <v/>
      </c>
      <c r="AA58" s="5"/>
      <c r="AB58" s="43" t="str">
        <f>IF(AND(B58&lt;&gt;""),IF($AA$9&lt;&gt;0,VLOOKUP(AA58/$AA$9*100,TRANSMUTATION_TABLE!$A$2:$B$102,2),""),"")</f>
        <v/>
      </c>
      <c r="AC58" s="48" t="str">
        <f t="shared" si="2"/>
        <v/>
      </c>
      <c r="AD58" s="53"/>
      <c r="AE58" s="42" t="str">
        <f>IF(AND(B58&lt;&gt;""),IF($AD$9&lt;&gt;0,VLOOKUP(AD58/$AD$9*100,TRANSMUTATION_TABLE!$A$2:$B$102,2),""),"")</f>
        <v/>
      </c>
      <c r="AF58" s="50">
        <f>Attendance!BW55</f>
        <v>0</v>
      </c>
      <c r="AG58" s="45" t="str">
        <f>IF(AND(B58&lt;&gt;""),IF($AF$9&lt;&gt;0,VLOOKUP(AF58/$AF$9*100,TRANSMUTATION_TABLE!$A$2:$B$102,2),""),"")</f>
        <v/>
      </c>
      <c r="AH58" s="5"/>
      <c r="AI58" s="45" t="str">
        <f>IF(AND(B58&lt;&gt;""),IF($AH$9&lt;&gt;0,VLOOKUP(AH58/$AH$9*100,TRANSMUTATION_TABLE!$A$2:$B$102,2),""),"")</f>
        <v/>
      </c>
      <c r="AJ58" s="45" t="str">
        <f>IF(OR(K58&lt;&gt;"",T58&lt;&gt;"",AC58&lt;&gt;"",AG58&lt;&gt;"",AI58&lt;&gt;""),SUM(PRODUCT(K58,IF(Settings!$I$17&lt;&gt;0,Settings!$I$17/100,0)),PRODUCT(T58,IF(Settings!$I$18&lt;&gt;0,Settings!$I$18/100,0)),PRODUCT(AC58,IF(Settings!$I$19&lt;&gt;0,Settings!$I$19/100,0)),PRODUCT(AG58,IF(Settings!$I$20&lt;&gt;0,Settings!$I$20/100,0)),PRODUCT(AI58,IF(Settings!$I$21&lt;&gt;0,Settings!$I$21/100,0))),"")</f>
        <v/>
      </c>
      <c r="AK58" s="45" t="str">
        <f>Prelim!AJ58</f>
        <v/>
      </c>
      <c r="AL58" s="45" t="str">
        <f>Midterm!AL58</f>
        <v/>
      </c>
      <c r="AM58" s="45" t="str">
        <f>SemiFinal!AM58</f>
        <v/>
      </c>
      <c r="AN58" s="46" t="str">
        <f>IF(AJ58&lt;&gt;"",AVERAGE(AVERAGE(Prelim!AJ58,Midterm!AL58),AVERAGE(SemiFinal!AM58,Final!AJ58)),"")</f>
        <v/>
      </c>
      <c r="AO58" s="45">
        <f t="shared" si="3"/>
        <v>5</v>
      </c>
      <c r="AP58" s="37"/>
      <c r="AQ58" s="37"/>
      <c r="AR58" s="37"/>
    </row>
    <row r="59" spans="1:44" ht="12" customHeight="1" thickBot="1" x14ac:dyDescent="0.35">
      <c r="A59" s="54"/>
      <c r="B59" s="60"/>
      <c r="C59" s="55"/>
      <c r="D59" s="42" t="str">
        <f>IF(AND(B59&lt;&gt;""),IF($C$9&lt;&gt;0,VLOOKUP(C59/$C$9*100,TRANSMUTATION_TABLE!$A$2:$B$102,2),""),"")</f>
        <v/>
      </c>
      <c r="E59" s="55"/>
      <c r="F59" s="42" t="str">
        <f>IF(AND(B59&lt;&gt;""),IF($E$9&lt;&gt;0,VLOOKUP(E59/$E$9*100,TRANSMUTATION_TABLE!$A$2:$B$102,2),""),"")</f>
        <v/>
      </c>
      <c r="G59" s="55"/>
      <c r="H59" s="42" t="str">
        <f>IF(AND(B59&lt;&gt;""),IF($G$9&lt;&gt;0,VLOOKUP(G59/$G$9*100,TRANSMUTATION_TABLE!$A$2:$B$102,2),""),"")</f>
        <v/>
      </c>
      <c r="I59" s="55"/>
      <c r="J59" s="43" t="str">
        <f>IF(AND(B59&lt;&gt;""),IF($I$9&lt;&gt;0,VLOOKUP(I59/$I$9*100,TRANSMUTATION_TABLE!$A$2:$B$102,2),""),"")</f>
        <v/>
      </c>
      <c r="K59" s="48" t="str">
        <f t="shared" si="0"/>
        <v/>
      </c>
      <c r="L59" s="55"/>
      <c r="M59" s="42" t="str">
        <f>IF(AND(B59&lt;&gt;""),IF($L$9&lt;&gt;0,VLOOKUP(L59/$L$9*100,TRANSMUTATION_TABLE!$A$2:$B$102,2),""),"")</f>
        <v/>
      </c>
      <c r="N59" s="55"/>
      <c r="O59" s="42" t="str">
        <f>IF(AND(B59&lt;&gt;""),IF($N$9&lt;&gt;0,VLOOKUP(N59/$N$9*100,TRANSMUTATION_TABLE!$A$2:$B$102,2),""),"")</f>
        <v/>
      </c>
      <c r="P59" s="55"/>
      <c r="Q59" s="42" t="str">
        <f>IF(AND(B59&lt;&gt;""),IF($P$9&lt;&gt;0,VLOOKUP(P59/$P$9*100,TRANSMUTATION_TABLE!$A$2:$B$102,2),""),"")</f>
        <v/>
      </c>
      <c r="R59" s="55"/>
      <c r="S59" s="43" t="str">
        <f>IF(AND(B59&lt;&gt;""),IF($R$9&lt;&gt;0,VLOOKUP(R59/$R$9*100,TRANSMUTATION_TABLE!$A$2:$B$102,2),""),"")</f>
        <v/>
      </c>
      <c r="T59" s="48" t="str">
        <f t="shared" si="1"/>
        <v/>
      </c>
      <c r="U59" s="55"/>
      <c r="V59" s="42" t="str">
        <f>IF(AND(B59&lt;&gt;""),IF($U$9&lt;&gt;0,VLOOKUP(U59/$U$9*100,TRANSMUTATION_TABLE!$A$2:$B$102,2),""),"")</f>
        <v/>
      </c>
      <c r="W59" s="55"/>
      <c r="X59" s="42" t="str">
        <f>IF(AND(B59&lt;&gt;""),IF($W$9&lt;&gt;0,VLOOKUP(W59/$W$9*100,TRANSMUTATION_TABLE!$A$2:$B$102,2),""),"")</f>
        <v/>
      </c>
      <c r="Y59" s="55"/>
      <c r="Z59" s="42" t="str">
        <f>IF(AND(B59&lt;&gt;""),IF($Y$9&lt;&gt;0,VLOOKUP(Y59/$Y$9*100,TRANSMUTATION_TABLE!$A$2:$B$102,2),""),"")</f>
        <v/>
      </c>
      <c r="AA59" s="55"/>
      <c r="AB59" s="43" t="str">
        <f>IF(AND(B59&lt;&gt;""),IF($AA$9&lt;&gt;0,VLOOKUP(AA59/$AA$9*100,TRANSMUTATION_TABLE!$A$2:$B$102,2),""),"")</f>
        <v/>
      </c>
      <c r="AC59" s="48" t="str">
        <f t="shared" si="2"/>
        <v/>
      </c>
      <c r="AD59" s="53"/>
      <c r="AE59" s="42" t="str">
        <f>IF(AND(B59&lt;&gt;""),IF($AD$9&lt;&gt;0,VLOOKUP(AD59/$AD$9*100,TRANSMUTATION_TABLE!$A$2:$B$102,2),""),"")</f>
        <v/>
      </c>
      <c r="AF59" s="50">
        <f>Attendance!BW56</f>
        <v>0</v>
      </c>
      <c r="AG59" s="45" t="str">
        <f>IF(AND(B59&lt;&gt;""),IF($AF$9&lt;&gt;0,VLOOKUP(AF59/$AF$9*100,TRANSMUTATION_TABLE!$A$2:$B$102,2),""),"")</f>
        <v/>
      </c>
      <c r="AH59" s="55"/>
      <c r="AI59" s="45" t="str">
        <f>IF(AND(B59&lt;&gt;""),IF($AH$9&lt;&gt;0,VLOOKUP(AH59/$AH$9*100,TRANSMUTATION_TABLE!$A$2:$B$102,2),""),"")</f>
        <v/>
      </c>
      <c r="AJ59" s="45" t="str">
        <f>IF(OR(K59&lt;&gt;"",T59&lt;&gt;"",AC59&lt;&gt;"",AG59&lt;&gt;"",AI59&lt;&gt;""),SUM(PRODUCT(K59,IF(Settings!$I$17&lt;&gt;0,Settings!$I$17/100,0)),PRODUCT(T59,IF(Settings!$I$18&lt;&gt;0,Settings!$I$18/100,0)),PRODUCT(AC59,IF(Settings!$I$19&lt;&gt;0,Settings!$I$19/100,0)),PRODUCT(AG59,IF(Settings!$I$20&lt;&gt;0,Settings!$I$20/100,0)),PRODUCT(AI59,IF(Settings!$I$21&lt;&gt;0,Settings!$I$21/100,0))),"")</f>
        <v/>
      </c>
      <c r="AK59" s="45" t="str">
        <f>Prelim!AJ59</f>
        <v/>
      </c>
      <c r="AL59" s="45" t="str">
        <f>Midterm!AL59</f>
        <v/>
      </c>
      <c r="AM59" s="45" t="str">
        <f>SemiFinal!AM59</f>
        <v/>
      </c>
      <c r="AN59" s="46" t="str">
        <f>IF(AJ59&lt;&gt;"",AVERAGE(AVERAGE(Prelim!AJ59,Midterm!AL59),AVERAGE(SemiFinal!AM59,Final!AJ59)),"")</f>
        <v/>
      </c>
      <c r="AO59" s="45">
        <f t="shared" si="3"/>
        <v>5</v>
      </c>
      <c r="AP59" s="37"/>
      <c r="AQ59" s="37"/>
      <c r="AR59" s="37"/>
    </row>
    <row r="60" spans="1:44" ht="12" customHeight="1" thickBot="1" x14ac:dyDescent="0.35">
      <c r="A60" s="54"/>
      <c r="B60" s="60"/>
      <c r="C60" s="5"/>
      <c r="D60" s="42" t="str">
        <f>IF(AND(B60&lt;&gt;""),IF($C$9&lt;&gt;0,VLOOKUP(C60/$C$9*100,TRANSMUTATION_TABLE!$A$2:$B$102,2),""),"")</f>
        <v/>
      </c>
      <c r="E60" s="5"/>
      <c r="F60" s="42" t="str">
        <f>IF(AND(B60&lt;&gt;""),IF($E$9&lt;&gt;0,VLOOKUP(E60/$E$9*100,TRANSMUTATION_TABLE!$A$2:$B$102,2),""),"")</f>
        <v/>
      </c>
      <c r="G60" s="5"/>
      <c r="H60" s="42" t="str">
        <f>IF(AND(B60&lt;&gt;""),IF($G$9&lt;&gt;0,VLOOKUP(G60/$G$9*100,TRANSMUTATION_TABLE!$A$2:$B$102,2),""),"")</f>
        <v/>
      </c>
      <c r="I60" s="5"/>
      <c r="J60" s="43" t="str">
        <f>IF(AND(B60&lt;&gt;""),IF($I$9&lt;&gt;0,VLOOKUP(I60/$I$9*100,TRANSMUTATION_TABLE!$A$2:$B$102,2),""),"")</f>
        <v/>
      </c>
      <c r="K60" s="48" t="str">
        <f t="shared" si="0"/>
        <v/>
      </c>
      <c r="L60" s="5"/>
      <c r="M60" s="42" t="str">
        <f>IF(AND(B60&lt;&gt;""),IF($L$9&lt;&gt;0,VLOOKUP(L60/$L$9*100,TRANSMUTATION_TABLE!$A$2:$B$102,2),""),"")</f>
        <v/>
      </c>
      <c r="N60" s="5"/>
      <c r="O60" s="42" t="str">
        <f>IF(AND(B60&lt;&gt;""),IF($N$9&lt;&gt;0,VLOOKUP(N60/$N$9*100,TRANSMUTATION_TABLE!$A$2:$B$102,2),""),"")</f>
        <v/>
      </c>
      <c r="P60" s="5"/>
      <c r="Q60" s="42" t="str">
        <f>IF(AND(B60&lt;&gt;""),IF($P$9&lt;&gt;0,VLOOKUP(P60/$P$9*100,TRANSMUTATION_TABLE!$A$2:$B$102,2),""),"")</f>
        <v/>
      </c>
      <c r="R60" s="5"/>
      <c r="S60" s="43" t="str">
        <f>IF(AND(B60&lt;&gt;""),IF($R$9&lt;&gt;0,VLOOKUP(R60/$R$9*100,TRANSMUTATION_TABLE!$A$2:$B$102,2),""),"")</f>
        <v/>
      </c>
      <c r="T60" s="48" t="str">
        <f t="shared" si="1"/>
        <v/>
      </c>
      <c r="U60" s="5"/>
      <c r="V60" s="42" t="str">
        <f>IF(AND(B60&lt;&gt;""),IF($U$9&lt;&gt;0,VLOOKUP(U60/$U$9*100,TRANSMUTATION_TABLE!$A$2:$B$102,2),""),"")</f>
        <v/>
      </c>
      <c r="W60" s="5"/>
      <c r="X60" s="42" t="str">
        <f>IF(AND(B60&lt;&gt;""),IF($W$9&lt;&gt;0,VLOOKUP(W60/$W$9*100,TRANSMUTATION_TABLE!$A$2:$B$102,2),""),"")</f>
        <v/>
      </c>
      <c r="Y60" s="5"/>
      <c r="Z60" s="42" t="str">
        <f>IF(AND(B60&lt;&gt;""),IF($Y$9&lt;&gt;0,VLOOKUP(Y60/$Y$9*100,TRANSMUTATION_TABLE!$A$2:$B$102,2),""),"")</f>
        <v/>
      </c>
      <c r="AA60" s="5"/>
      <c r="AB60" s="43" t="str">
        <f>IF(AND(B60&lt;&gt;""),IF($AA$9&lt;&gt;0,VLOOKUP(AA60/$AA$9*100,TRANSMUTATION_TABLE!$A$2:$B$102,2),""),"")</f>
        <v/>
      </c>
      <c r="AC60" s="48" t="str">
        <f t="shared" si="2"/>
        <v/>
      </c>
      <c r="AD60" s="58"/>
      <c r="AE60" s="42" t="str">
        <f>IF(AND(B60&lt;&gt;""),IF($AD$9&lt;&gt;0,VLOOKUP(AD60/$AD$9*100,TRANSMUTATION_TABLE!$A$2:$B$102,2),""),"")</f>
        <v/>
      </c>
      <c r="AF60" s="50">
        <f>Attendance!BW57</f>
        <v>0</v>
      </c>
      <c r="AG60" s="45" t="str">
        <f>IF(AND(B60&lt;&gt;""),IF($AF$9&lt;&gt;0,VLOOKUP(AF60/$AF$9*100,TRANSMUTATION_TABLE!$A$2:$B$102,2),""),"")</f>
        <v/>
      </c>
      <c r="AH60" s="5"/>
      <c r="AI60" s="45" t="str">
        <f>IF(AND(B60&lt;&gt;""),IF($AH$9&lt;&gt;0,VLOOKUP(AH60/$AH$9*100,TRANSMUTATION_TABLE!$A$2:$B$102,2),""),"")</f>
        <v/>
      </c>
      <c r="AJ60" s="45" t="str">
        <f>IF(OR(K60&lt;&gt;"",T60&lt;&gt;"",AC60&lt;&gt;"",AG60&lt;&gt;"",AI60&lt;&gt;""),SUM(PRODUCT(K60,IF(Settings!$I$17&lt;&gt;0,Settings!$I$17/100,0)),PRODUCT(T60,IF(Settings!$I$18&lt;&gt;0,Settings!$I$18/100,0)),PRODUCT(AC60,IF(Settings!$I$19&lt;&gt;0,Settings!$I$19/100,0)),PRODUCT(AG60,IF(Settings!$I$20&lt;&gt;0,Settings!$I$20/100,0)),PRODUCT(AI60,IF(Settings!$I$21&lt;&gt;0,Settings!$I$21/100,0))),"")</f>
        <v/>
      </c>
      <c r="AK60" s="45" t="str">
        <f>Prelim!AJ60</f>
        <v/>
      </c>
      <c r="AL60" s="45" t="str">
        <f>Midterm!AL60</f>
        <v/>
      </c>
      <c r="AM60" s="45" t="str">
        <f>SemiFinal!AM60</f>
        <v/>
      </c>
      <c r="AN60" s="46" t="str">
        <f>IF(AJ60&lt;&gt;"",AVERAGE(AVERAGE(Prelim!AJ60,Midterm!AL60),AVERAGE(SemiFinal!AM60,Final!AJ60)),"")</f>
        <v/>
      </c>
      <c r="AO60" s="45">
        <f t="shared" si="3"/>
        <v>5</v>
      </c>
      <c r="AP60" s="37"/>
      <c r="AQ60" s="37"/>
      <c r="AR60" s="37"/>
    </row>
    <row r="61" spans="1:44" ht="12" customHeight="1" thickBot="1" x14ac:dyDescent="0.35">
      <c r="A61" s="54"/>
      <c r="B61" s="60"/>
      <c r="C61" s="5"/>
      <c r="D61" s="42" t="str">
        <f>IF(AND(B61&lt;&gt;""),IF($C$9&lt;&gt;0,VLOOKUP(C61/$C$9*100,TRANSMUTATION_TABLE!$A$2:$B$102,2),""),"")</f>
        <v/>
      </c>
      <c r="E61" s="5"/>
      <c r="F61" s="42" t="str">
        <f>IF(AND(B61&lt;&gt;""),IF($E$9&lt;&gt;0,VLOOKUP(E61/$E$9*100,TRANSMUTATION_TABLE!$A$2:$B$102,2),""),"")</f>
        <v/>
      </c>
      <c r="G61" s="5"/>
      <c r="H61" s="42" t="str">
        <f>IF(AND(B61&lt;&gt;""),IF($G$9&lt;&gt;0,VLOOKUP(G61/$G$9*100,TRANSMUTATION_TABLE!$A$2:$B$102,2),""),"")</f>
        <v/>
      </c>
      <c r="I61" s="5"/>
      <c r="J61" s="43" t="str">
        <f>IF(AND(B61&lt;&gt;""),IF($I$9&lt;&gt;0,VLOOKUP(I61/$I$9*100,TRANSMUTATION_TABLE!$A$2:$B$102,2),""),"")</f>
        <v/>
      </c>
      <c r="K61" s="48" t="str">
        <f t="shared" si="0"/>
        <v/>
      </c>
      <c r="L61" s="5"/>
      <c r="M61" s="42" t="str">
        <f>IF(AND(B61&lt;&gt;""),IF($L$9&lt;&gt;0,VLOOKUP(L61/$L$9*100,TRANSMUTATION_TABLE!$A$2:$B$102,2),""),"")</f>
        <v/>
      </c>
      <c r="N61" s="5"/>
      <c r="O61" s="42" t="str">
        <f>IF(AND(B61&lt;&gt;""),IF($N$9&lt;&gt;0,VLOOKUP(N61/$N$9*100,TRANSMUTATION_TABLE!$A$2:$B$102,2),""),"")</f>
        <v/>
      </c>
      <c r="P61" s="5"/>
      <c r="Q61" s="42" t="str">
        <f>IF(AND(B61&lt;&gt;""),IF($P$9&lt;&gt;0,VLOOKUP(P61/$P$9*100,TRANSMUTATION_TABLE!$A$2:$B$102,2),""),"")</f>
        <v/>
      </c>
      <c r="R61" s="5"/>
      <c r="S61" s="43" t="str">
        <f>IF(AND(B61&lt;&gt;""),IF($R$9&lt;&gt;0,VLOOKUP(R61/$R$9*100,TRANSMUTATION_TABLE!$A$2:$B$102,2),""),"")</f>
        <v/>
      </c>
      <c r="T61" s="48" t="str">
        <f t="shared" si="1"/>
        <v/>
      </c>
      <c r="U61" s="5"/>
      <c r="V61" s="42" t="str">
        <f>IF(AND(B61&lt;&gt;""),IF($U$9&lt;&gt;0,VLOOKUP(U61/$U$9*100,TRANSMUTATION_TABLE!$A$2:$B$102,2),""),"")</f>
        <v/>
      </c>
      <c r="W61" s="5"/>
      <c r="X61" s="42" t="str">
        <f>IF(AND(B61&lt;&gt;""),IF($W$9&lt;&gt;0,VLOOKUP(W61/$W$9*100,TRANSMUTATION_TABLE!$A$2:$B$102,2),""),"")</f>
        <v/>
      </c>
      <c r="Y61" s="5"/>
      <c r="Z61" s="42" t="str">
        <f>IF(AND(B61&lt;&gt;""),IF($Y$9&lt;&gt;0,VLOOKUP(Y61/$Y$9*100,TRANSMUTATION_TABLE!$A$2:$B$102,2),""),"")</f>
        <v/>
      </c>
      <c r="AA61" s="5"/>
      <c r="AB61" s="43" t="str">
        <f>IF(AND(B61&lt;&gt;""),IF($AA$9&lt;&gt;0,VLOOKUP(AA61/$AA$9*100,TRANSMUTATION_TABLE!$A$2:$B$102,2),""),"")</f>
        <v/>
      </c>
      <c r="AC61" s="48" t="str">
        <f t="shared" si="2"/>
        <v/>
      </c>
      <c r="AD61" s="53"/>
      <c r="AE61" s="42" t="str">
        <f>IF(AND(B61&lt;&gt;""),IF($AD$9&lt;&gt;0,VLOOKUP(AD61/$AD$9*100,TRANSMUTATION_TABLE!$A$2:$B$102,2),""),"")</f>
        <v/>
      </c>
      <c r="AF61" s="50">
        <f>Attendance!BW58</f>
        <v>0</v>
      </c>
      <c r="AG61" s="45" t="str">
        <f>IF(AND(B61&lt;&gt;""),IF($AF$9&lt;&gt;0,VLOOKUP(AF61/$AF$9*100,TRANSMUTATION_TABLE!$A$2:$B$102,2),""),"")</f>
        <v/>
      </c>
      <c r="AH61" s="5"/>
      <c r="AI61" s="45" t="str">
        <f>IF(AND(B61&lt;&gt;""),IF($AH$9&lt;&gt;0,VLOOKUP(AH61/$AH$9*100,TRANSMUTATION_TABLE!$A$2:$B$102,2),""),"")</f>
        <v/>
      </c>
      <c r="AJ61" s="45" t="str">
        <f>IF(OR(K61&lt;&gt;"",T61&lt;&gt;"",AC61&lt;&gt;"",AG61&lt;&gt;"",AI61&lt;&gt;""),SUM(PRODUCT(K61,IF(Settings!$I$17&lt;&gt;0,Settings!$I$17/100,0)),PRODUCT(T61,IF(Settings!$I$18&lt;&gt;0,Settings!$I$18/100,0)),PRODUCT(AC61,IF(Settings!$I$19&lt;&gt;0,Settings!$I$19/100,0)),PRODUCT(AG61,IF(Settings!$I$20&lt;&gt;0,Settings!$I$20/100,0)),PRODUCT(AI61,IF(Settings!$I$21&lt;&gt;0,Settings!$I$21/100,0))),"")</f>
        <v/>
      </c>
      <c r="AK61" s="45" t="str">
        <f>Prelim!AJ61</f>
        <v/>
      </c>
      <c r="AL61" s="45" t="str">
        <f>Midterm!AL61</f>
        <v/>
      </c>
      <c r="AM61" s="45" t="str">
        <f>SemiFinal!AM61</f>
        <v/>
      </c>
      <c r="AN61" s="46" t="str">
        <f>IF(AJ61&lt;&gt;"",AVERAGE(AVERAGE(Prelim!AJ61,Midterm!AL61),AVERAGE(SemiFinal!AM61,Final!AJ61)),"")</f>
        <v/>
      </c>
      <c r="AO61" s="45">
        <f t="shared" si="3"/>
        <v>5</v>
      </c>
      <c r="AP61" s="37"/>
      <c r="AQ61" s="37"/>
      <c r="AR61" s="37"/>
    </row>
    <row r="62" spans="1:44" ht="12" customHeight="1" thickBot="1" x14ac:dyDescent="0.35">
      <c r="A62" s="54"/>
      <c r="B62" s="60"/>
      <c r="C62" s="5"/>
      <c r="D62" s="42" t="str">
        <f>IF(AND(B62&lt;&gt;""),IF($C$9&lt;&gt;0,VLOOKUP(C62/$C$9*100,TRANSMUTATION_TABLE!$A$2:$B$102,2),""),"")</f>
        <v/>
      </c>
      <c r="E62" s="5"/>
      <c r="F62" s="42" t="str">
        <f>IF(AND(B62&lt;&gt;""),IF($E$9&lt;&gt;0,VLOOKUP(E62/$E$9*100,TRANSMUTATION_TABLE!$A$2:$B$102,2),""),"")</f>
        <v/>
      </c>
      <c r="G62" s="5"/>
      <c r="H62" s="42" t="str">
        <f>IF(AND(B62&lt;&gt;""),IF($G$9&lt;&gt;0,VLOOKUP(G62/$G$9*100,TRANSMUTATION_TABLE!$A$2:$B$102,2),""),"")</f>
        <v/>
      </c>
      <c r="I62" s="5"/>
      <c r="J62" s="43" t="str">
        <f>IF(AND(B62&lt;&gt;""),IF($I$9&lt;&gt;0,VLOOKUP(I62/$I$9*100,TRANSMUTATION_TABLE!$A$2:$B$102,2),""),"")</f>
        <v/>
      </c>
      <c r="K62" s="48" t="str">
        <f t="shared" si="0"/>
        <v/>
      </c>
      <c r="L62" s="5"/>
      <c r="M62" s="42" t="str">
        <f>IF(AND(B62&lt;&gt;""),IF($L$9&lt;&gt;0,VLOOKUP(L62/$L$9*100,TRANSMUTATION_TABLE!$A$2:$B$102,2),""),"")</f>
        <v/>
      </c>
      <c r="N62" s="5"/>
      <c r="O62" s="42" t="str">
        <f>IF(AND(B62&lt;&gt;""),IF($N$9&lt;&gt;0,VLOOKUP(N62/$N$9*100,TRANSMUTATION_TABLE!$A$2:$B$102,2),""),"")</f>
        <v/>
      </c>
      <c r="P62" s="5"/>
      <c r="Q62" s="42" t="str">
        <f>IF(AND(B62&lt;&gt;""),IF($P$9&lt;&gt;0,VLOOKUP(P62/$P$9*100,TRANSMUTATION_TABLE!$A$2:$B$102,2),""),"")</f>
        <v/>
      </c>
      <c r="R62" s="5"/>
      <c r="S62" s="43" t="str">
        <f>IF(AND(B62&lt;&gt;""),IF($R$9&lt;&gt;0,VLOOKUP(R62/$R$9*100,TRANSMUTATION_TABLE!$A$2:$B$102,2),""),"")</f>
        <v/>
      </c>
      <c r="T62" s="48" t="str">
        <f t="shared" si="1"/>
        <v/>
      </c>
      <c r="U62" s="5"/>
      <c r="V62" s="42" t="str">
        <f>IF(AND(B62&lt;&gt;""),IF($U$9&lt;&gt;0,VLOOKUP(U62/$U$9*100,TRANSMUTATION_TABLE!$A$2:$B$102,2),""),"")</f>
        <v/>
      </c>
      <c r="W62" s="5"/>
      <c r="X62" s="42" t="str">
        <f>IF(AND(B62&lt;&gt;""),IF($W$9&lt;&gt;0,VLOOKUP(W62/$W$9*100,TRANSMUTATION_TABLE!$A$2:$B$102,2),""),"")</f>
        <v/>
      </c>
      <c r="Y62" s="5"/>
      <c r="Z62" s="42" t="str">
        <f>IF(AND(B62&lt;&gt;""),IF($Y$9&lt;&gt;0,VLOOKUP(Y62/$Y$9*100,TRANSMUTATION_TABLE!$A$2:$B$102,2),""),"")</f>
        <v/>
      </c>
      <c r="AA62" s="5"/>
      <c r="AB62" s="43" t="str">
        <f>IF(AND(B62&lt;&gt;""),IF($AA$9&lt;&gt;0,VLOOKUP(AA62/$AA$9*100,TRANSMUTATION_TABLE!$A$2:$B$102,2),""),"")</f>
        <v/>
      </c>
      <c r="AC62" s="48" t="str">
        <f t="shared" si="2"/>
        <v/>
      </c>
      <c r="AD62" s="53"/>
      <c r="AE62" s="42" t="str">
        <f>IF(AND(B62&lt;&gt;""),IF($AD$9&lt;&gt;0,VLOOKUP(AD62/$AD$9*100,TRANSMUTATION_TABLE!$A$2:$B$102,2),""),"")</f>
        <v/>
      </c>
      <c r="AF62" s="50">
        <f>Attendance!BW59</f>
        <v>0</v>
      </c>
      <c r="AG62" s="45" t="str">
        <f>IF(AND(B62&lt;&gt;""),IF($AF$9&lt;&gt;0,VLOOKUP(AF62/$AF$9*100,TRANSMUTATION_TABLE!$A$2:$B$102,2),""),"")</f>
        <v/>
      </c>
      <c r="AH62" s="5"/>
      <c r="AI62" s="45" t="str">
        <f>IF(AND(B62&lt;&gt;""),IF($AH$9&lt;&gt;0,VLOOKUP(AH62/$AH$9*100,TRANSMUTATION_TABLE!$A$2:$B$102,2),""),"")</f>
        <v/>
      </c>
      <c r="AJ62" s="45" t="str">
        <f>IF(OR(K62&lt;&gt;"",T62&lt;&gt;"",AC62&lt;&gt;"",AG62&lt;&gt;"",AI62&lt;&gt;""),SUM(PRODUCT(K62,IF(Settings!$I$17&lt;&gt;0,Settings!$I$17/100,0)),PRODUCT(T62,IF(Settings!$I$18&lt;&gt;0,Settings!$I$18/100,0)),PRODUCT(AC62,IF(Settings!$I$19&lt;&gt;0,Settings!$I$19/100,0)),PRODUCT(AG62,IF(Settings!$I$20&lt;&gt;0,Settings!$I$20/100,0)),PRODUCT(AI62,IF(Settings!$I$21&lt;&gt;0,Settings!$I$21/100,0))),"")</f>
        <v/>
      </c>
      <c r="AK62" s="45" t="str">
        <f>Prelim!AJ62</f>
        <v/>
      </c>
      <c r="AL62" s="45" t="str">
        <f>Midterm!AL62</f>
        <v/>
      </c>
      <c r="AM62" s="45" t="str">
        <f>SemiFinal!AM62</f>
        <v/>
      </c>
      <c r="AN62" s="46" t="str">
        <f>IF(AJ62&lt;&gt;"",AVERAGE(AVERAGE(Prelim!AJ62,Midterm!AL62),AVERAGE(SemiFinal!AM62,Final!AJ62)),"")</f>
        <v/>
      </c>
      <c r="AO62" s="45">
        <f t="shared" si="3"/>
        <v>5</v>
      </c>
      <c r="AP62" s="37"/>
      <c r="AQ62" s="37"/>
      <c r="AR62" s="37"/>
    </row>
    <row r="63" spans="1:44" ht="12" customHeight="1" thickBot="1" x14ac:dyDescent="0.35">
      <c r="A63" s="54"/>
      <c r="B63" s="90"/>
      <c r="C63" s="5"/>
      <c r="D63" s="42" t="str">
        <f>IF(AND(B63&lt;&gt;""),IF($C$9&lt;&gt;0,VLOOKUP(C63/$C$9*100,TRANSMUTATION_TABLE!$A$2:$B$102,2),""),"")</f>
        <v/>
      </c>
      <c r="E63" s="5"/>
      <c r="F63" s="42" t="str">
        <f>IF(AND(B63&lt;&gt;""),IF($E$9&lt;&gt;0,VLOOKUP(E63/$E$9*100,TRANSMUTATION_TABLE!$A$2:$B$102,2),""),"")</f>
        <v/>
      </c>
      <c r="G63" s="5"/>
      <c r="H63" s="42" t="str">
        <f>IF(AND(B63&lt;&gt;""),IF($G$9&lt;&gt;0,VLOOKUP(G63/$G$9*100,TRANSMUTATION_TABLE!$A$2:$B$102,2),""),"")</f>
        <v/>
      </c>
      <c r="I63" s="5"/>
      <c r="J63" s="43" t="str">
        <f>IF(AND(B63&lt;&gt;""),IF($I$9&lt;&gt;0,VLOOKUP(I63/$I$9*100,TRANSMUTATION_TABLE!$A$2:$B$102,2),""),"")</f>
        <v/>
      </c>
      <c r="K63" s="48" t="str">
        <f t="shared" si="0"/>
        <v/>
      </c>
      <c r="L63" s="5"/>
      <c r="M63" s="42" t="str">
        <f>IF(AND(B63&lt;&gt;""),IF($L$9&lt;&gt;0,VLOOKUP(L63/$L$9*100,TRANSMUTATION_TABLE!$A$2:$B$102,2),""),"")</f>
        <v/>
      </c>
      <c r="N63" s="5"/>
      <c r="O63" s="42" t="str">
        <f>IF(AND(B63&lt;&gt;""),IF($N$9&lt;&gt;0,VLOOKUP(N63/$N$9*100,TRANSMUTATION_TABLE!$A$2:$B$102,2),""),"")</f>
        <v/>
      </c>
      <c r="P63" s="5"/>
      <c r="Q63" s="42" t="str">
        <f>IF(AND(B63&lt;&gt;""),IF($P$9&lt;&gt;0,VLOOKUP(P63/$P$9*100,TRANSMUTATION_TABLE!$A$2:$B$102,2),""),"")</f>
        <v/>
      </c>
      <c r="R63" s="5"/>
      <c r="S63" s="43" t="str">
        <f>IF(AND(B63&lt;&gt;""),IF($R$9&lt;&gt;0,VLOOKUP(R63/$R$9*100,TRANSMUTATION_TABLE!$A$2:$B$102,2),""),"")</f>
        <v/>
      </c>
      <c r="T63" s="48" t="str">
        <f t="shared" si="1"/>
        <v/>
      </c>
      <c r="U63" s="5"/>
      <c r="V63" s="42" t="str">
        <f>IF(AND(B63&lt;&gt;""),IF($U$9&lt;&gt;0,VLOOKUP(U63/$U$9*100,TRANSMUTATION_TABLE!$A$2:$B$102,2),""),"")</f>
        <v/>
      </c>
      <c r="W63" s="5"/>
      <c r="X63" s="42" t="str">
        <f>IF(AND(B63&lt;&gt;""),IF($W$9&lt;&gt;0,VLOOKUP(W63/$W$9*100,TRANSMUTATION_TABLE!$A$2:$B$102,2),""),"")</f>
        <v/>
      </c>
      <c r="Y63" s="5"/>
      <c r="Z63" s="42" t="str">
        <f>IF(AND(B63&lt;&gt;""),IF($Y$9&lt;&gt;0,VLOOKUP(Y63/$Y$9*100,TRANSMUTATION_TABLE!$A$2:$B$102,2),""),"")</f>
        <v/>
      </c>
      <c r="AA63" s="5"/>
      <c r="AB63" s="43" t="str">
        <f>IF(AND(B63&lt;&gt;""),IF($AA$9&lt;&gt;0,VLOOKUP(AA63/$AA$9*100,TRANSMUTATION_TABLE!$A$2:$B$102,2),""),"")</f>
        <v/>
      </c>
      <c r="AC63" s="48" t="str">
        <f t="shared" si="2"/>
        <v/>
      </c>
      <c r="AD63" s="53"/>
      <c r="AE63" s="42" t="str">
        <f>IF(AND(B63&lt;&gt;""),IF($AD$9&lt;&gt;0,VLOOKUP(AD63/$AD$9*100,TRANSMUTATION_TABLE!$A$2:$B$102,2),""),"")</f>
        <v/>
      </c>
      <c r="AF63" s="50">
        <f>Attendance!BW60</f>
        <v>0</v>
      </c>
      <c r="AG63" s="45" t="str">
        <f>IF(AND(B63&lt;&gt;""),IF($AF$9&lt;&gt;0,VLOOKUP(AF63/$AF$9*100,TRANSMUTATION_TABLE!$A$2:$B$102,2),""),"")</f>
        <v/>
      </c>
      <c r="AH63" s="5"/>
      <c r="AI63" s="45" t="str">
        <f>IF(AND(B63&lt;&gt;""),IF($AH$9&lt;&gt;0,VLOOKUP(AH63/$AH$9*100,TRANSMUTATION_TABLE!$A$2:$B$102,2),""),"")</f>
        <v/>
      </c>
      <c r="AJ63" s="45" t="str">
        <f>IF(OR(K63&lt;&gt;"",T63&lt;&gt;"",AC63&lt;&gt;"",AG63&lt;&gt;"",AI63&lt;&gt;""),SUM(PRODUCT(K63,IF(Settings!$I$17&lt;&gt;0,Settings!$I$17/100,0)),PRODUCT(T63,IF(Settings!$I$18&lt;&gt;0,Settings!$I$18/100,0)),PRODUCT(AC63,IF(Settings!$I$19&lt;&gt;0,Settings!$I$19/100,0)),PRODUCT(AG63,IF(Settings!$I$20&lt;&gt;0,Settings!$I$20/100,0)),PRODUCT(AI63,IF(Settings!$I$21&lt;&gt;0,Settings!$I$21/100,0))),"")</f>
        <v/>
      </c>
      <c r="AK63" s="45" t="str">
        <f>Prelim!AJ63</f>
        <v/>
      </c>
      <c r="AL63" s="45" t="str">
        <f>Midterm!AL63</f>
        <v/>
      </c>
      <c r="AM63" s="45" t="str">
        <f>SemiFinal!AM63</f>
        <v/>
      </c>
      <c r="AN63" s="46" t="str">
        <f>IF(AJ63&lt;&gt;"",AVERAGE(AVERAGE(Prelim!AJ63,Midterm!AL63),AVERAGE(SemiFinal!AM63,Final!AJ63)),"")</f>
        <v/>
      </c>
      <c r="AO63" s="45">
        <f t="shared" si="3"/>
        <v>5</v>
      </c>
      <c r="AP63" s="37"/>
      <c r="AQ63" s="37"/>
      <c r="AR63" s="37"/>
    </row>
    <row r="64" spans="1:44" ht="12" customHeight="1" thickBot="1" x14ac:dyDescent="0.35">
      <c r="A64" s="54"/>
      <c r="B64" s="61"/>
      <c r="C64" s="55"/>
      <c r="D64" s="42" t="str">
        <f>IF(AND(B64&lt;&gt;""),IF($C$9&lt;&gt;0,VLOOKUP(C64/$C$9*100,TRANSMUTATION_TABLE!$A$2:$B$102,2),""),"")</f>
        <v/>
      </c>
      <c r="E64" s="55"/>
      <c r="F64" s="42" t="str">
        <f>IF(AND(B64&lt;&gt;""),IF($E$9&lt;&gt;0,VLOOKUP(E64/$E$9*100,TRANSMUTATION_TABLE!$A$2:$B$102,2),""),"")</f>
        <v/>
      </c>
      <c r="G64" s="55"/>
      <c r="H64" s="42" t="str">
        <f>IF(AND(B64&lt;&gt;""),IF($G$9&lt;&gt;0,VLOOKUP(G64/$G$9*100,TRANSMUTATION_TABLE!$A$2:$B$102,2),""),"")</f>
        <v/>
      </c>
      <c r="I64" s="55"/>
      <c r="J64" s="43" t="str">
        <f>IF(AND(B64&lt;&gt;""),IF($I$9&lt;&gt;0,VLOOKUP(I64/$I$9*100,TRANSMUTATION_TABLE!$A$2:$B$102,2),""),"")</f>
        <v/>
      </c>
      <c r="K64" s="48" t="str">
        <f t="shared" si="0"/>
        <v/>
      </c>
      <c r="L64" s="55"/>
      <c r="M64" s="42" t="str">
        <f>IF(AND(B64&lt;&gt;""),IF($L$9&lt;&gt;0,VLOOKUP(L64/$L$9*100,TRANSMUTATION_TABLE!$A$2:$B$102,2),""),"")</f>
        <v/>
      </c>
      <c r="N64" s="55"/>
      <c r="O64" s="42" t="str">
        <f>IF(AND(B64&lt;&gt;""),IF($N$9&lt;&gt;0,VLOOKUP(N64/$N$9*100,TRANSMUTATION_TABLE!$A$2:$B$102,2),""),"")</f>
        <v/>
      </c>
      <c r="P64" s="55"/>
      <c r="Q64" s="42" t="str">
        <f>IF(AND(B64&lt;&gt;""),IF($P$9&lt;&gt;0,VLOOKUP(P64/$P$9*100,TRANSMUTATION_TABLE!$A$2:$B$102,2),""),"")</f>
        <v/>
      </c>
      <c r="R64" s="55"/>
      <c r="S64" s="43" t="str">
        <f>IF(AND(B64&lt;&gt;""),IF($R$9&lt;&gt;0,VLOOKUP(R64/$R$9*100,TRANSMUTATION_TABLE!$A$2:$B$102,2),""),"")</f>
        <v/>
      </c>
      <c r="T64" s="48" t="str">
        <f t="shared" si="1"/>
        <v/>
      </c>
      <c r="U64" s="55"/>
      <c r="V64" s="42" t="str">
        <f>IF(AND(B64&lt;&gt;""),IF($U$9&lt;&gt;0,VLOOKUP(U64/$U$9*100,TRANSMUTATION_TABLE!$A$2:$B$102,2),""),"")</f>
        <v/>
      </c>
      <c r="W64" s="55"/>
      <c r="X64" s="42" t="str">
        <f>IF(AND(B64&lt;&gt;""),IF($W$9&lt;&gt;0,VLOOKUP(W64/$W$9*100,TRANSMUTATION_TABLE!$A$2:$B$102,2),""),"")</f>
        <v/>
      </c>
      <c r="Y64" s="55"/>
      <c r="Z64" s="42" t="str">
        <f>IF(AND(B64&lt;&gt;""),IF($Y$9&lt;&gt;0,VLOOKUP(Y64/$Y$9*100,TRANSMUTATION_TABLE!$A$2:$B$102,2),""),"")</f>
        <v/>
      </c>
      <c r="AA64" s="55"/>
      <c r="AB64" s="43" t="str">
        <f>IF(AND(B64&lt;&gt;""),IF($AA$9&lt;&gt;0,VLOOKUP(AA64/$AA$9*100,TRANSMUTATION_TABLE!$A$2:$B$102,2),""),"")</f>
        <v/>
      </c>
      <c r="AC64" s="48" t="str">
        <f t="shared" si="2"/>
        <v/>
      </c>
      <c r="AD64" s="53"/>
      <c r="AE64" s="42" t="str">
        <f>IF(AND(B64&lt;&gt;""),IF($AD$9&lt;&gt;0,VLOOKUP(AD64/$AD$9*100,TRANSMUTATION_TABLE!$A$2:$B$102,2),""),"")</f>
        <v/>
      </c>
      <c r="AF64" s="50">
        <f>Attendance!BW61</f>
        <v>0</v>
      </c>
      <c r="AG64" s="45" t="str">
        <f>IF(AND(B64&lt;&gt;""),IF($AF$9&lt;&gt;0,VLOOKUP(AF64/$AF$9*100,TRANSMUTATION_TABLE!$A$2:$B$102,2),""),"")</f>
        <v/>
      </c>
      <c r="AH64" s="55"/>
      <c r="AI64" s="45" t="str">
        <f>IF(AND(B64&lt;&gt;""),IF($AH$9&lt;&gt;0,VLOOKUP(AH64/$AH$9*100,TRANSMUTATION_TABLE!$A$2:$B$102,2),""),"")</f>
        <v/>
      </c>
      <c r="AJ64" s="45" t="str">
        <f>IF(OR(K64&lt;&gt;"",T64&lt;&gt;"",AC64&lt;&gt;"",AG64&lt;&gt;"",AI64&lt;&gt;""),SUM(PRODUCT(K64,IF(Settings!$I$17&lt;&gt;0,Settings!$I$17/100,0)),PRODUCT(T64,IF(Settings!$I$18&lt;&gt;0,Settings!$I$18/100,0)),PRODUCT(AC64,IF(Settings!$I$19&lt;&gt;0,Settings!$I$19/100,0)),PRODUCT(AG64,IF(Settings!$I$20&lt;&gt;0,Settings!$I$20/100,0)),PRODUCT(AI64,IF(Settings!$I$21&lt;&gt;0,Settings!$I$21/100,0))),"")</f>
        <v/>
      </c>
      <c r="AK64" s="45" t="str">
        <f>Prelim!AJ64</f>
        <v/>
      </c>
      <c r="AL64" s="45" t="str">
        <f>Midterm!AL64</f>
        <v/>
      </c>
      <c r="AM64" s="45" t="str">
        <f>SemiFinal!AM64</f>
        <v/>
      </c>
      <c r="AN64" s="46" t="str">
        <f>IF(AJ64&lt;&gt;"",AVERAGE(AVERAGE(Prelim!AJ64,Midterm!AL64),AVERAGE(SemiFinal!AM64,Final!AJ64)),"")</f>
        <v/>
      </c>
      <c r="AO64" s="45">
        <f t="shared" si="3"/>
        <v>5</v>
      </c>
      <c r="AP64" s="37"/>
      <c r="AQ64" s="37"/>
      <c r="AR64" s="37"/>
    </row>
    <row r="65" spans="1:44" ht="12" customHeight="1" thickBot="1" x14ac:dyDescent="0.35">
      <c r="A65" s="54"/>
      <c r="B65" s="90"/>
      <c r="C65" s="5"/>
      <c r="D65" s="42" t="str">
        <f>IF(AND(B65&lt;&gt;""),IF($C$9&lt;&gt;0,VLOOKUP(C65/$C$9*100,TRANSMUTATION_TABLE!$A$2:$B$102,2),""),"")</f>
        <v/>
      </c>
      <c r="E65" s="5"/>
      <c r="F65" s="42" t="str">
        <f>IF(AND(B65&lt;&gt;""),IF($E$9&lt;&gt;0,VLOOKUP(E65/$E$9*100,TRANSMUTATION_TABLE!$A$2:$B$102,2),""),"")</f>
        <v/>
      </c>
      <c r="G65" s="5"/>
      <c r="H65" s="42" t="str">
        <f>IF(AND(B65&lt;&gt;""),IF($G$9&lt;&gt;0,VLOOKUP(G65/$G$9*100,TRANSMUTATION_TABLE!$A$2:$B$102,2),""),"")</f>
        <v/>
      </c>
      <c r="I65" s="5"/>
      <c r="J65" s="43" t="str">
        <f>IF(AND(B65&lt;&gt;""),IF($I$9&lt;&gt;0,VLOOKUP(I65/$I$9*100,TRANSMUTATION_TABLE!$A$2:$B$102,2),""),"")</f>
        <v/>
      </c>
      <c r="K65" s="48" t="str">
        <f t="shared" si="0"/>
        <v/>
      </c>
      <c r="L65" s="5"/>
      <c r="M65" s="42" t="str">
        <f>IF(AND(B65&lt;&gt;""),IF($L$9&lt;&gt;0,VLOOKUP(L65/$L$9*100,TRANSMUTATION_TABLE!$A$2:$B$102,2),""),"")</f>
        <v/>
      </c>
      <c r="N65" s="5"/>
      <c r="O65" s="42" t="str">
        <f>IF(AND(B65&lt;&gt;""),IF($N$9&lt;&gt;0,VLOOKUP(N65/$N$9*100,TRANSMUTATION_TABLE!$A$2:$B$102,2),""),"")</f>
        <v/>
      </c>
      <c r="P65" s="5"/>
      <c r="Q65" s="42" t="str">
        <f>IF(AND(B65&lt;&gt;""),IF($P$9&lt;&gt;0,VLOOKUP(P65/$P$9*100,TRANSMUTATION_TABLE!$A$2:$B$102,2),""),"")</f>
        <v/>
      </c>
      <c r="R65" s="5"/>
      <c r="S65" s="43" t="str">
        <f>IF(AND(B65&lt;&gt;""),IF($R$9&lt;&gt;0,VLOOKUP(R65/$R$9*100,TRANSMUTATION_TABLE!$A$2:$B$102,2),""),"")</f>
        <v/>
      </c>
      <c r="T65" s="48" t="str">
        <f t="shared" si="1"/>
        <v/>
      </c>
      <c r="U65" s="5"/>
      <c r="V65" s="42" t="str">
        <f>IF(AND(B65&lt;&gt;""),IF($U$9&lt;&gt;0,VLOOKUP(U65/$U$9*100,TRANSMUTATION_TABLE!$A$2:$B$102,2),""),"")</f>
        <v/>
      </c>
      <c r="W65" s="5"/>
      <c r="X65" s="42" t="str">
        <f>IF(AND(B65&lt;&gt;""),IF($W$9&lt;&gt;0,VLOOKUP(W65/$W$9*100,TRANSMUTATION_TABLE!$A$2:$B$102,2),""),"")</f>
        <v/>
      </c>
      <c r="Y65" s="5"/>
      <c r="Z65" s="42" t="str">
        <f>IF(AND(B65&lt;&gt;""),IF($Y$9&lt;&gt;0,VLOOKUP(Y65/$Y$9*100,TRANSMUTATION_TABLE!$A$2:$B$102,2),""),"")</f>
        <v/>
      </c>
      <c r="AA65" s="5"/>
      <c r="AB65" s="43" t="str">
        <f>IF(AND(B65&lt;&gt;""),IF($AA$9&lt;&gt;0,VLOOKUP(AA65/$AA$9*100,TRANSMUTATION_TABLE!$A$2:$B$102,2),""),"")</f>
        <v/>
      </c>
      <c r="AC65" s="48" t="str">
        <f t="shared" si="2"/>
        <v/>
      </c>
      <c r="AD65" s="53"/>
      <c r="AE65" s="42" t="str">
        <f>IF(AND(B65&lt;&gt;""),IF($AD$9&lt;&gt;0,VLOOKUP(AD65/$AD$9*100,TRANSMUTATION_TABLE!$A$2:$B$102,2),""),"")</f>
        <v/>
      </c>
      <c r="AF65" s="50">
        <f>Attendance!BW62</f>
        <v>0</v>
      </c>
      <c r="AG65" s="45" t="str">
        <f>IF(AND(B65&lt;&gt;""),IF($AF$9&lt;&gt;0,VLOOKUP(AF65/$AF$9*100,TRANSMUTATION_TABLE!$A$2:$B$102,2),""),"")</f>
        <v/>
      </c>
      <c r="AH65" s="5"/>
      <c r="AI65" s="45" t="str">
        <f>IF(AND(B65&lt;&gt;""),IF($AH$9&lt;&gt;0,VLOOKUP(AH65/$AH$9*100,TRANSMUTATION_TABLE!$A$2:$B$102,2),""),"")</f>
        <v/>
      </c>
      <c r="AJ65" s="45" t="str">
        <f>IF(OR(K65&lt;&gt;"",T65&lt;&gt;"",AC65&lt;&gt;"",AG65&lt;&gt;"",AI65&lt;&gt;""),SUM(PRODUCT(K65,IF(Settings!$I$17&lt;&gt;0,Settings!$I$17/100,0)),PRODUCT(T65,IF(Settings!$I$18&lt;&gt;0,Settings!$I$18/100,0)),PRODUCT(AC65,IF(Settings!$I$19&lt;&gt;0,Settings!$I$19/100,0)),PRODUCT(AG65,IF(Settings!$I$20&lt;&gt;0,Settings!$I$20/100,0)),PRODUCT(AI65,IF(Settings!$I$21&lt;&gt;0,Settings!$I$21/100,0))),"")</f>
        <v/>
      </c>
      <c r="AK65" s="45" t="str">
        <f>Prelim!AJ65</f>
        <v/>
      </c>
      <c r="AL65" s="45" t="str">
        <f>Midterm!AL65</f>
        <v/>
      </c>
      <c r="AM65" s="45" t="str">
        <f>SemiFinal!AM65</f>
        <v/>
      </c>
      <c r="AN65" s="46" t="str">
        <f>IF(AJ65&lt;&gt;"",AVERAGE(AVERAGE(Prelim!AJ65,Midterm!AL65),AVERAGE(SemiFinal!AM65,Final!AJ65)),"")</f>
        <v/>
      </c>
      <c r="AO65" s="45">
        <f t="shared" si="3"/>
        <v>5</v>
      </c>
      <c r="AP65" s="37"/>
      <c r="AQ65" s="37"/>
      <c r="AR65" s="37"/>
    </row>
    <row r="66" spans="1:44" ht="12" customHeight="1" thickBot="1" x14ac:dyDescent="0.35">
      <c r="A66" s="54"/>
      <c r="B66" s="90"/>
      <c r="C66" s="5"/>
      <c r="D66" s="42" t="str">
        <f>IF(AND(B66&lt;&gt;""),IF($C$9&lt;&gt;0,VLOOKUP(C66/$C$9*100,TRANSMUTATION_TABLE!$A$2:$B$102,2),""),"")</f>
        <v/>
      </c>
      <c r="E66" s="5"/>
      <c r="F66" s="42" t="str">
        <f>IF(AND(B66&lt;&gt;""),IF($E$9&lt;&gt;0,VLOOKUP(E66/$E$9*100,TRANSMUTATION_TABLE!$A$2:$B$102,2),""),"")</f>
        <v/>
      </c>
      <c r="G66" s="5"/>
      <c r="H66" s="42" t="str">
        <f>IF(AND(B66&lt;&gt;""),IF($G$9&lt;&gt;0,VLOOKUP(G66/$G$9*100,TRANSMUTATION_TABLE!$A$2:$B$102,2),""),"")</f>
        <v/>
      </c>
      <c r="I66" s="5"/>
      <c r="J66" s="43" t="str">
        <f>IF(AND(B66&lt;&gt;""),IF($I$9&lt;&gt;0,VLOOKUP(I66/$I$9*100,TRANSMUTATION_TABLE!$A$2:$B$102,2),""),"")</f>
        <v/>
      </c>
      <c r="K66" s="48" t="str">
        <f t="shared" si="0"/>
        <v/>
      </c>
      <c r="L66" s="5"/>
      <c r="M66" s="42" t="str">
        <f>IF(AND(B66&lt;&gt;""),IF($L$9&lt;&gt;0,VLOOKUP(L66/$L$9*100,TRANSMUTATION_TABLE!$A$2:$B$102,2),""),"")</f>
        <v/>
      </c>
      <c r="N66" s="5"/>
      <c r="O66" s="42" t="str">
        <f>IF(AND(B66&lt;&gt;""),IF($N$9&lt;&gt;0,VLOOKUP(N66/$N$9*100,TRANSMUTATION_TABLE!$A$2:$B$102,2),""),"")</f>
        <v/>
      </c>
      <c r="P66" s="5"/>
      <c r="Q66" s="42" t="str">
        <f>IF(AND(B66&lt;&gt;""),IF($P$9&lt;&gt;0,VLOOKUP(P66/$P$9*100,TRANSMUTATION_TABLE!$A$2:$B$102,2),""),"")</f>
        <v/>
      </c>
      <c r="R66" s="5"/>
      <c r="S66" s="43" t="str">
        <f>IF(AND(B66&lt;&gt;""),IF($R$9&lt;&gt;0,VLOOKUP(R66/$R$9*100,TRANSMUTATION_TABLE!$A$2:$B$102,2),""),"")</f>
        <v/>
      </c>
      <c r="T66" s="48" t="str">
        <f t="shared" si="1"/>
        <v/>
      </c>
      <c r="U66" s="5"/>
      <c r="V66" s="42" t="str">
        <f>IF(AND(B66&lt;&gt;""),IF($U$9&lt;&gt;0,VLOOKUP(U66/$U$9*100,TRANSMUTATION_TABLE!$A$2:$B$102,2),""),"")</f>
        <v/>
      </c>
      <c r="W66" s="5"/>
      <c r="X66" s="42" t="str">
        <f>IF(AND(B66&lt;&gt;""),IF($W$9&lt;&gt;0,VLOOKUP(W66/$W$9*100,TRANSMUTATION_TABLE!$A$2:$B$102,2),""),"")</f>
        <v/>
      </c>
      <c r="Y66" s="5"/>
      <c r="Z66" s="42" t="str">
        <f>IF(AND(B66&lt;&gt;""),IF($Y$9&lt;&gt;0,VLOOKUP(Y66/$Y$9*100,TRANSMUTATION_TABLE!$A$2:$B$102,2),""),"")</f>
        <v/>
      </c>
      <c r="AA66" s="5"/>
      <c r="AB66" s="43" t="str">
        <f>IF(AND(B66&lt;&gt;""),IF($AA$9&lt;&gt;0,VLOOKUP(AA66/$AA$9*100,TRANSMUTATION_TABLE!$A$2:$B$102,2),""),"")</f>
        <v/>
      </c>
      <c r="AC66" s="48" t="str">
        <f t="shared" si="2"/>
        <v/>
      </c>
      <c r="AD66" s="53"/>
      <c r="AE66" s="42" t="str">
        <f>IF(AND(B66&lt;&gt;""),IF($AD$9&lt;&gt;0,VLOOKUP(AD66/$AD$9*100,TRANSMUTATION_TABLE!$A$2:$B$102,2),""),"")</f>
        <v/>
      </c>
      <c r="AF66" s="50">
        <f>Attendance!BW63</f>
        <v>0</v>
      </c>
      <c r="AG66" s="45" t="str">
        <f>IF(AND(B66&lt;&gt;""),IF($AF$9&lt;&gt;0,VLOOKUP(AF66/$AF$9*100,TRANSMUTATION_TABLE!$A$2:$B$102,2),""),"")</f>
        <v/>
      </c>
      <c r="AH66" s="5"/>
      <c r="AI66" s="45" t="str">
        <f>IF(AND(B66&lt;&gt;""),IF($AH$9&lt;&gt;0,VLOOKUP(AH66/$AH$9*100,TRANSMUTATION_TABLE!$A$2:$B$102,2),""),"")</f>
        <v/>
      </c>
      <c r="AJ66" s="45" t="str">
        <f>IF(OR(K66&lt;&gt;"",T66&lt;&gt;"",AC66&lt;&gt;"",AG66&lt;&gt;"",AI66&lt;&gt;""),SUM(PRODUCT(K66,IF(Settings!$I$17&lt;&gt;0,Settings!$I$17/100,0)),PRODUCT(T66,IF(Settings!$I$18&lt;&gt;0,Settings!$I$18/100,0)),PRODUCT(AC66,IF(Settings!$I$19&lt;&gt;0,Settings!$I$19/100,0)),PRODUCT(AG66,IF(Settings!$I$20&lt;&gt;0,Settings!$I$20/100,0)),PRODUCT(AI66,IF(Settings!$I$21&lt;&gt;0,Settings!$I$21/100,0))),"")</f>
        <v/>
      </c>
      <c r="AK66" s="45" t="str">
        <f>Prelim!AJ66</f>
        <v/>
      </c>
      <c r="AL66" s="45" t="str">
        <f>Midterm!AL66</f>
        <v/>
      </c>
      <c r="AM66" s="45" t="str">
        <f>SemiFinal!AM66</f>
        <v/>
      </c>
      <c r="AN66" s="46" t="str">
        <f>IF(AJ66&lt;&gt;"",AVERAGE(AVERAGE(Prelim!AJ66,Midterm!AL66),AVERAGE(SemiFinal!AM66,Final!AJ66)),"")</f>
        <v/>
      </c>
      <c r="AO66" s="45">
        <f t="shared" si="3"/>
        <v>5</v>
      </c>
      <c r="AP66" s="37"/>
      <c r="AQ66" s="37"/>
      <c r="AR66" s="37"/>
    </row>
    <row r="67" spans="1:44" ht="12" customHeight="1" thickBot="1" x14ac:dyDescent="0.35">
      <c r="A67" s="54"/>
      <c r="B67" s="90"/>
      <c r="C67" s="5"/>
      <c r="D67" s="42" t="str">
        <f>IF(AND(B67&lt;&gt;""),IF($C$9&lt;&gt;0,VLOOKUP(C67/$C$9*100,TRANSMUTATION_TABLE!$A$2:$B$102,2),""),"")</f>
        <v/>
      </c>
      <c r="E67" s="5"/>
      <c r="F67" s="42" t="str">
        <f>IF(AND(B67&lt;&gt;""),IF($E$9&lt;&gt;0,VLOOKUP(E67/$E$9*100,TRANSMUTATION_TABLE!$A$2:$B$102,2),""),"")</f>
        <v/>
      </c>
      <c r="G67" s="5"/>
      <c r="H67" s="42" t="str">
        <f>IF(AND(B67&lt;&gt;""),IF($G$9&lt;&gt;0,VLOOKUP(G67/$G$9*100,TRANSMUTATION_TABLE!$A$2:$B$102,2),""),"")</f>
        <v/>
      </c>
      <c r="I67" s="5"/>
      <c r="J67" s="43" t="str">
        <f>IF(AND(B67&lt;&gt;""),IF($I$9&lt;&gt;0,VLOOKUP(I67/$I$9*100,TRANSMUTATION_TABLE!$A$2:$B$102,2),""),"")</f>
        <v/>
      </c>
      <c r="K67" s="48" t="str">
        <f t="shared" si="0"/>
        <v/>
      </c>
      <c r="L67" s="5"/>
      <c r="M67" s="42" t="str">
        <f>IF(AND(B67&lt;&gt;""),IF($L$9&lt;&gt;0,VLOOKUP(L67/$L$9*100,TRANSMUTATION_TABLE!$A$2:$B$102,2),""),"")</f>
        <v/>
      </c>
      <c r="N67" s="5"/>
      <c r="O67" s="42" t="str">
        <f>IF(AND(B67&lt;&gt;""),IF($N$9&lt;&gt;0,VLOOKUP(N67/$N$9*100,TRANSMUTATION_TABLE!$A$2:$B$102,2),""),"")</f>
        <v/>
      </c>
      <c r="P67" s="5"/>
      <c r="Q67" s="42" t="str">
        <f>IF(AND(B67&lt;&gt;""),IF($P$9&lt;&gt;0,VLOOKUP(P67/$P$9*100,TRANSMUTATION_TABLE!$A$2:$B$102,2),""),"")</f>
        <v/>
      </c>
      <c r="R67" s="5"/>
      <c r="S67" s="43" t="str">
        <f>IF(AND(B67&lt;&gt;""),IF($R$9&lt;&gt;0,VLOOKUP(R67/$R$9*100,TRANSMUTATION_TABLE!$A$2:$B$102,2),""),"")</f>
        <v/>
      </c>
      <c r="T67" s="48" t="str">
        <f t="shared" si="1"/>
        <v/>
      </c>
      <c r="U67" s="5"/>
      <c r="V67" s="42" t="str">
        <f>IF(AND(B67&lt;&gt;""),IF($U$9&lt;&gt;0,VLOOKUP(U67/$U$9*100,TRANSMUTATION_TABLE!$A$2:$B$102,2),""),"")</f>
        <v/>
      </c>
      <c r="W67" s="5"/>
      <c r="X67" s="42" t="str">
        <f>IF(AND(B67&lt;&gt;""),IF($W$9&lt;&gt;0,VLOOKUP(W67/$W$9*100,TRANSMUTATION_TABLE!$A$2:$B$102,2),""),"")</f>
        <v/>
      </c>
      <c r="Y67" s="5"/>
      <c r="Z67" s="42" t="str">
        <f>IF(AND(B67&lt;&gt;""),IF($Y$9&lt;&gt;0,VLOOKUP(Y67/$Y$9*100,TRANSMUTATION_TABLE!$A$2:$B$102,2),""),"")</f>
        <v/>
      </c>
      <c r="AA67" s="5"/>
      <c r="AB67" s="43" t="str">
        <f>IF(AND(B67&lt;&gt;""),IF($AA$9&lt;&gt;0,VLOOKUP(AA67/$AA$9*100,TRANSMUTATION_TABLE!$A$2:$B$102,2),""),"")</f>
        <v/>
      </c>
      <c r="AC67" s="48" t="str">
        <f t="shared" si="2"/>
        <v/>
      </c>
      <c r="AD67" s="53"/>
      <c r="AE67" s="42" t="str">
        <f>IF(AND(B67&lt;&gt;""),IF($AD$9&lt;&gt;0,VLOOKUP(AD67/$AD$9*100,TRANSMUTATION_TABLE!$A$2:$B$102,2),""),"")</f>
        <v/>
      </c>
      <c r="AF67" s="50">
        <f>Attendance!BW64</f>
        <v>0</v>
      </c>
      <c r="AG67" s="45" t="str">
        <f>IF(AND(B67&lt;&gt;""),IF($AF$9&lt;&gt;0,VLOOKUP(AF67/$AF$9*100,TRANSMUTATION_TABLE!$A$2:$B$102,2),""),"")</f>
        <v/>
      </c>
      <c r="AH67" s="5"/>
      <c r="AI67" s="45" t="str">
        <f>IF(AND(B67&lt;&gt;""),IF($AH$9&lt;&gt;0,VLOOKUP(AH67/$AH$9*100,TRANSMUTATION_TABLE!$A$2:$B$102,2),""),"")</f>
        <v/>
      </c>
      <c r="AJ67" s="45" t="str">
        <f>IF(OR(K67&lt;&gt;"",T67&lt;&gt;"",AC67&lt;&gt;"",AG67&lt;&gt;"",AI67&lt;&gt;""),SUM(PRODUCT(K67,IF(Settings!$I$17&lt;&gt;0,Settings!$I$17/100,0)),PRODUCT(T67,IF(Settings!$I$18&lt;&gt;0,Settings!$I$18/100,0)),PRODUCT(AC67,IF(Settings!$I$19&lt;&gt;0,Settings!$I$19/100,0)),PRODUCT(AG67,IF(Settings!$I$20&lt;&gt;0,Settings!$I$20/100,0)),PRODUCT(AI67,IF(Settings!$I$21&lt;&gt;0,Settings!$I$21/100,0))),"")</f>
        <v/>
      </c>
      <c r="AK67" s="45" t="str">
        <f>Prelim!AJ67</f>
        <v/>
      </c>
      <c r="AL67" s="45" t="str">
        <f>Midterm!AL67</f>
        <v/>
      </c>
      <c r="AM67" s="45" t="str">
        <f>SemiFinal!AM67</f>
        <v/>
      </c>
      <c r="AN67" s="46" t="str">
        <f>IF(AJ67&lt;&gt;"",AVERAGE(AVERAGE(Prelim!AJ67,Midterm!AL67),AVERAGE(SemiFinal!AM67,Final!AJ67)),"")</f>
        <v/>
      </c>
      <c r="AO67" s="45">
        <f t="shared" si="3"/>
        <v>5</v>
      </c>
      <c r="AP67" s="37"/>
      <c r="AQ67" s="37"/>
      <c r="AR67" s="37"/>
    </row>
    <row r="68" spans="1:44" ht="12" customHeight="1" thickBot="1" x14ac:dyDescent="0.35">
      <c r="A68" s="54"/>
      <c r="B68" s="90"/>
      <c r="C68" s="5"/>
      <c r="D68" s="42" t="str">
        <f>IF(AND(B68&lt;&gt;""),IF($C$9&lt;&gt;0,VLOOKUP(C68/$C$9*100,TRANSMUTATION_TABLE!$A$2:$B$102,2),""),"")</f>
        <v/>
      </c>
      <c r="E68" s="5"/>
      <c r="F68" s="42" t="str">
        <f>IF(AND(B68&lt;&gt;""),IF($E$9&lt;&gt;0,VLOOKUP(E68/$E$9*100,TRANSMUTATION_TABLE!$A$2:$B$102,2),""),"")</f>
        <v/>
      </c>
      <c r="G68" s="5"/>
      <c r="H68" s="42" t="str">
        <f>IF(AND(B68&lt;&gt;""),IF($G$9&lt;&gt;0,VLOOKUP(G68/$G$9*100,TRANSMUTATION_TABLE!$A$2:$B$102,2),""),"")</f>
        <v/>
      </c>
      <c r="I68" s="5"/>
      <c r="J68" s="43" t="str">
        <f>IF(AND(B68&lt;&gt;""),IF($I$9&lt;&gt;0,VLOOKUP(I68/$I$9*100,TRANSMUTATION_TABLE!$A$2:$B$102,2),""),"")</f>
        <v/>
      </c>
      <c r="K68" s="48" t="str">
        <f t="shared" si="0"/>
        <v/>
      </c>
      <c r="L68" s="5"/>
      <c r="M68" s="42" t="str">
        <f>IF(AND(B68&lt;&gt;""),IF($L$9&lt;&gt;0,VLOOKUP(L68/$L$9*100,TRANSMUTATION_TABLE!$A$2:$B$102,2),""),"")</f>
        <v/>
      </c>
      <c r="N68" s="5"/>
      <c r="O68" s="42" t="str">
        <f>IF(AND(B68&lt;&gt;""),IF($N$9&lt;&gt;0,VLOOKUP(N68/$N$9*100,TRANSMUTATION_TABLE!$A$2:$B$102,2),""),"")</f>
        <v/>
      </c>
      <c r="P68" s="5"/>
      <c r="Q68" s="42" t="str">
        <f>IF(AND(B68&lt;&gt;""),IF($P$9&lt;&gt;0,VLOOKUP(P68/$P$9*100,TRANSMUTATION_TABLE!$A$2:$B$102,2),""),"")</f>
        <v/>
      </c>
      <c r="R68" s="5"/>
      <c r="S68" s="43" t="str">
        <f>IF(AND(B68&lt;&gt;""),IF($R$9&lt;&gt;0,VLOOKUP(R68/$R$9*100,TRANSMUTATION_TABLE!$A$2:$B$102,2),""),"")</f>
        <v/>
      </c>
      <c r="T68" s="48" t="str">
        <f t="shared" si="1"/>
        <v/>
      </c>
      <c r="U68" s="5"/>
      <c r="V68" s="42" t="str">
        <f>IF(AND(B68&lt;&gt;""),IF($U$9&lt;&gt;0,VLOOKUP(U68/$U$9*100,TRANSMUTATION_TABLE!$A$2:$B$102,2),""),"")</f>
        <v/>
      </c>
      <c r="W68" s="5"/>
      <c r="X68" s="42" t="str">
        <f>IF(AND(B68&lt;&gt;""),IF($W$9&lt;&gt;0,VLOOKUP(W68/$W$9*100,TRANSMUTATION_TABLE!$A$2:$B$102,2),""),"")</f>
        <v/>
      </c>
      <c r="Y68" s="5"/>
      <c r="Z68" s="42" t="str">
        <f>IF(AND(B68&lt;&gt;""),IF($Y$9&lt;&gt;0,VLOOKUP(Y68/$Y$9*100,TRANSMUTATION_TABLE!$A$2:$B$102,2),""),"")</f>
        <v/>
      </c>
      <c r="AA68" s="5"/>
      <c r="AB68" s="43" t="str">
        <f>IF(AND(B68&lt;&gt;""),IF($AA$9&lt;&gt;0,VLOOKUP(AA68/$AA$9*100,TRANSMUTATION_TABLE!$A$2:$B$102,2),""),"")</f>
        <v/>
      </c>
      <c r="AC68" s="48" t="str">
        <f t="shared" si="2"/>
        <v/>
      </c>
      <c r="AD68" s="53"/>
      <c r="AE68" s="42" t="str">
        <f>IF(AND(B68&lt;&gt;""),IF($AD$9&lt;&gt;0,VLOOKUP(AD68/$AD$9*100,TRANSMUTATION_TABLE!$A$2:$B$102,2),""),"")</f>
        <v/>
      </c>
      <c r="AF68" s="50">
        <f>Attendance!BW65</f>
        <v>0</v>
      </c>
      <c r="AG68" s="45" t="str">
        <f>IF(AND(B68&lt;&gt;""),IF($AF$9&lt;&gt;0,VLOOKUP(AF68/$AF$9*100,TRANSMUTATION_TABLE!$A$2:$B$102,2),""),"")</f>
        <v/>
      </c>
      <c r="AH68" s="5"/>
      <c r="AI68" s="45" t="str">
        <f>IF(AND(B68&lt;&gt;""),IF($AH$9&lt;&gt;0,VLOOKUP(AH68/$AH$9*100,TRANSMUTATION_TABLE!$A$2:$B$102,2),""),"")</f>
        <v/>
      </c>
      <c r="AJ68" s="45" t="str">
        <f>IF(OR(K68&lt;&gt;"",T68&lt;&gt;"",AC68&lt;&gt;"",AG68&lt;&gt;"",AI68&lt;&gt;""),SUM(PRODUCT(K68,IF(Settings!$I$17&lt;&gt;0,Settings!$I$17/100,0)),PRODUCT(T68,IF(Settings!$I$18&lt;&gt;0,Settings!$I$18/100,0)),PRODUCT(AC68,IF(Settings!$I$19&lt;&gt;0,Settings!$I$19/100,0)),PRODUCT(AG68,IF(Settings!$I$20&lt;&gt;0,Settings!$I$20/100,0)),PRODUCT(AI68,IF(Settings!$I$21&lt;&gt;0,Settings!$I$21/100,0))),"")</f>
        <v/>
      </c>
      <c r="AK68" s="45" t="str">
        <f>Prelim!AJ68</f>
        <v/>
      </c>
      <c r="AL68" s="45" t="str">
        <f>Midterm!AL68</f>
        <v/>
      </c>
      <c r="AM68" s="45" t="str">
        <f>SemiFinal!AM68</f>
        <v/>
      </c>
      <c r="AN68" s="46" t="str">
        <f>IF(AJ68&lt;&gt;"",AVERAGE(AVERAGE(Prelim!AJ68,Midterm!AL68),AVERAGE(SemiFinal!AM68,Final!AJ68)),"")</f>
        <v/>
      </c>
      <c r="AO68" s="45">
        <f t="shared" si="3"/>
        <v>5</v>
      </c>
      <c r="AP68" s="37"/>
      <c r="AQ68" s="37"/>
      <c r="AR68" s="37"/>
    </row>
    <row r="69" spans="1:44" ht="12" customHeight="1" thickBot="1" x14ac:dyDescent="0.35">
      <c r="A69" s="54"/>
      <c r="B69" s="61"/>
      <c r="C69" s="55"/>
      <c r="D69" s="42" t="str">
        <f>IF(AND(B69&lt;&gt;""),IF($C$9&lt;&gt;0,VLOOKUP(C69/$C$9*100,TRANSMUTATION_TABLE!$A$2:$B$102,2),""),"")</f>
        <v/>
      </c>
      <c r="E69" s="55"/>
      <c r="F69" s="42" t="str">
        <f>IF(AND(B69&lt;&gt;""),IF($E$9&lt;&gt;0,VLOOKUP(E69/$E$9*100,TRANSMUTATION_TABLE!$A$2:$B$102,2),""),"")</f>
        <v/>
      </c>
      <c r="G69" s="55"/>
      <c r="H69" s="42" t="str">
        <f>IF(AND(B69&lt;&gt;""),IF($G$9&lt;&gt;0,VLOOKUP(G69/$G$9*100,TRANSMUTATION_TABLE!$A$2:$B$102,2),""),"")</f>
        <v/>
      </c>
      <c r="I69" s="55"/>
      <c r="J69" s="43" t="str">
        <f>IF(AND(B69&lt;&gt;""),IF($I$9&lt;&gt;0,VLOOKUP(I69/$I$9*100,TRANSMUTATION_TABLE!$A$2:$B$102,2),""),"")</f>
        <v/>
      </c>
      <c r="K69" s="48" t="str">
        <f t="shared" si="0"/>
        <v/>
      </c>
      <c r="L69" s="55"/>
      <c r="M69" s="42" t="str">
        <f>IF(AND(B69&lt;&gt;""),IF($L$9&lt;&gt;0,VLOOKUP(L69/$L$9*100,TRANSMUTATION_TABLE!$A$2:$B$102,2),""),"")</f>
        <v/>
      </c>
      <c r="N69" s="55"/>
      <c r="O69" s="42" t="str">
        <f>IF(AND(B69&lt;&gt;""),IF($N$9&lt;&gt;0,VLOOKUP(N69/$N$9*100,TRANSMUTATION_TABLE!$A$2:$B$102,2),""),"")</f>
        <v/>
      </c>
      <c r="P69" s="55"/>
      <c r="Q69" s="42" t="str">
        <f>IF(AND(B69&lt;&gt;""),IF($P$9&lt;&gt;0,VLOOKUP(P69/$P$9*100,TRANSMUTATION_TABLE!$A$2:$B$102,2),""),"")</f>
        <v/>
      </c>
      <c r="R69" s="55"/>
      <c r="S69" s="43" t="str">
        <f>IF(AND(B69&lt;&gt;""),IF($R$9&lt;&gt;0,VLOOKUP(R69/$R$9*100,TRANSMUTATION_TABLE!$A$2:$B$102,2),""),"")</f>
        <v/>
      </c>
      <c r="T69" s="48" t="str">
        <f t="shared" si="1"/>
        <v/>
      </c>
      <c r="U69" s="55"/>
      <c r="V69" s="42" t="str">
        <f>IF(AND(B69&lt;&gt;""),IF($U$9&lt;&gt;0,VLOOKUP(U69/$U$9*100,TRANSMUTATION_TABLE!$A$2:$B$102,2),""),"")</f>
        <v/>
      </c>
      <c r="W69" s="55"/>
      <c r="X69" s="42" t="str">
        <f>IF(AND(B69&lt;&gt;""),IF($W$9&lt;&gt;0,VLOOKUP(W69/$W$9*100,TRANSMUTATION_TABLE!$A$2:$B$102,2),""),"")</f>
        <v/>
      </c>
      <c r="Y69" s="55"/>
      <c r="Z69" s="42" t="str">
        <f>IF(AND(B69&lt;&gt;""),IF($Y$9&lt;&gt;0,VLOOKUP(Y69/$Y$9*100,TRANSMUTATION_TABLE!$A$2:$B$102,2),""),"")</f>
        <v/>
      </c>
      <c r="AA69" s="55"/>
      <c r="AB69" s="43" t="str">
        <f>IF(AND(B69&lt;&gt;""),IF($AA$9&lt;&gt;0,VLOOKUP(AA69/$AA$9*100,TRANSMUTATION_TABLE!$A$2:$B$102,2),""),"")</f>
        <v/>
      </c>
      <c r="AC69" s="48" t="str">
        <f t="shared" si="2"/>
        <v/>
      </c>
      <c r="AD69" s="53"/>
      <c r="AE69" s="42" t="str">
        <f>IF(AND(B69&lt;&gt;""),IF($AD$9&lt;&gt;0,VLOOKUP(AD69/$AD$9*100,TRANSMUTATION_TABLE!$A$2:$B$102,2),""),"")</f>
        <v/>
      </c>
      <c r="AF69" s="50">
        <f>Attendance!BW66</f>
        <v>0</v>
      </c>
      <c r="AG69" s="45" t="str">
        <f>IF(AND(B69&lt;&gt;""),IF($AF$9&lt;&gt;0,VLOOKUP(AF69/$AF$9*100,TRANSMUTATION_TABLE!$A$2:$B$102,2),""),"")</f>
        <v/>
      </c>
      <c r="AH69" s="55"/>
      <c r="AI69" s="45" t="str">
        <f>IF(AND(B69&lt;&gt;""),IF($AH$9&lt;&gt;0,VLOOKUP(AH69/$AH$9*100,TRANSMUTATION_TABLE!$A$2:$B$102,2),""),"")</f>
        <v/>
      </c>
      <c r="AJ69" s="45" t="str">
        <f>IF(OR(K69&lt;&gt;"",T69&lt;&gt;"",AC69&lt;&gt;"",AG69&lt;&gt;"",AI69&lt;&gt;""),SUM(PRODUCT(K69,IF(Settings!$I$17&lt;&gt;0,Settings!$I$17/100,0)),PRODUCT(T69,IF(Settings!$I$18&lt;&gt;0,Settings!$I$18/100,0)),PRODUCT(AC69,IF(Settings!$I$19&lt;&gt;0,Settings!$I$19/100,0)),PRODUCT(AG69,IF(Settings!$I$20&lt;&gt;0,Settings!$I$20/100,0)),PRODUCT(AI69,IF(Settings!$I$21&lt;&gt;0,Settings!$I$21/100,0))),"")</f>
        <v/>
      </c>
      <c r="AK69" s="45" t="str">
        <f>Prelim!AJ69</f>
        <v/>
      </c>
      <c r="AL69" s="45" t="str">
        <f>Midterm!AL69</f>
        <v/>
      </c>
      <c r="AM69" s="45" t="str">
        <f>SemiFinal!AM69</f>
        <v/>
      </c>
      <c r="AN69" s="46" t="str">
        <f>IF(AJ69&lt;&gt;"",AVERAGE(AVERAGE(Prelim!AJ69,Midterm!AL69),AVERAGE(SemiFinal!AM69,Final!AJ69)),"")</f>
        <v/>
      </c>
      <c r="AO69" s="45">
        <f t="shared" si="3"/>
        <v>5</v>
      </c>
      <c r="AP69" s="37"/>
      <c r="AQ69" s="37"/>
      <c r="AR69" s="37"/>
    </row>
    <row r="70" spans="1:44" ht="14.25" customHeight="1" thickBot="1" x14ac:dyDescent="0.35">
      <c r="A70" s="54"/>
      <c r="B70" s="90"/>
      <c r="C70" s="5"/>
      <c r="D70" s="42" t="str">
        <f>IF(AND(B70&lt;&gt;""),IF($C$9&lt;&gt;0,VLOOKUP(C70/$C$9*100,TRANSMUTATION_TABLE!$A$2:$B$102,2),""),"")</f>
        <v/>
      </c>
      <c r="E70" s="5"/>
      <c r="F70" s="42" t="str">
        <f>IF(AND(B70&lt;&gt;""),IF($E$9&lt;&gt;0,VLOOKUP(E70/$E$9*100,TRANSMUTATION_TABLE!$A$2:$B$102,2),""),"")</f>
        <v/>
      </c>
      <c r="G70" s="5"/>
      <c r="H70" s="42" t="str">
        <f>IF(AND(B70&lt;&gt;""),IF($G$9&lt;&gt;0,VLOOKUP(G70/$G$9*100,TRANSMUTATION_TABLE!$A$2:$B$102,2),""),"")</f>
        <v/>
      </c>
      <c r="I70" s="5"/>
      <c r="J70" s="43" t="str">
        <f>IF(AND(B70&lt;&gt;""),IF($I$9&lt;&gt;0,VLOOKUP(I70/$I$9*100,TRANSMUTATION_TABLE!$A$2:$B$102,2),""),"")</f>
        <v/>
      </c>
      <c r="K70" s="48" t="str">
        <f t="shared" ref="K70:K79" si="4">IF(COUNT(D70,F70,H70,J70)&gt;0,AVERAGE(D70,F70,H70,J70),"")</f>
        <v/>
      </c>
      <c r="L70" s="5"/>
      <c r="M70" s="42" t="str">
        <f>IF(AND(B70&lt;&gt;""),IF($L$9&lt;&gt;0,VLOOKUP(L70/$L$9*100,TRANSMUTATION_TABLE!$A$2:$B$102,2),""),"")</f>
        <v/>
      </c>
      <c r="N70" s="5"/>
      <c r="O70" s="42" t="str">
        <f>IF(AND(B70&lt;&gt;""),IF($N$9&lt;&gt;0,VLOOKUP(N70/$N$9*100,TRANSMUTATION_TABLE!$A$2:$B$102,2),""),"")</f>
        <v/>
      </c>
      <c r="P70" s="5"/>
      <c r="Q70" s="42" t="str">
        <f>IF(AND(B70&lt;&gt;""),IF($P$9&lt;&gt;0,VLOOKUP(P70/$P$9*100,TRANSMUTATION_TABLE!$A$2:$B$102,2),""),"")</f>
        <v/>
      </c>
      <c r="R70" s="5"/>
      <c r="S70" s="43" t="str">
        <f>IF(AND(B70&lt;&gt;""),IF($R$9&lt;&gt;0,VLOOKUP(R70/$R$9*100,TRANSMUTATION_TABLE!$A$2:$B$102,2),""),"")</f>
        <v/>
      </c>
      <c r="T70" s="48" t="str">
        <f t="shared" ref="T70:T79" si="5">IF(COUNT(M70,O70,Q70,S70)&gt;0,AVERAGE(M70,O70,Q70,S70),"")</f>
        <v/>
      </c>
      <c r="U70" s="5"/>
      <c r="V70" s="42" t="str">
        <f>IF(AND(B70&lt;&gt;""),IF($U$9&lt;&gt;0,VLOOKUP(U70/$U$9*100,TRANSMUTATION_TABLE!$A$2:$B$102,2),""),"")</f>
        <v/>
      </c>
      <c r="W70" s="5"/>
      <c r="X70" s="42" t="str">
        <f>IF(AND(B70&lt;&gt;""),IF($W$9&lt;&gt;0,VLOOKUP(W70/$W$9*100,TRANSMUTATION_TABLE!$A$2:$B$102,2),""),"")</f>
        <v/>
      </c>
      <c r="Y70" s="5"/>
      <c r="Z70" s="42" t="str">
        <f>IF(AND(B70&lt;&gt;""),IF($Y$9&lt;&gt;0,VLOOKUP(Y70/$Y$9*100,TRANSMUTATION_TABLE!$A$2:$B$102,2),""),"")</f>
        <v/>
      </c>
      <c r="AA70" s="5"/>
      <c r="AB70" s="43" t="str">
        <f>IF(AND(B70&lt;&gt;""),IF($AA$9&lt;&gt;0,VLOOKUP(AA70/$AA$9*100,TRANSMUTATION_TABLE!$A$2:$B$102,2),""),"")</f>
        <v/>
      </c>
      <c r="AC70" s="48" t="str">
        <f t="shared" ref="AC70:AC79" si="6">IF(COUNT(V70,X70,Z70,AB70)&gt;0,AVERAGE(V70,X70,Z70,AB70),"")</f>
        <v/>
      </c>
      <c r="AD70" s="53"/>
      <c r="AE70" s="42" t="str">
        <f>IF(AND(B70&lt;&gt;""),IF($AD$9&lt;&gt;0,VLOOKUP(AD70/$AD$9*100,TRANSMUTATION_TABLE!$A$2:$B$102,2),""),"")</f>
        <v/>
      </c>
      <c r="AF70" s="50">
        <f>Attendance!BW67</f>
        <v>0</v>
      </c>
      <c r="AG70" s="45" t="str">
        <f>IF(AND(B70&lt;&gt;""),IF($AF$9&lt;&gt;0,VLOOKUP(AF70/$AF$9*100,TRANSMUTATION_TABLE!$A$2:$B$102,2),""),"")</f>
        <v/>
      </c>
      <c r="AH70" s="5"/>
      <c r="AI70" s="45" t="str">
        <f>IF(AND(B70&lt;&gt;""),IF($AH$9&lt;&gt;0,VLOOKUP(AH70/$AH$9*100,TRANSMUTATION_TABLE!$A$2:$B$102,2),""),"")</f>
        <v/>
      </c>
      <c r="AJ70" s="45" t="str">
        <f>IF(OR(K70&lt;&gt;"",T70&lt;&gt;"",AC70&lt;&gt;"",AG70&lt;&gt;"",AI70&lt;&gt;""),SUM(PRODUCT(K70,IF(Settings!$I$17&lt;&gt;0,Settings!$I$17/100,0)),PRODUCT(T70,IF(Settings!$I$18&lt;&gt;0,Settings!$I$18/100,0)),PRODUCT(AC70,IF(Settings!$I$19&lt;&gt;0,Settings!$I$19/100,0)),PRODUCT(AG70,IF(Settings!$I$20&lt;&gt;0,Settings!$I$20/100,0)),PRODUCT(AI70,IF(Settings!$I$21&lt;&gt;0,Settings!$I$21/100,0))),"")</f>
        <v/>
      </c>
      <c r="AK70" s="45" t="str">
        <f>Prelim!AJ70</f>
        <v/>
      </c>
      <c r="AL70" s="45" t="str">
        <f>Midterm!AL70</f>
        <v/>
      </c>
      <c r="AM70" s="45" t="str">
        <f>SemiFinal!AM70</f>
        <v/>
      </c>
      <c r="AN70" s="46" t="str">
        <f>IF(AJ70&lt;&gt;"",AVERAGE(AVERAGE(Prelim!AJ70,Midterm!AL70),AVERAGE(SemiFinal!AM70,Final!AJ70)),"")</f>
        <v/>
      </c>
      <c r="AO70" s="45">
        <f t="shared" ref="AO70:AO79" si="7">IF(AN70&gt;3,5,AN70)</f>
        <v>5</v>
      </c>
      <c r="AP70" s="37"/>
      <c r="AQ70" s="37"/>
      <c r="AR70" s="37"/>
    </row>
    <row r="71" spans="1:44" ht="14.25" customHeight="1" thickBot="1" x14ac:dyDescent="0.35">
      <c r="A71" s="54"/>
      <c r="B71" s="90"/>
      <c r="C71" s="5"/>
      <c r="D71" s="42" t="str">
        <f>IF(AND(B71&lt;&gt;""),IF($C$9&lt;&gt;0,VLOOKUP(C71/$C$9*100,TRANSMUTATION_TABLE!$A$2:$B$102,2),""),"")</f>
        <v/>
      </c>
      <c r="E71" s="5"/>
      <c r="F71" s="42" t="str">
        <f>IF(AND(B71&lt;&gt;""),IF($E$9&lt;&gt;0,VLOOKUP(E71/$E$9*100,TRANSMUTATION_TABLE!$A$2:$B$102,2),""),"")</f>
        <v/>
      </c>
      <c r="G71" s="5"/>
      <c r="H71" s="42" t="str">
        <f>IF(AND(B71&lt;&gt;""),IF($G$9&lt;&gt;0,VLOOKUP(G71/$G$9*100,TRANSMUTATION_TABLE!$A$2:$B$102,2),""),"")</f>
        <v/>
      </c>
      <c r="I71" s="5"/>
      <c r="J71" s="43" t="str">
        <f>IF(AND(B71&lt;&gt;""),IF($I$9&lt;&gt;0,VLOOKUP(I71/$I$9*100,TRANSMUTATION_TABLE!$A$2:$B$102,2),""),"")</f>
        <v/>
      </c>
      <c r="K71" s="48" t="str">
        <f t="shared" si="4"/>
        <v/>
      </c>
      <c r="L71" s="5"/>
      <c r="M71" s="42" t="str">
        <f>IF(AND(B71&lt;&gt;""),IF($L$9&lt;&gt;0,VLOOKUP(L71/$L$9*100,TRANSMUTATION_TABLE!$A$2:$B$102,2),""),"")</f>
        <v/>
      </c>
      <c r="N71" s="5"/>
      <c r="O71" s="42" t="str">
        <f>IF(AND(B71&lt;&gt;""),IF($N$9&lt;&gt;0,VLOOKUP(N71/$N$9*100,TRANSMUTATION_TABLE!$A$2:$B$102,2),""),"")</f>
        <v/>
      </c>
      <c r="P71" s="5"/>
      <c r="Q71" s="42" t="str">
        <f>IF(AND(B71&lt;&gt;""),IF($P$9&lt;&gt;0,VLOOKUP(P71/$P$9*100,TRANSMUTATION_TABLE!$A$2:$B$102,2),""),"")</f>
        <v/>
      </c>
      <c r="R71" s="5"/>
      <c r="S71" s="43" t="str">
        <f>IF(AND(B71&lt;&gt;""),IF($R$9&lt;&gt;0,VLOOKUP(R71/$R$9*100,TRANSMUTATION_TABLE!$A$2:$B$102,2),""),"")</f>
        <v/>
      </c>
      <c r="T71" s="48" t="str">
        <f t="shared" si="5"/>
        <v/>
      </c>
      <c r="U71" s="5"/>
      <c r="V71" s="42" t="str">
        <f>IF(AND(B71&lt;&gt;""),IF($U$9&lt;&gt;0,VLOOKUP(U71/$U$9*100,TRANSMUTATION_TABLE!$A$2:$B$102,2),""),"")</f>
        <v/>
      </c>
      <c r="W71" s="5"/>
      <c r="X71" s="42" t="str">
        <f>IF(AND(B71&lt;&gt;""),IF($W$9&lt;&gt;0,VLOOKUP(W71/$W$9*100,TRANSMUTATION_TABLE!$A$2:$B$102,2),""),"")</f>
        <v/>
      </c>
      <c r="Y71" s="5"/>
      <c r="Z71" s="42" t="str">
        <f>IF(AND(B71&lt;&gt;""),IF($Y$9&lt;&gt;0,VLOOKUP(Y71/$Y$9*100,TRANSMUTATION_TABLE!$A$2:$B$102,2),""),"")</f>
        <v/>
      </c>
      <c r="AA71" s="5"/>
      <c r="AB71" s="43" t="str">
        <f>IF(AND(B71&lt;&gt;""),IF($AA$9&lt;&gt;0,VLOOKUP(AA71/$AA$9*100,TRANSMUTATION_TABLE!$A$2:$B$102,2),""),"")</f>
        <v/>
      </c>
      <c r="AC71" s="48" t="str">
        <f t="shared" si="6"/>
        <v/>
      </c>
      <c r="AD71" s="53"/>
      <c r="AE71" s="42" t="str">
        <f>IF(AND(B71&lt;&gt;""),IF($AD$9&lt;&gt;0,VLOOKUP(AD71/$AD$9*100,TRANSMUTATION_TABLE!$A$2:$B$102,2),""),"")</f>
        <v/>
      </c>
      <c r="AF71" s="50">
        <f>Attendance!BW68</f>
        <v>0</v>
      </c>
      <c r="AG71" s="45" t="str">
        <f>IF(AND(B71&lt;&gt;""),IF($AF$9&lt;&gt;0,VLOOKUP(AF71/$AF$9*100,TRANSMUTATION_TABLE!$A$2:$B$102,2),""),"")</f>
        <v/>
      </c>
      <c r="AH71" s="5"/>
      <c r="AI71" s="45" t="str">
        <f>IF(AND(B71&lt;&gt;""),IF($AH$9&lt;&gt;0,VLOOKUP(AH71/$AH$9*100,TRANSMUTATION_TABLE!$A$2:$B$102,2),""),"")</f>
        <v/>
      </c>
      <c r="AJ71" s="45" t="str">
        <f>IF(OR(K71&lt;&gt;"",T71&lt;&gt;"",AC71&lt;&gt;"",AG71&lt;&gt;"",AI71&lt;&gt;""),SUM(PRODUCT(K71,IF(Settings!$I$17&lt;&gt;0,Settings!$I$17/100,0)),PRODUCT(T71,IF(Settings!$I$18&lt;&gt;0,Settings!$I$18/100,0)),PRODUCT(AC71,IF(Settings!$I$19&lt;&gt;0,Settings!$I$19/100,0)),PRODUCT(AG71,IF(Settings!$I$20&lt;&gt;0,Settings!$I$20/100,0)),PRODUCT(AI71,IF(Settings!$I$21&lt;&gt;0,Settings!$I$21/100,0))),"")</f>
        <v/>
      </c>
      <c r="AK71" s="45" t="str">
        <f>Prelim!AJ71</f>
        <v/>
      </c>
      <c r="AL71" s="45" t="str">
        <f>Midterm!AL71</f>
        <v/>
      </c>
      <c r="AM71" s="45" t="str">
        <f>SemiFinal!AM71</f>
        <v/>
      </c>
      <c r="AN71" s="46" t="str">
        <f>IF(AJ71&lt;&gt;"",AVERAGE(AVERAGE(Prelim!AJ71,Midterm!AL71),AVERAGE(SemiFinal!AM71,Final!AJ71)),"")</f>
        <v/>
      </c>
      <c r="AO71" s="45">
        <f t="shared" si="7"/>
        <v>5</v>
      </c>
      <c r="AP71" s="37"/>
      <c r="AQ71" s="37"/>
      <c r="AR71" s="37"/>
    </row>
    <row r="72" spans="1:44" ht="14.25" customHeight="1" thickBot="1" x14ac:dyDescent="0.35">
      <c r="A72" s="54"/>
      <c r="B72" s="90"/>
      <c r="C72" s="5"/>
      <c r="D72" s="42" t="str">
        <f>IF(AND(B72&lt;&gt;""),IF($C$9&lt;&gt;0,VLOOKUP(C72/$C$9*100,TRANSMUTATION_TABLE!$A$2:$B$102,2),""),"")</f>
        <v/>
      </c>
      <c r="E72" s="5"/>
      <c r="F72" s="42" t="str">
        <f>IF(AND(B72&lt;&gt;""),IF($E$9&lt;&gt;0,VLOOKUP(E72/$E$9*100,TRANSMUTATION_TABLE!$A$2:$B$102,2),""),"")</f>
        <v/>
      </c>
      <c r="G72" s="5"/>
      <c r="H72" s="42" t="str">
        <f>IF(AND(B72&lt;&gt;""),IF($G$9&lt;&gt;0,VLOOKUP(G72/$G$9*100,TRANSMUTATION_TABLE!$A$2:$B$102,2),""),"")</f>
        <v/>
      </c>
      <c r="I72" s="5"/>
      <c r="J72" s="43" t="str">
        <f>IF(AND(B72&lt;&gt;""),IF($I$9&lt;&gt;0,VLOOKUP(I72/$I$9*100,TRANSMUTATION_TABLE!$A$2:$B$102,2),""),"")</f>
        <v/>
      </c>
      <c r="K72" s="48" t="str">
        <f t="shared" si="4"/>
        <v/>
      </c>
      <c r="L72" s="5"/>
      <c r="M72" s="42" t="str">
        <f>IF(AND(B72&lt;&gt;""),IF($L$9&lt;&gt;0,VLOOKUP(L72/$L$9*100,TRANSMUTATION_TABLE!$A$2:$B$102,2),""),"")</f>
        <v/>
      </c>
      <c r="N72" s="5"/>
      <c r="O72" s="42" t="str">
        <f>IF(AND(B72&lt;&gt;""),IF($N$9&lt;&gt;0,VLOOKUP(N72/$N$9*100,TRANSMUTATION_TABLE!$A$2:$B$102,2),""),"")</f>
        <v/>
      </c>
      <c r="P72" s="5"/>
      <c r="Q72" s="42" t="str">
        <f>IF(AND(B72&lt;&gt;""),IF($P$9&lt;&gt;0,VLOOKUP(P72/$P$9*100,TRANSMUTATION_TABLE!$A$2:$B$102,2),""),"")</f>
        <v/>
      </c>
      <c r="R72" s="5"/>
      <c r="S72" s="43" t="str">
        <f>IF(AND(B72&lt;&gt;""),IF($R$9&lt;&gt;0,VLOOKUP(R72/$R$9*100,TRANSMUTATION_TABLE!$A$2:$B$102,2),""),"")</f>
        <v/>
      </c>
      <c r="T72" s="48" t="str">
        <f t="shared" si="5"/>
        <v/>
      </c>
      <c r="U72" s="5"/>
      <c r="V72" s="42" t="str">
        <f>IF(AND(B72&lt;&gt;""),IF($U$9&lt;&gt;0,VLOOKUP(U72/$U$9*100,TRANSMUTATION_TABLE!$A$2:$B$102,2),""),"")</f>
        <v/>
      </c>
      <c r="W72" s="5"/>
      <c r="X72" s="42" t="str">
        <f>IF(AND(B72&lt;&gt;""),IF($W$9&lt;&gt;0,VLOOKUP(W72/$W$9*100,TRANSMUTATION_TABLE!$A$2:$B$102,2),""),"")</f>
        <v/>
      </c>
      <c r="Y72" s="5"/>
      <c r="Z72" s="42" t="str">
        <f>IF(AND(B72&lt;&gt;""),IF($Y$9&lt;&gt;0,VLOOKUP(Y72/$Y$9*100,TRANSMUTATION_TABLE!$A$2:$B$102,2),""),"")</f>
        <v/>
      </c>
      <c r="AA72" s="5"/>
      <c r="AB72" s="43" t="str">
        <f>IF(AND(B72&lt;&gt;""),IF($AA$9&lt;&gt;0,VLOOKUP(AA72/$AA$9*100,TRANSMUTATION_TABLE!$A$2:$B$102,2),""),"")</f>
        <v/>
      </c>
      <c r="AC72" s="48" t="str">
        <f t="shared" si="6"/>
        <v/>
      </c>
      <c r="AD72" s="53"/>
      <c r="AE72" s="42" t="str">
        <f>IF(AND(B72&lt;&gt;""),IF($AD$9&lt;&gt;0,VLOOKUP(AD72/$AD$9*100,TRANSMUTATION_TABLE!$A$2:$B$102,2),""),"")</f>
        <v/>
      </c>
      <c r="AF72" s="50">
        <f>Attendance!BW69</f>
        <v>0</v>
      </c>
      <c r="AG72" s="45" t="str">
        <f>IF(AND(B72&lt;&gt;""),IF($AF$9&lt;&gt;0,VLOOKUP(AF72/$AF$9*100,TRANSMUTATION_TABLE!$A$2:$B$102,2),""),"")</f>
        <v/>
      </c>
      <c r="AH72" s="5"/>
      <c r="AI72" s="45" t="str">
        <f>IF(AND(B72&lt;&gt;""),IF($AH$9&lt;&gt;0,VLOOKUP(AH72/$AH$9*100,TRANSMUTATION_TABLE!$A$2:$B$102,2),""),"")</f>
        <v/>
      </c>
      <c r="AJ72" s="45" t="str">
        <f>IF(OR(K72&lt;&gt;"",T72&lt;&gt;"",AC72&lt;&gt;"",AG72&lt;&gt;"",AI72&lt;&gt;""),SUM(PRODUCT(K72,IF(Settings!$I$17&lt;&gt;0,Settings!$I$17/100,0)),PRODUCT(T72,IF(Settings!$I$18&lt;&gt;0,Settings!$I$18/100,0)),PRODUCT(AC72,IF(Settings!$I$19&lt;&gt;0,Settings!$I$19/100,0)),PRODUCT(AG72,IF(Settings!$I$20&lt;&gt;0,Settings!$I$20/100,0)),PRODUCT(AI72,IF(Settings!$I$21&lt;&gt;0,Settings!$I$21/100,0))),"")</f>
        <v/>
      </c>
      <c r="AK72" s="45" t="str">
        <f>Prelim!AJ72</f>
        <v/>
      </c>
      <c r="AL72" s="45" t="str">
        <f>Midterm!AL72</f>
        <v/>
      </c>
      <c r="AM72" s="45" t="str">
        <f>SemiFinal!AM72</f>
        <v/>
      </c>
      <c r="AN72" s="46" t="str">
        <f>IF(AJ72&lt;&gt;"",AVERAGE(AVERAGE(Prelim!AJ72,Midterm!AL72),AVERAGE(SemiFinal!AM72,Final!AJ72)),"")</f>
        <v/>
      </c>
      <c r="AO72" s="45">
        <f t="shared" si="7"/>
        <v>5</v>
      </c>
      <c r="AP72" s="37"/>
      <c r="AQ72" s="37"/>
      <c r="AR72" s="37"/>
    </row>
    <row r="73" spans="1:44" ht="14.25" customHeight="1" thickBot="1" x14ac:dyDescent="0.35">
      <c r="A73" s="54"/>
      <c r="B73" s="90"/>
      <c r="C73" s="5"/>
      <c r="D73" s="42" t="str">
        <f>IF(AND(B73&lt;&gt;""),IF($C$9&lt;&gt;0,VLOOKUP(C73/$C$9*100,TRANSMUTATION_TABLE!$A$2:$B$102,2),""),"")</f>
        <v/>
      </c>
      <c r="E73" s="5"/>
      <c r="F73" s="42" t="str">
        <f>IF(AND(B73&lt;&gt;""),IF($E$9&lt;&gt;0,VLOOKUP(E73/$E$9*100,TRANSMUTATION_TABLE!$A$2:$B$102,2),""),"")</f>
        <v/>
      </c>
      <c r="G73" s="5"/>
      <c r="H73" s="42" t="str">
        <f>IF(AND(B73&lt;&gt;""),IF($G$9&lt;&gt;0,VLOOKUP(G73/$G$9*100,TRANSMUTATION_TABLE!$A$2:$B$102,2),""),"")</f>
        <v/>
      </c>
      <c r="I73" s="5"/>
      <c r="J73" s="43" t="str">
        <f>IF(AND(B73&lt;&gt;""),IF($I$9&lt;&gt;0,VLOOKUP(I73/$I$9*100,TRANSMUTATION_TABLE!$A$2:$B$102,2),""),"")</f>
        <v/>
      </c>
      <c r="K73" s="48" t="str">
        <f t="shared" si="4"/>
        <v/>
      </c>
      <c r="L73" s="5"/>
      <c r="M73" s="42" t="str">
        <f>IF(AND(B73&lt;&gt;""),IF($L$9&lt;&gt;0,VLOOKUP(L73/$L$9*100,TRANSMUTATION_TABLE!$A$2:$B$102,2),""),"")</f>
        <v/>
      </c>
      <c r="N73" s="5"/>
      <c r="O73" s="42" t="str">
        <f>IF(AND(B73&lt;&gt;""),IF($N$9&lt;&gt;0,VLOOKUP(N73/$N$9*100,TRANSMUTATION_TABLE!$A$2:$B$102,2),""),"")</f>
        <v/>
      </c>
      <c r="P73" s="5"/>
      <c r="Q73" s="42" t="str">
        <f>IF(AND(B73&lt;&gt;""),IF($P$9&lt;&gt;0,VLOOKUP(P73/$P$9*100,TRANSMUTATION_TABLE!$A$2:$B$102,2),""),"")</f>
        <v/>
      </c>
      <c r="R73" s="5"/>
      <c r="S73" s="43" t="str">
        <f>IF(AND(B73&lt;&gt;""),IF($R$9&lt;&gt;0,VLOOKUP(R73/$R$9*100,TRANSMUTATION_TABLE!$A$2:$B$102,2),""),"")</f>
        <v/>
      </c>
      <c r="T73" s="48" t="str">
        <f t="shared" si="5"/>
        <v/>
      </c>
      <c r="U73" s="5"/>
      <c r="V73" s="42" t="str">
        <f>IF(AND(B73&lt;&gt;""),IF($U$9&lt;&gt;0,VLOOKUP(U73/$U$9*100,TRANSMUTATION_TABLE!$A$2:$B$102,2),""),"")</f>
        <v/>
      </c>
      <c r="W73" s="5"/>
      <c r="X73" s="42" t="str">
        <f>IF(AND(B73&lt;&gt;""),IF($W$9&lt;&gt;0,VLOOKUP(W73/$W$9*100,TRANSMUTATION_TABLE!$A$2:$B$102,2),""),"")</f>
        <v/>
      </c>
      <c r="Y73" s="5"/>
      <c r="Z73" s="42" t="str">
        <f>IF(AND(B73&lt;&gt;""),IF($Y$9&lt;&gt;0,VLOOKUP(Y73/$Y$9*100,TRANSMUTATION_TABLE!$A$2:$B$102,2),""),"")</f>
        <v/>
      </c>
      <c r="AA73" s="5"/>
      <c r="AB73" s="43" t="str">
        <f>IF(AND(B73&lt;&gt;""),IF($AA$9&lt;&gt;0,VLOOKUP(AA73/$AA$9*100,TRANSMUTATION_TABLE!$A$2:$B$102,2),""),"")</f>
        <v/>
      </c>
      <c r="AC73" s="48" t="str">
        <f t="shared" si="6"/>
        <v/>
      </c>
      <c r="AD73" s="53"/>
      <c r="AE73" s="42" t="str">
        <f>IF(AND(B73&lt;&gt;""),IF($AD$9&lt;&gt;0,VLOOKUP(AD73/$AD$9*100,TRANSMUTATION_TABLE!$A$2:$B$102,2),""),"")</f>
        <v/>
      </c>
      <c r="AF73" s="50">
        <f>Attendance!BW70</f>
        <v>0</v>
      </c>
      <c r="AG73" s="45" t="str">
        <f>IF(AND(B73&lt;&gt;""),IF($AF$9&lt;&gt;0,VLOOKUP(AF73/$AF$9*100,TRANSMUTATION_TABLE!$A$2:$B$102,2),""),"")</f>
        <v/>
      </c>
      <c r="AH73" s="5"/>
      <c r="AI73" s="45" t="str">
        <f>IF(AND(B73&lt;&gt;""),IF($AH$9&lt;&gt;0,VLOOKUP(AH73/$AH$9*100,TRANSMUTATION_TABLE!$A$2:$B$102,2),""),"")</f>
        <v/>
      </c>
      <c r="AJ73" s="45" t="str">
        <f>IF(OR(K73&lt;&gt;"",T73&lt;&gt;"",AC73&lt;&gt;"",AG73&lt;&gt;"",AI73&lt;&gt;""),SUM(PRODUCT(K73,IF(Settings!$I$17&lt;&gt;0,Settings!$I$17/100,0)),PRODUCT(T73,IF(Settings!$I$18&lt;&gt;0,Settings!$I$18/100,0)),PRODUCT(AC73,IF(Settings!$I$19&lt;&gt;0,Settings!$I$19/100,0)),PRODUCT(AG73,IF(Settings!$I$20&lt;&gt;0,Settings!$I$20/100,0)),PRODUCT(AI73,IF(Settings!$I$21&lt;&gt;0,Settings!$I$21/100,0))),"")</f>
        <v/>
      </c>
      <c r="AK73" s="45" t="str">
        <f>Prelim!AJ73</f>
        <v/>
      </c>
      <c r="AL73" s="45" t="str">
        <f>Midterm!AL73</f>
        <v/>
      </c>
      <c r="AM73" s="45" t="str">
        <f>SemiFinal!AM73</f>
        <v/>
      </c>
      <c r="AN73" s="46" t="str">
        <f>IF(AJ73&lt;&gt;"",AVERAGE(AVERAGE(Prelim!AJ73,Midterm!AL73),AVERAGE(SemiFinal!AM73,Final!AJ73)),"")</f>
        <v/>
      </c>
      <c r="AO73" s="45">
        <f t="shared" si="7"/>
        <v>5</v>
      </c>
      <c r="AP73" s="37"/>
      <c r="AQ73" s="37"/>
      <c r="AR73" s="37"/>
    </row>
    <row r="74" spans="1:44" ht="14.25" customHeight="1" thickBot="1" x14ac:dyDescent="0.35">
      <c r="A74" s="54" t="str">
        <f>IF(Attendance!A71=0,"",Attendance!A71)</f>
        <v/>
      </c>
      <c r="B74" s="61" t="str">
        <f>IF(Attendance!C71=0,"",Attendance!C71)</f>
        <v/>
      </c>
      <c r="C74" s="55"/>
      <c r="D74" s="42" t="str">
        <f>IF(AND(B74&lt;&gt;""),IF($C$9&lt;&gt;0,VLOOKUP(C74/$C$9*100,TRANSMUTATION_TABLE!$A$2:$B$102,2),""),"")</f>
        <v/>
      </c>
      <c r="E74" s="55"/>
      <c r="F74" s="42" t="str">
        <f>IF(AND(B74&lt;&gt;""),IF($E$9&lt;&gt;0,VLOOKUP(E74/$E$9*100,TRANSMUTATION_TABLE!$A$2:$B$102,2),""),"")</f>
        <v/>
      </c>
      <c r="G74" s="55"/>
      <c r="H74" s="42" t="str">
        <f>IF(AND(B74&lt;&gt;""),IF($G$9&lt;&gt;0,VLOOKUP(G74/$G$9*100,TRANSMUTATION_TABLE!$A$2:$B$102,2),""),"")</f>
        <v/>
      </c>
      <c r="I74" s="55"/>
      <c r="J74" s="43" t="str">
        <f>IF(AND(B74&lt;&gt;""),IF($I$9&lt;&gt;0,VLOOKUP(I74/$I$9*100,TRANSMUTATION_TABLE!$A$2:$B$102,2),""),"")</f>
        <v/>
      </c>
      <c r="K74" s="48" t="str">
        <f t="shared" si="4"/>
        <v/>
      </c>
      <c r="L74" s="55"/>
      <c r="M74" s="42" t="str">
        <f>IF(AND(B74&lt;&gt;""),IF($L$9&lt;&gt;0,VLOOKUP(L74/$L$9*100,TRANSMUTATION_TABLE!$A$2:$B$102,2),""),"")</f>
        <v/>
      </c>
      <c r="N74" s="55"/>
      <c r="O74" s="42" t="str">
        <f>IF(AND(B74&lt;&gt;""),IF($N$9&lt;&gt;0,VLOOKUP(N74/$N$9*100,TRANSMUTATION_TABLE!$A$2:$B$102,2),""),"")</f>
        <v/>
      </c>
      <c r="P74" s="55"/>
      <c r="Q74" s="42" t="str">
        <f>IF(AND(B74&lt;&gt;""),IF($P$9&lt;&gt;0,VLOOKUP(P74/$P$9*100,TRANSMUTATION_TABLE!$A$2:$B$102,2),""),"")</f>
        <v/>
      </c>
      <c r="R74" s="55"/>
      <c r="S74" s="43" t="str">
        <f>IF(AND(B74&lt;&gt;""),IF($R$9&lt;&gt;0,VLOOKUP(R74/$R$9*100,TRANSMUTATION_TABLE!$A$2:$B$102,2),""),"")</f>
        <v/>
      </c>
      <c r="T74" s="48" t="str">
        <f t="shared" si="5"/>
        <v/>
      </c>
      <c r="U74" s="55"/>
      <c r="V74" s="42" t="str">
        <f>IF(AND(B74&lt;&gt;""),IF($U$9&lt;&gt;0,VLOOKUP(U74/$U$9*100,TRANSMUTATION_TABLE!$A$2:$B$102,2),""),"")</f>
        <v/>
      </c>
      <c r="W74" s="55"/>
      <c r="X74" s="42" t="str">
        <f>IF(AND(B74&lt;&gt;""),IF($W$9&lt;&gt;0,VLOOKUP(W74/$W$9*100,TRANSMUTATION_TABLE!$A$2:$B$102,2),""),"")</f>
        <v/>
      </c>
      <c r="Y74" s="55"/>
      <c r="Z74" s="42" t="str">
        <f>IF(AND(B74&lt;&gt;""),IF($Y$9&lt;&gt;0,VLOOKUP(Y74/$Y$9*100,TRANSMUTATION_TABLE!$A$2:$B$102,2),""),"")</f>
        <v/>
      </c>
      <c r="AA74" s="55"/>
      <c r="AB74" s="43" t="str">
        <f>IF(AND(B74&lt;&gt;""),IF($AA$9&lt;&gt;0,VLOOKUP(AA74/$AA$9*100,TRANSMUTATION_TABLE!$A$2:$B$102,2),""),"")</f>
        <v/>
      </c>
      <c r="AC74" s="48" t="str">
        <f t="shared" si="6"/>
        <v/>
      </c>
      <c r="AD74" s="53"/>
      <c r="AE74" s="42" t="str">
        <f>IF(AND(B74&lt;&gt;""),IF($AD$9&lt;&gt;0,VLOOKUP(AD74/$AD$9*100,TRANSMUTATION_TABLE!$A$2:$B$102,2),""),"")</f>
        <v/>
      </c>
      <c r="AF74" s="50">
        <f>Attendance!BW71</f>
        <v>0</v>
      </c>
      <c r="AG74" s="45" t="str">
        <f>IF(AND(B74&lt;&gt;""),IF($AF$9&lt;&gt;0,VLOOKUP(AF74/$AF$9*100,TRANSMUTATION_TABLE!$A$2:$B$102,2),""),"")</f>
        <v/>
      </c>
      <c r="AH74" s="55"/>
      <c r="AI74" s="45" t="str">
        <f>IF(AND(B74&lt;&gt;""),IF($AH$9&lt;&gt;0,VLOOKUP(AH74/$AH$9*100,TRANSMUTATION_TABLE!$A$2:$B$102,2),""),"")</f>
        <v/>
      </c>
      <c r="AJ74" s="45" t="str">
        <f>IF(OR(K74&lt;&gt;"",T74&lt;&gt;"",AC74&lt;&gt;"",AG74&lt;&gt;"",AI74&lt;&gt;""),SUM(PRODUCT(K74,IF(Settings!$I$17&lt;&gt;0,Settings!$I$17/100,0)),PRODUCT(T74,IF(Settings!$I$18&lt;&gt;0,Settings!$I$18/100,0)),PRODUCT(AC74,IF(Settings!$I$19&lt;&gt;0,Settings!$I$19/100,0)),PRODUCT(AG74,IF(Settings!$I$20&lt;&gt;0,Settings!$I$20/100,0)),PRODUCT(AI74,IF(Settings!$I$21&lt;&gt;0,Settings!$I$21/100,0))),"")</f>
        <v/>
      </c>
      <c r="AK74" s="45" t="str">
        <f>Prelim!AJ74</f>
        <v/>
      </c>
      <c r="AL74" s="45" t="str">
        <f>Midterm!AL74</f>
        <v/>
      </c>
      <c r="AM74" s="45" t="str">
        <f>SemiFinal!AM74</f>
        <v/>
      </c>
      <c r="AN74" s="46" t="str">
        <f>IF(AJ74&lt;&gt;"",AVERAGE(AVERAGE(Prelim!AJ74,Midterm!AL74),AVERAGE(SemiFinal!AM74,Final!AJ74)),"")</f>
        <v/>
      </c>
      <c r="AO74" s="45">
        <f t="shared" si="7"/>
        <v>5</v>
      </c>
      <c r="AP74" s="37"/>
      <c r="AQ74" s="37"/>
      <c r="AR74" s="37"/>
    </row>
    <row r="75" spans="1:44" ht="14.25" customHeight="1" thickBot="1" x14ac:dyDescent="0.35">
      <c r="A75" s="54" t="str">
        <f>IF(Attendance!A72=0,"",Attendance!A72)</f>
        <v/>
      </c>
      <c r="B75" s="90" t="str">
        <f>IF(Attendance!C72=0,"",Attendance!C72)</f>
        <v/>
      </c>
      <c r="C75" s="5"/>
      <c r="D75" s="42" t="str">
        <f>IF(AND(B75&lt;&gt;""),IF($C$9&lt;&gt;0,VLOOKUP(C75/$C$9*100,TRANSMUTATION_TABLE!$A$2:$B$102,2),""),"")</f>
        <v/>
      </c>
      <c r="E75" s="5"/>
      <c r="F75" s="42" t="str">
        <f>IF(AND(B75&lt;&gt;""),IF($E$9&lt;&gt;0,VLOOKUP(E75/$E$9*100,TRANSMUTATION_TABLE!$A$2:$B$102,2),""),"")</f>
        <v/>
      </c>
      <c r="G75" s="5"/>
      <c r="H75" s="42" t="str">
        <f>IF(AND(B75&lt;&gt;""),IF($G$9&lt;&gt;0,VLOOKUP(G75/$G$9*100,TRANSMUTATION_TABLE!$A$2:$B$102,2),""),"")</f>
        <v/>
      </c>
      <c r="I75" s="5"/>
      <c r="J75" s="43" t="str">
        <f>IF(AND(B75&lt;&gt;""),IF($I$9&lt;&gt;0,VLOOKUP(I75/$I$9*100,TRANSMUTATION_TABLE!$A$2:$B$102,2),""),"")</f>
        <v/>
      </c>
      <c r="K75" s="48" t="str">
        <f t="shared" si="4"/>
        <v/>
      </c>
      <c r="L75" s="5"/>
      <c r="M75" s="42" t="str">
        <f>IF(AND(B75&lt;&gt;""),IF($L$9&lt;&gt;0,VLOOKUP(L75/$L$9*100,TRANSMUTATION_TABLE!$A$2:$B$102,2),""),"")</f>
        <v/>
      </c>
      <c r="N75" s="5"/>
      <c r="O75" s="42" t="str">
        <f>IF(AND(B75&lt;&gt;""),IF($N$9&lt;&gt;0,VLOOKUP(N75/$N$9*100,TRANSMUTATION_TABLE!$A$2:$B$102,2),""),"")</f>
        <v/>
      </c>
      <c r="P75" s="5"/>
      <c r="Q75" s="42" t="str">
        <f>IF(AND(B75&lt;&gt;""),IF($P$9&lt;&gt;0,VLOOKUP(P75/$P$9*100,TRANSMUTATION_TABLE!$A$2:$B$102,2),""),"")</f>
        <v/>
      </c>
      <c r="R75" s="5"/>
      <c r="S75" s="43" t="str">
        <f>IF(AND(B75&lt;&gt;""),IF($R$9&lt;&gt;0,VLOOKUP(R75/$R$9*100,TRANSMUTATION_TABLE!$A$2:$B$102,2),""),"")</f>
        <v/>
      </c>
      <c r="T75" s="48" t="str">
        <f t="shared" si="5"/>
        <v/>
      </c>
      <c r="U75" s="5"/>
      <c r="V75" s="42" t="str">
        <f>IF(AND(B75&lt;&gt;""),IF($U$9&lt;&gt;0,VLOOKUP(U75/$U$9*100,TRANSMUTATION_TABLE!$A$2:$B$102,2),""),"")</f>
        <v/>
      </c>
      <c r="W75" s="5"/>
      <c r="X75" s="42" t="str">
        <f>IF(AND(B75&lt;&gt;""),IF($W$9&lt;&gt;0,VLOOKUP(W75/$W$9*100,TRANSMUTATION_TABLE!$A$2:$B$102,2),""),"")</f>
        <v/>
      </c>
      <c r="Y75" s="5"/>
      <c r="Z75" s="42" t="str">
        <f>IF(AND(B75&lt;&gt;""),IF($Y$9&lt;&gt;0,VLOOKUP(Y75/$Y$9*100,TRANSMUTATION_TABLE!$A$2:$B$102,2),""),"")</f>
        <v/>
      </c>
      <c r="AA75" s="5"/>
      <c r="AB75" s="43" t="str">
        <f>IF(AND(B75&lt;&gt;""),IF($AA$9&lt;&gt;0,VLOOKUP(AA75/$AA$9*100,TRANSMUTATION_TABLE!$A$2:$B$102,2),""),"")</f>
        <v/>
      </c>
      <c r="AC75" s="48" t="str">
        <f t="shared" si="6"/>
        <v/>
      </c>
      <c r="AD75" s="53"/>
      <c r="AE75" s="42" t="str">
        <f>IF(AND(B75&lt;&gt;""),IF($AD$9&lt;&gt;0,VLOOKUP(AD75/$AD$9*100,TRANSMUTATION_TABLE!$A$2:$B$102,2),""),"")</f>
        <v/>
      </c>
      <c r="AF75" s="50">
        <f>Attendance!BW72</f>
        <v>0</v>
      </c>
      <c r="AG75" s="45" t="str">
        <f>IF(AND(B75&lt;&gt;""),IF($AF$9&lt;&gt;0,VLOOKUP(AF75/$AF$9*100,TRANSMUTATION_TABLE!$A$2:$B$102,2),""),"")</f>
        <v/>
      </c>
      <c r="AH75" s="5"/>
      <c r="AI75" s="45" t="str">
        <f>IF(AND(B75&lt;&gt;""),IF($AH$9&lt;&gt;0,VLOOKUP(AH75/$AH$9*100,TRANSMUTATION_TABLE!$A$2:$B$102,2),""),"")</f>
        <v/>
      </c>
      <c r="AJ75" s="45" t="str">
        <f>IF(OR(K75&lt;&gt;"",T75&lt;&gt;"",AC75&lt;&gt;"",AG75&lt;&gt;"",AI75&lt;&gt;""),SUM(PRODUCT(K75,IF(Settings!$I$17&lt;&gt;0,Settings!$I$17/100,0)),PRODUCT(T75,IF(Settings!$I$18&lt;&gt;0,Settings!$I$18/100,0)),PRODUCT(AC75,IF(Settings!$I$19&lt;&gt;0,Settings!$I$19/100,0)),PRODUCT(AG75,IF(Settings!$I$20&lt;&gt;0,Settings!$I$20/100,0)),PRODUCT(AI75,IF(Settings!$I$21&lt;&gt;0,Settings!$I$21/100,0))),"")</f>
        <v/>
      </c>
      <c r="AK75" s="45" t="str">
        <f>Prelim!AJ75</f>
        <v/>
      </c>
      <c r="AL75" s="45" t="str">
        <f>Midterm!AL75</f>
        <v/>
      </c>
      <c r="AM75" s="45" t="str">
        <f>SemiFinal!AM75</f>
        <v/>
      </c>
      <c r="AN75" s="46" t="str">
        <f>IF(AJ75&lt;&gt;"",AVERAGE(AVERAGE(Prelim!AJ75,Midterm!AL75),AVERAGE(SemiFinal!AM75,Final!AJ75)),"")</f>
        <v/>
      </c>
      <c r="AO75" s="45">
        <f t="shared" si="7"/>
        <v>5</v>
      </c>
      <c r="AP75" s="37"/>
      <c r="AQ75" s="37"/>
      <c r="AR75" s="37"/>
    </row>
    <row r="76" spans="1:44" ht="14.25" customHeight="1" thickBot="1" x14ac:dyDescent="0.35">
      <c r="A76" s="54" t="str">
        <f>IF(Attendance!A73=0,"",Attendance!A73)</f>
        <v/>
      </c>
      <c r="B76" s="90" t="str">
        <f>IF(Attendance!C73=0,"",Attendance!C73)</f>
        <v/>
      </c>
      <c r="C76" s="5"/>
      <c r="D76" s="42" t="str">
        <f>IF(AND(B76&lt;&gt;""),IF($C$9&lt;&gt;0,VLOOKUP(C76/$C$9*100,TRANSMUTATION_TABLE!$A$2:$B$102,2),""),"")</f>
        <v/>
      </c>
      <c r="E76" s="5"/>
      <c r="F76" s="42" t="str">
        <f>IF(AND(B76&lt;&gt;""),IF($E$9&lt;&gt;0,VLOOKUP(E76/$E$9*100,TRANSMUTATION_TABLE!$A$2:$B$102,2),""),"")</f>
        <v/>
      </c>
      <c r="G76" s="5"/>
      <c r="H76" s="42" t="str">
        <f>IF(AND(B76&lt;&gt;""),IF($G$9&lt;&gt;0,VLOOKUP(G76/$G$9*100,TRANSMUTATION_TABLE!$A$2:$B$102,2),""),"")</f>
        <v/>
      </c>
      <c r="I76" s="5"/>
      <c r="J76" s="43" t="str">
        <f>IF(AND(B76&lt;&gt;""),IF($I$9&lt;&gt;0,VLOOKUP(I76/$I$9*100,TRANSMUTATION_TABLE!$A$2:$B$102,2),""),"")</f>
        <v/>
      </c>
      <c r="K76" s="48" t="str">
        <f t="shared" si="4"/>
        <v/>
      </c>
      <c r="L76" s="5"/>
      <c r="M76" s="42" t="str">
        <f>IF(AND(B76&lt;&gt;""),IF($L$9&lt;&gt;0,VLOOKUP(L76/$L$9*100,TRANSMUTATION_TABLE!$A$2:$B$102,2),""),"")</f>
        <v/>
      </c>
      <c r="N76" s="5"/>
      <c r="O76" s="42" t="str">
        <f>IF(AND(B76&lt;&gt;""),IF($N$9&lt;&gt;0,VLOOKUP(N76/$N$9*100,TRANSMUTATION_TABLE!$A$2:$B$102,2),""),"")</f>
        <v/>
      </c>
      <c r="P76" s="5"/>
      <c r="Q76" s="42" t="str">
        <f>IF(AND(B76&lt;&gt;""),IF($P$9&lt;&gt;0,VLOOKUP(P76/$P$9*100,TRANSMUTATION_TABLE!$A$2:$B$102,2),""),"")</f>
        <v/>
      </c>
      <c r="R76" s="5"/>
      <c r="S76" s="43" t="str">
        <f>IF(AND(B76&lt;&gt;""),IF($R$9&lt;&gt;0,VLOOKUP(R76/$R$9*100,TRANSMUTATION_TABLE!$A$2:$B$102,2),""),"")</f>
        <v/>
      </c>
      <c r="T76" s="48" t="str">
        <f t="shared" si="5"/>
        <v/>
      </c>
      <c r="U76" s="5"/>
      <c r="V76" s="42" t="str">
        <f>IF(AND(B76&lt;&gt;""),IF($U$9&lt;&gt;0,VLOOKUP(U76/$U$9*100,TRANSMUTATION_TABLE!$A$2:$B$102,2),""),"")</f>
        <v/>
      </c>
      <c r="W76" s="5"/>
      <c r="X76" s="42" t="str">
        <f>IF(AND(B76&lt;&gt;""),IF($W$9&lt;&gt;0,VLOOKUP(W76/$W$9*100,TRANSMUTATION_TABLE!$A$2:$B$102,2),""),"")</f>
        <v/>
      </c>
      <c r="Y76" s="5"/>
      <c r="Z76" s="42" t="str">
        <f>IF(AND(B76&lt;&gt;""),IF($Y$9&lt;&gt;0,VLOOKUP(Y76/$Y$9*100,TRANSMUTATION_TABLE!$A$2:$B$102,2),""),"")</f>
        <v/>
      </c>
      <c r="AA76" s="5"/>
      <c r="AB76" s="43" t="str">
        <f>IF(AND(B76&lt;&gt;""),IF($AA$9&lt;&gt;0,VLOOKUP(AA76/$AA$9*100,TRANSMUTATION_TABLE!$A$2:$B$102,2),""),"")</f>
        <v/>
      </c>
      <c r="AC76" s="48" t="str">
        <f t="shared" si="6"/>
        <v/>
      </c>
      <c r="AD76" s="53"/>
      <c r="AE76" s="42" t="str">
        <f>IF(AND(B76&lt;&gt;""),IF($AD$9&lt;&gt;0,VLOOKUP(AD76/$AD$9*100,TRANSMUTATION_TABLE!$A$2:$B$102,2),""),"")</f>
        <v/>
      </c>
      <c r="AF76" s="50">
        <f>Attendance!BW73</f>
        <v>0</v>
      </c>
      <c r="AG76" s="45" t="str">
        <f>IF(AND(B76&lt;&gt;""),IF($AF$9&lt;&gt;0,VLOOKUP(AF76/$AF$9*100,TRANSMUTATION_TABLE!$A$2:$B$102,2),""),"")</f>
        <v/>
      </c>
      <c r="AH76" s="5"/>
      <c r="AI76" s="45" t="str">
        <f>IF(AND(B76&lt;&gt;""),IF($AH$9&lt;&gt;0,VLOOKUP(AH76/$AH$9*100,TRANSMUTATION_TABLE!$A$2:$B$102,2),""),"")</f>
        <v/>
      </c>
      <c r="AJ76" s="45" t="str">
        <f>IF(OR(K76&lt;&gt;"",T76&lt;&gt;"",AC76&lt;&gt;"",AG76&lt;&gt;"",AI76&lt;&gt;""),SUM(PRODUCT(K76,IF(Settings!$I$17&lt;&gt;0,Settings!$I$17/100,0)),PRODUCT(T76,IF(Settings!$I$18&lt;&gt;0,Settings!$I$18/100,0)),PRODUCT(AC76,IF(Settings!$I$19&lt;&gt;0,Settings!$I$19/100,0)),PRODUCT(AG76,IF(Settings!$I$20&lt;&gt;0,Settings!$I$20/100,0)),PRODUCT(AI76,IF(Settings!$I$21&lt;&gt;0,Settings!$I$21/100,0))),"")</f>
        <v/>
      </c>
      <c r="AK76" s="45" t="str">
        <f>Prelim!AJ76</f>
        <v/>
      </c>
      <c r="AL76" s="45" t="str">
        <f>Midterm!AL76</f>
        <v/>
      </c>
      <c r="AM76" s="45" t="str">
        <f>SemiFinal!AM76</f>
        <v/>
      </c>
      <c r="AN76" s="46" t="str">
        <f>IF(AJ76&lt;&gt;"",AVERAGE(AVERAGE(Prelim!AJ76,Midterm!AL76),AVERAGE(SemiFinal!AM76,Final!AJ76)),"")</f>
        <v/>
      </c>
      <c r="AO76" s="45">
        <f t="shared" si="7"/>
        <v>5</v>
      </c>
      <c r="AP76" s="37"/>
      <c r="AQ76" s="37"/>
      <c r="AR76" s="37"/>
    </row>
    <row r="77" spans="1:44" ht="14.25" customHeight="1" thickBot="1" x14ac:dyDescent="0.35">
      <c r="A77" s="54" t="str">
        <f>IF(Attendance!A74=0,"",Attendance!A74)</f>
        <v/>
      </c>
      <c r="B77" s="90" t="str">
        <f>IF(Attendance!C74=0,"",Attendance!C74)</f>
        <v/>
      </c>
      <c r="C77" s="5"/>
      <c r="D77" s="42" t="str">
        <f>IF(AND(B77&lt;&gt;""),IF($C$9&lt;&gt;0,VLOOKUP(C77/$C$9*100,TRANSMUTATION_TABLE!$A$2:$B$102,2),""),"")</f>
        <v/>
      </c>
      <c r="E77" s="5"/>
      <c r="F77" s="42" t="str">
        <f>IF(AND(B77&lt;&gt;""),IF($E$9&lt;&gt;0,VLOOKUP(E77/$E$9*100,TRANSMUTATION_TABLE!$A$2:$B$102,2),""),"")</f>
        <v/>
      </c>
      <c r="G77" s="5"/>
      <c r="H77" s="42" t="str">
        <f>IF(AND(B77&lt;&gt;""),IF($G$9&lt;&gt;0,VLOOKUP(G77/$G$9*100,TRANSMUTATION_TABLE!$A$2:$B$102,2),""),"")</f>
        <v/>
      </c>
      <c r="I77" s="5"/>
      <c r="J77" s="43" t="str">
        <f>IF(AND(B77&lt;&gt;""),IF($I$9&lt;&gt;0,VLOOKUP(I77/$I$9*100,TRANSMUTATION_TABLE!$A$2:$B$102,2),""),"")</f>
        <v/>
      </c>
      <c r="K77" s="48" t="str">
        <f t="shared" si="4"/>
        <v/>
      </c>
      <c r="L77" s="5"/>
      <c r="M77" s="42" t="str">
        <f>IF(AND(B77&lt;&gt;""),IF($L$9&lt;&gt;0,VLOOKUP(L77/$L$9*100,TRANSMUTATION_TABLE!$A$2:$B$102,2),""),"")</f>
        <v/>
      </c>
      <c r="N77" s="5"/>
      <c r="O77" s="42" t="str">
        <f>IF(AND(B77&lt;&gt;""),IF($N$9&lt;&gt;0,VLOOKUP(N77/$N$9*100,TRANSMUTATION_TABLE!$A$2:$B$102,2),""),"")</f>
        <v/>
      </c>
      <c r="P77" s="5"/>
      <c r="Q77" s="42" t="str">
        <f>IF(AND(B77&lt;&gt;""),IF($P$9&lt;&gt;0,VLOOKUP(P77/$P$9*100,TRANSMUTATION_TABLE!$A$2:$B$102,2),""),"")</f>
        <v/>
      </c>
      <c r="R77" s="5"/>
      <c r="S77" s="43" t="str">
        <f>IF(AND(B77&lt;&gt;""),IF($R$9&lt;&gt;0,VLOOKUP(R77/$R$9*100,TRANSMUTATION_TABLE!$A$2:$B$102,2),""),"")</f>
        <v/>
      </c>
      <c r="T77" s="48" t="str">
        <f t="shared" si="5"/>
        <v/>
      </c>
      <c r="U77" s="5"/>
      <c r="V77" s="42" t="str">
        <f>IF(AND(B77&lt;&gt;""),IF($U$9&lt;&gt;0,VLOOKUP(U77/$U$9*100,TRANSMUTATION_TABLE!$A$2:$B$102,2),""),"")</f>
        <v/>
      </c>
      <c r="W77" s="5"/>
      <c r="X77" s="42" t="str">
        <f>IF(AND(B77&lt;&gt;""),IF($W$9&lt;&gt;0,VLOOKUP(W77/$W$9*100,TRANSMUTATION_TABLE!$A$2:$B$102,2),""),"")</f>
        <v/>
      </c>
      <c r="Y77" s="5"/>
      <c r="Z77" s="42" t="str">
        <f>IF(AND(B77&lt;&gt;""),IF($Y$9&lt;&gt;0,VLOOKUP(Y77/$Y$9*100,TRANSMUTATION_TABLE!$A$2:$B$102,2),""),"")</f>
        <v/>
      </c>
      <c r="AA77" s="5"/>
      <c r="AB77" s="43" t="str">
        <f>IF(AND(B77&lt;&gt;""),IF($AA$9&lt;&gt;0,VLOOKUP(AA77/$AA$9*100,TRANSMUTATION_TABLE!$A$2:$B$102,2),""),"")</f>
        <v/>
      </c>
      <c r="AC77" s="48" t="str">
        <f t="shared" si="6"/>
        <v/>
      </c>
      <c r="AD77" s="53"/>
      <c r="AE77" s="42" t="str">
        <f>IF(AND(B77&lt;&gt;""),IF($AD$9&lt;&gt;0,VLOOKUP(AD77/$AD$9*100,TRANSMUTATION_TABLE!$A$2:$B$102,2),""),"")</f>
        <v/>
      </c>
      <c r="AF77" s="50">
        <f>Attendance!BW74</f>
        <v>0</v>
      </c>
      <c r="AG77" s="45" t="str">
        <f>IF(AND(B77&lt;&gt;""),IF($AF$9&lt;&gt;0,VLOOKUP(AF77/$AF$9*100,TRANSMUTATION_TABLE!$A$2:$B$102,2),""),"")</f>
        <v/>
      </c>
      <c r="AH77" s="5"/>
      <c r="AI77" s="45" t="str">
        <f>IF(AND(B77&lt;&gt;""),IF($AH$9&lt;&gt;0,VLOOKUP(AH77/$AH$9*100,TRANSMUTATION_TABLE!$A$2:$B$102,2),""),"")</f>
        <v/>
      </c>
      <c r="AJ77" s="45" t="str">
        <f>IF(OR(K77&lt;&gt;"",T77&lt;&gt;"",AC77&lt;&gt;"",AG77&lt;&gt;"",AI77&lt;&gt;""),SUM(PRODUCT(K77,IF(Settings!$I$17&lt;&gt;0,Settings!$I$17/100,0)),PRODUCT(T77,IF(Settings!$I$18&lt;&gt;0,Settings!$I$18/100,0)),PRODUCT(AC77,IF(Settings!$I$19&lt;&gt;0,Settings!$I$19/100,0)),PRODUCT(AG77,IF(Settings!$I$20&lt;&gt;0,Settings!$I$20/100,0)),PRODUCT(AI77,IF(Settings!$I$21&lt;&gt;0,Settings!$I$21/100,0))),"")</f>
        <v/>
      </c>
      <c r="AK77" s="45" t="str">
        <f>Prelim!AJ77</f>
        <v/>
      </c>
      <c r="AL77" s="45" t="str">
        <f>Midterm!AL77</f>
        <v/>
      </c>
      <c r="AM77" s="45" t="str">
        <f>SemiFinal!AM77</f>
        <v/>
      </c>
      <c r="AN77" s="46" t="str">
        <f>IF(AJ77&lt;&gt;"",AVERAGE(AVERAGE(Prelim!AJ77,Midterm!AL77),AVERAGE(SemiFinal!AM77,Final!AJ77)),"")</f>
        <v/>
      </c>
      <c r="AO77" s="45">
        <f t="shared" si="7"/>
        <v>5</v>
      </c>
      <c r="AP77" s="37"/>
      <c r="AQ77" s="37"/>
      <c r="AR77" s="37"/>
    </row>
    <row r="78" spans="1:44" ht="14.25" customHeight="1" thickBot="1" x14ac:dyDescent="0.35">
      <c r="A78" s="54" t="str">
        <f>IF(Attendance!A75=0,"",Attendance!A75)</f>
        <v/>
      </c>
      <c r="B78" s="90" t="str">
        <f>IF(Attendance!C75=0,"",Attendance!C75)</f>
        <v/>
      </c>
      <c r="C78" s="5"/>
      <c r="D78" s="42" t="str">
        <f>IF(AND(B78&lt;&gt;""),IF($C$9&lt;&gt;0,VLOOKUP(C78/$C$9*100,TRANSMUTATION_TABLE!$A$2:$B$102,2),""),"")</f>
        <v/>
      </c>
      <c r="E78" s="5"/>
      <c r="F78" s="42" t="str">
        <f>IF(AND(B78&lt;&gt;""),IF($E$9&lt;&gt;0,VLOOKUP(E78/$E$9*100,TRANSMUTATION_TABLE!$A$2:$B$102,2),""),"")</f>
        <v/>
      </c>
      <c r="G78" s="5"/>
      <c r="H78" s="42" t="str">
        <f>IF(AND(B78&lt;&gt;""),IF($G$9&lt;&gt;0,VLOOKUP(G78/$G$9*100,TRANSMUTATION_TABLE!$A$2:$B$102,2),""),"")</f>
        <v/>
      </c>
      <c r="I78" s="5"/>
      <c r="J78" s="43" t="str">
        <f>IF(AND(B78&lt;&gt;""),IF($I$9&lt;&gt;0,VLOOKUP(I78/$I$9*100,TRANSMUTATION_TABLE!$A$2:$B$102,2),""),"")</f>
        <v/>
      </c>
      <c r="K78" s="48" t="str">
        <f t="shared" si="4"/>
        <v/>
      </c>
      <c r="L78" s="5"/>
      <c r="M78" s="42" t="str">
        <f>IF(AND(B78&lt;&gt;""),IF($L$9&lt;&gt;0,VLOOKUP(L78/$L$9*100,TRANSMUTATION_TABLE!$A$2:$B$102,2),""),"")</f>
        <v/>
      </c>
      <c r="N78" s="5"/>
      <c r="O78" s="42" t="str">
        <f>IF(AND(B78&lt;&gt;""),IF($N$9&lt;&gt;0,VLOOKUP(N78/$N$9*100,TRANSMUTATION_TABLE!$A$2:$B$102,2),""),"")</f>
        <v/>
      </c>
      <c r="P78" s="5"/>
      <c r="Q78" s="42" t="str">
        <f>IF(AND(B78&lt;&gt;""),IF($P$9&lt;&gt;0,VLOOKUP(P78/$P$9*100,TRANSMUTATION_TABLE!$A$2:$B$102,2),""),"")</f>
        <v/>
      </c>
      <c r="R78" s="5"/>
      <c r="S78" s="43" t="str">
        <f>IF(AND(B78&lt;&gt;""),IF($R$9&lt;&gt;0,VLOOKUP(R78/$R$9*100,TRANSMUTATION_TABLE!$A$2:$B$102,2),""),"")</f>
        <v/>
      </c>
      <c r="T78" s="48" t="str">
        <f t="shared" si="5"/>
        <v/>
      </c>
      <c r="U78" s="5"/>
      <c r="V78" s="42" t="str">
        <f>IF(AND(B78&lt;&gt;""),IF($U$9&lt;&gt;0,VLOOKUP(U78/$U$9*100,TRANSMUTATION_TABLE!$A$2:$B$102,2),""),"")</f>
        <v/>
      </c>
      <c r="W78" s="5"/>
      <c r="X78" s="42" t="str">
        <f>IF(AND(B78&lt;&gt;""),IF($W$9&lt;&gt;0,VLOOKUP(W78/$W$9*100,TRANSMUTATION_TABLE!$A$2:$B$102,2),""),"")</f>
        <v/>
      </c>
      <c r="Y78" s="5"/>
      <c r="Z78" s="42" t="str">
        <f>IF(AND(B78&lt;&gt;""),IF($Y$9&lt;&gt;0,VLOOKUP(Y78/$Y$9*100,TRANSMUTATION_TABLE!$A$2:$B$102,2),""),"")</f>
        <v/>
      </c>
      <c r="AA78" s="5"/>
      <c r="AB78" s="43" t="str">
        <f>IF(AND(B78&lt;&gt;""),IF($AA$9&lt;&gt;0,VLOOKUP(AA78/$AA$9*100,TRANSMUTATION_TABLE!$A$2:$B$102,2),""),"")</f>
        <v/>
      </c>
      <c r="AC78" s="48" t="str">
        <f t="shared" si="6"/>
        <v/>
      </c>
      <c r="AD78" s="53"/>
      <c r="AE78" s="42" t="str">
        <f>IF(AND(B78&lt;&gt;""),IF($AD$9&lt;&gt;0,VLOOKUP(AD78/$AD$9*100,TRANSMUTATION_TABLE!$A$2:$B$102,2),""),"")</f>
        <v/>
      </c>
      <c r="AF78" s="50">
        <f>Attendance!BW75</f>
        <v>0</v>
      </c>
      <c r="AG78" s="45" t="str">
        <f>IF(AND(B78&lt;&gt;""),IF($AF$9&lt;&gt;0,VLOOKUP(AF78/$AF$9*100,TRANSMUTATION_TABLE!$A$2:$B$102,2),""),"")</f>
        <v/>
      </c>
      <c r="AH78" s="5"/>
      <c r="AI78" s="45" t="str">
        <f>IF(AND(B78&lt;&gt;""),IF($AH$9&lt;&gt;0,VLOOKUP(AH78/$AH$9*100,TRANSMUTATION_TABLE!$A$2:$B$102,2),""),"")</f>
        <v/>
      </c>
      <c r="AJ78" s="45" t="str">
        <f>IF(OR(K78&lt;&gt;"",T78&lt;&gt;"",AC78&lt;&gt;"",AG78&lt;&gt;"",AI78&lt;&gt;""),SUM(PRODUCT(K78,IF(Settings!$I$17&lt;&gt;0,Settings!$I$17/100,0)),PRODUCT(T78,IF(Settings!$I$18&lt;&gt;0,Settings!$I$18/100,0)),PRODUCT(AC78,IF(Settings!$I$19&lt;&gt;0,Settings!$I$19/100,0)),PRODUCT(AG78,IF(Settings!$I$20&lt;&gt;0,Settings!$I$20/100,0)),PRODUCT(AI78,IF(Settings!$I$21&lt;&gt;0,Settings!$I$21/100,0))),"")</f>
        <v/>
      </c>
      <c r="AK78" s="45" t="str">
        <f>Prelim!AJ78</f>
        <v/>
      </c>
      <c r="AL78" s="45" t="str">
        <f>Midterm!AL78</f>
        <v/>
      </c>
      <c r="AM78" s="45" t="str">
        <f>SemiFinal!AM78</f>
        <v/>
      </c>
      <c r="AN78" s="46" t="str">
        <f>IF(AJ78&lt;&gt;"",AVERAGE(AVERAGE(Prelim!AJ78,Midterm!AL78),AVERAGE(SemiFinal!AM78,Final!AJ78)),"")</f>
        <v/>
      </c>
      <c r="AO78" s="45">
        <f t="shared" si="7"/>
        <v>5</v>
      </c>
      <c r="AP78" s="37"/>
      <c r="AQ78" s="37"/>
      <c r="AR78" s="37"/>
    </row>
    <row r="79" spans="1:44" ht="14.25" customHeight="1" thickBot="1" x14ac:dyDescent="0.35">
      <c r="A79" s="54" t="str">
        <f>IF(Attendance!A76=0,"",Attendance!A76)</f>
        <v/>
      </c>
      <c r="B79" s="61" t="str">
        <f>IF(Attendance!C76=0,"",Attendance!C76)</f>
        <v/>
      </c>
      <c r="C79" s="55"/>
      <c r="D79" s="42" t="str">
        <f>IF(AND(B79&lt;&gt;""),IF($C$9&lt;&gt;0,VLOOKUP(C79/$C$9*100,TRANSMUTATION_TABLE!$A$2:$B$102,2),""),"")</f>
        <v/>
      </c>
      <c r="E79" s="55"/>
      <c r="F79" s="42" t="str">
        <f>IF(AND(B79&lt;&gt;""),IF($E$9&lt;&gt;0,VLOOKUP(E79/$E$9*100,TRANSMUTATION_TABLE!$A$2:$B$102,2),""),"")</f>
        <v/>
      </c>
      <c r="G79" s="55"/>
      <c r="H79" s="42" t="str">
        <f>IF(AND(B79&lt;&gt;""),IF($G$9&lt;&gt;0,VLOOKUP(G79/$G$9*100,TRANSMUTATION_TABLE!$A$2:$B$102,2),""),"")</f>
        <v/>
      </c>
      <c r="I79" s="55"/>
      <c r="J79" s="43" t="str">
        <f>IF(AND(B79&lt;&gt;""),IF($I$9&lt;&gt;0,VLOOKUP(I79/$I$9*100,TRANSMUTATION_TABLE!$A$2:$B$102,2),""),"")</f>
        <v/>
      </c>
      <c r="K79" s="48" t="str">
        <f t="shared" si="4"/>
        <v/>
      </c>
      <c r="L79" s="55"/>
      <c r="M79" s="42" t="str">
        <f>IF(AND(B79&lt;&gt;""),IF($L$9&lt;&gt;0,VLOOKUP(L79/$L$9*100,TRANSMUTATION_TABLE!$A$2:$B$102,2),""),"")</f>
        <v/>
      </c>
      <c r="N79" s="55"/>
      <c r="O79" s="42" t="str">
        <f>IF(AND(B79&lt;&gt;""),IF($N$9&lt;&gt;0,VLOOKUP(N79/$N$9*100,TRANSMUTATION_TABLE!$A$2:$B$102,2),""),"")</f>
        <v/>
      </c>
      <c r="P79" s="55"/>
      <c r="Q79" s="42" t="str">
        <f>IF(AND(B79&lt;&gt;""),IF($P$9&lt;&gt;0,VLOOKUP(P79/$P$9*100,TRANSMUTATION_TABLE!$A$2:$B$102,2),""),"")</f>
        <v/>
      </c>
      <c r="R79" s="55"/>
      <c r="S79" s="43" t="str">
        <f>IF(AND(B79&lt;&gt;""),IF($R$9&lt;&gt;0,VLOOKUP(R79/$R$9*100,TRANSMUTATION_TABLE!$A$2:$B$102,2),""),"")</f>
        <v/>
      </c>
      <c r="T79" s="48" t="str">
        <f t="shared" si="5"/>
        <v/>
      </c>
      <c r="U79" s="55"/>
      <c r="V79" s="42" t="str">
        <f>IF(AND(B79&lt;&gt;""),IF($U$9&lt;&gt;0,VLOOKUP(U79/$U$9*100,TRANSMUTATION_TABLE!$A$2:$B$102,2),""),"")</f>
        <v/>
      </c>
      <c r="W79" s="55"/>
      <c r="X79" s="42" t="str">
        <f>IF(AND(B79&lt;&gt;""),IF($W$9&lt;&gt;0,VLOOKUP(W79/$W$9*100,TRANSMUTATION_TABLE!$A$2:$B$102,2),""),"")</f>
        <v/>
      </c>
      <c r="Y79" s="55"/>
      <c r="Z79" s="42" t="str">
        <f>IF(AND(B79&lt;&gt;""),IF($Y$9&lt;&gt;0,VLOOKUP(Y79/$Y$9*100,TRANSMUTATION_TABLE!$A$2:$B$102,2),""),"")</f>
        <v/>
      </c>
      <c r="AA79" s="55"/>
      <c r="AB79" s="43" t="str">
        <f>IF(AND(B79&lt;&gt;""),IF($AA$9&lt;&gt;0,VLOOKUP(AA79/$AA$9*100,TRANSMUTATION_TABLE!$A$2:$B$102,2),""),"")</f>
        <v/>
      </c>
      <c r="AC79" s="48" t="str">
        <f t="shared" si="6"/>
        <v/>
      </c>
      <c r="AD79" s="53"/>
      <c r="AE79" s="42" t="str">
        <f>IF(AND(B79&lt;&gt;""),IF($AD$9&lt;&gt;0,VLOOKUP(AD79/$AD$9*100,TRANSMUTATION_TABLE!$A$2:$B$102,2),""),"")</f>
        <v/>
      </c>
      <c r="AF79" s="227">
        <f>Attendance!BW76</f>
        <v>0</v>
      </c>
      <c r="AG79" s="45" t="str">
        <f>IF(AND(B79&lt;&gt;""),IF($AF$9&lt;&gt;0,VLOOKUP(AF79/$AF$9*100,TRANSMUTATION_TABLE!$A$2:$B$102,2),""),"")</f>
        <v/>
      </c>
      <c r="AH79" s="55"/>
      <c r="AI79" s="45" t="str">
        <f>IF(AND(B79&lt;&gt;""),IF($AH$9&lt;&gt;0,VLOOKUP(AH79/$AH$9*100,TRANSMUTATION_TABLE!$A$2:$B$102,2),""),"")</f>
        <v/>
      </c>
      <c r="AJ79" s="45" t="str">
        <f>IF(OR(K79&lt;&gt;"",T79&lt;&gt;"",AC79&lt;&gt;"",AG79&lt;&gt;"",AI79&lt;&gt;""),SUM(PRODUCT(K79,IF(Settings!$I$17&lt;&gt;0,Settings!$I$17/100,0)),PRODUCT(T79,IF(Settings!$I$18&lt;&gt;0,Settings!$I$18/100,0)),PRODUCT(AC79,IF(Settings!$I$19&lt;&gt;0,Settings!$I$19/100,0)),PRODUCT(AG79,IF(Settings!$I$20&lt;&gt;0,Settings!$I$20/100,0)),PRODUCT(AI79,IF(Settings!$I$21&lt;&gt;0,Settings!$I$21/100,0))),"")</f>
        <v/>
      </c>
      <c r="AK79" s="45" t="str">
        <f>Prelim!AJ79</f>
        <v/>
      </c>
      <c r="AL79" s="45" t="str">
        <f>Midterm!AL79</f>
        <v/>
      </c>
      <c r="AM79" s="45" t="str">
        <f>SemiFinal!AM79</f>
        <v/>
      </c>
      <c r="AN79" s="46" t="str">
        <f>IF(AJ79&lt;&gt;"",AVERAGE(AVERAGE(Prelim!AJ79,Midterm!AL79),AVERAGE(SemiFinal!AM79,Final!AJ79)),"")</f>
        <v/>
      </c>
      <c r="AO79" s="45">
        <f t="shared" si="7"/>
        <v>5</v>
      </c>
      <c r="AP79" s="37"/>
      <c r="AQ79" s="37"/>
      <c r="AR79" s="37"/>
    </row>
    <row r="80" spans="1:44" ht="14.25" customHeight="1" x14ac:dyDescent="0.3">
      <c r="A80" s="34"/>
      <c r="B80" s="16"/>
      <c r="C80" s="15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5"/>
      <c r="V80" s="16"/>
      <c r="W80" s="16"/>
      <c r="X80" s="16"/>
      <c r="Y80" s="16"/>
      <c r="Z80" s="16"/>
      <c r="AA80" s="15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37"/>
      <c r="AO80" s="37"/>
      <c r="AP80" s="37"/>
      <c r="AQ80" s="37"/>
      <c r="AR80" s="37"/>
    </row>
    <row r="81" spans="1:44" ht="14.25" customHeight="1" x14ac:dyDescent="0.3">
      <c r="A81" s="34"/>
      <c r="B81" s="16"/>
      <c r="C81" s="15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5"/>
      <c r="V81" s="16"/>
      <c r="W81" s="16"/>
      <c r="X81" s="16"/>
      <c r="Y81" s="16"/>
      <c r="Z81" s="16"/>
      <c r="AA81" s="15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37"/>
      <c r="AO81" s="37"/>
      <c r="AP81" s="37"/>
      <c r="AQ81" s="37"/>
      <c r="AR81" s="37"/>
    </row>
    <row r="82" spans="1:44" ht="14.25" customHeight="1" x14ac:dyDescent="0.3">
      <c r="A82" s="34"/>
      <c r="B82" s="16"/>
      <c r="C82" s="15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5"/>
      <c r="V82" s="16"/>
      <c r="W82" s="16"/>
      <c r="X82" s="16"/>
      <c r="Y82" s="16"/>
      <c r="Z82" s="16"/>
      <c r="AA82" s="15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37"/>
      <c r="AO82" s="37"/>
      <c r="AP82" s="37"/>
      <c r="AQ82" s="37"/>
      <c r="AR82" s="37"/>
    </row>
    <row r="83" spans="1:44" ht="14.25" customHeight="1" x14ac:dyDescent="0.3">
      <c r="A83" s="34"/>
      <c r="B83" s="16"/>
      <c r="C83" s="15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5"/>
      <c r="V83" s="16"/>
      <c r="W83" s="16"/>
      <c r="X83" s="16"/>
      <c r="Y83" s="16"/>
      <c r="Z83" s="16"/>
      <c r="AA83" s="15"/>
      <c r="AB83" s="16"/>
      <c r="AC83" s="16"/>
      <c r="AD83" s="16"/>
      <c r="AE83" s="16"/>
      <c r="AF83" s="16"/>
      <c r="AG83" s="259" t="str">
        <f>IF(Settings!$B$6&lt;&gt;0,Settings!$B$6,"")</f>
        <v/>
      </c>
      <c r="AH83" s="260"/>
      <c r="AI83" s="260"/>
      <c r="AJ83" s="260"/>
      <c r="AK83" s="260"/>
      <c r="AL83" s="260"/>
      <c r="AM83" s="260"/>
      <c r="AN83" s="260"/>
      <c r="AO83" s="260"/>
      <c r="AP83" s="37"/>
      <c r="AQ83" s="37"/>
      <c r="AR83" s="37"/>
    </row>
    <row r="84" spans="1:44" ht="14.25" customHeight="1" x14ac:dyDescent="0.3">
      <c r="A84" s="34"/>
      <c r="B84" s="16"/>
      <c r="C84" s="15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5"/>
      <c r="V84" s="16"/>
      <c r="W84" s="16"/>
      <c r="X84" s="16"/>
      <c r="Y84" s="16"/>
      <c r="Z84" s="16"/>
      <c r="AA84" s="15"/>
      <c r="AB84" s="16"/>
      <c r="AC84" s="16"/>
      <c r="AD84" s="16"/>
      <c r="AE84" s="16"/>
      <c r="AF84" s="16"/>
      <c r="AG84" s="305"/>
      <c r="AH84" s="241"/>
      <c r="AI84" s="241"/>
      <c r="AJ84" s="241"/>
      <c r="AK84" s="241"/>
      <c r="AL84" s="241"/>
      <c r="AM84" s="241"/>
      <c r="AN84" s="241"/>
      <c r="AO84" s="241"/>
      <c r="AP84" s="37"/>
      <c r="AQ84" s="37"/>
      <c r="AR84" s="37"/>
    </row>
    <row r="85" spans="1:44" ht="14.25" customHeight="1" x14ac:dyDescent="0.3">
      <c r="A85" s="34"/>
      <c r="B85" s="16"/>
      <c r="C85" s="15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5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6"/>
      <c r="AG85" s="15"/>
      <c r="AH85" s="15"/>
      <c r="AI85" s="15"/>
      <c r="AJ85" s="15"/>
      <c r="AK85" s="15"/>
      <c r="AL85" s="15"/>
      <c r="AM85" s="15"/>
      <c r="AN85" s="15"/>
      <c r="AO85" s="15"/>
      <c r="AP85" s="37"/>
      <c r="AQ85" s="37"/>
      <c r="AR85" s="37"/>
    </row>
    <row r="86" spans="1:44" ht="14.25" customHeight="1" x14ac:dyDescent="0.3">
      <c r="A86" s="34"/>
      <c r="B86" s="16"/>
      <c r="C86" s="15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5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16"/>
      <c r="AG86" s="15"/>
      <c r="AH86" s="15"/>
      <c r="AI86" s="15"/>
      <c r="AJ86" s="15"/>
      <c r="AK86" s="15"/>
      <c r="AL86" s="15"/>
      <c r="AM86" s="15"/>
      <c r="AN86" s="15"/>
      <c r="AO86" s="15"/>
      <c r="AP86" s="37"/>
      <c r="AQ86" s="37"/>
      <c r="AR86" s="37"/>
    </row>
    <row r="87" spans="1:44" ht="14.25" customHeight="1" x14ac:dyDescent="0.3">
      <c r="A87" s="34"/>
      <c r="B87" s="16"/>
      <c r="C87" s="15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5"/>
      <c r="V87" s="16"/>
      <c r="W87" s="16"/>
      <c r="X87" s="16"/>
      <c r="Y87" s="16"/>
      <c r="Z87" s="16"/>
      <c r="AA87" s="15"/>
      <c r="AB87" s="16"/>
      <c r="AC87" s="16"/>
      <c r="AD87" s="16"/>
      <c r="AE87" s="16"/>
      <c r="AF87" s="16"/>
      <c r="AG87" s="259" t="str">
        <f>IF(Settings!$B$8&lt;&gt;0,Settings!$B$8,"")</f>
        <v/>
      </c>
      <c r="AH87" s="260"/>
      <c r="AI87" s="260"/>
      <c r="AJ87" s="260"/>
      <c r="AK87" s="260"/>
      <c r="AL87" s="260"/>
      <c r="AM87" s="260"/>
      <c r="AN87" s="260"/>
      <c r="AO87" s="260"/>
      <c r="AP87" s="37"/>
      <c r="AQ87" s="37"/>
      <c r="AR87" s="37"/>
    </row>
    <row r="88" spans="1:44" ht="14.25" customHeight="1" x14ac:dyDescent="0.3">
      <c r="A88" s="34"/>
      <c r="B88" s="16"/>
      <c r="C88" s="15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5"/>
      <c r="V88" s="16"/>
      <c r="W88" s="16"/>
      <c r="X88" s="16"/>
      <c r="Y88" s="16"/>
      <c r="Z88" s="16"/>
      <c r="AA88" s="15"/>
      <c r="AB88" s="16"/>
      <c r="AC88" s="16"/>
      <c r="AD88" s="16"/>
      <c r="AE88" s="16"/>
      <c r="AF88" s="16"/>
      <c r="AG88" s="305"/>
      <c r="AH88" s="241"/>
      <c r="AI88" s="241"/>
      <c r="AJ88" s="241"/>
      <c r="AK88" s="241"/>
      <c r="AL88" s="241"/>
      <c r="AM88" s="241"/>
      <c r="AN88" s="241"/>
      <c r="AO88" s="241"/>
      <c r="AP88" s="37"/>
      <c r="AQ88" s="37"/>
      <c r="AR88" s="37"/>
    </row>
    <row r="89" spans="1:44" ht="14.25" customHeight="1" x14ac:dyDescent="0.3">
      <c r="A89" s="34"/>
      <c r="B89" s="16"/>
      <c r="C89" s="15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5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37"/>
      <c r="AO89" s="37"/>
      <c r="AP89" s="37"/>
      <c r="AQ89" s="37"/>
      <c r="AR89" s="37"/>
    </row>
    <row r="90" spans="1:44" ht="14.25" customHeight="1" x14ac:dyDescent="0.3">
      <c r="A90" s="34"/>
      <c r="B90" s="16"/>
      <c r="C90" s="15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5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37"/>
      <c r="AO90" s="37"/>
      <c r="AP90" s="37"/>
      <c r="AQ90" s="37"/>
      <c r="AR90" s="37"/>
    </row>
    <row r="91" spans="1:44" ht="14.25" customHeight="1" x14ac:dyDescent="0.3">
      <c r="A91" s="34"/>
      <c r="B91" s="16"/>
      <c r="C91" s="15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5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37"/>
      <c r="AO91" s="37"/>
      <c r="AP91" s="37"/>
      <c r="AQ91" s="37"/>
      <c r="AR91" s="37"/>
    </row>
    <row r="92" spans="1:44" ht="14.25" customHeight="1" x14ac:dyDescent="0.3">
      <c r="A92" s="34"/>
      <c r="B92" s="16"/>
      <c r="C92" s="15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5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37"/>
      <c r="AO92" s="37"/>
      <c r="AP92" s="37"/>
      <c r="AQ92" s="37"/>
      <c r="AR92" s="37"/>
    </row>
    <row r="93" spans="1:44" ht="14.25" customHeight="1" x14ac:dyDescent="0.3">
      <c r="A93" s="34"/>
      <c r="B93" s="16"/>
      <c r="C93" s="15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5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37"/>
      <c r="AO93" s="37"/>
      <c r="AP93" s="37"/>
      <c r="AQ93" s="37"/>
      <c r="AR93" s="37"/>
    </row>
    <row r="94" spans="1:44" ht="14.25" customHeight="1" x14ac:dyDescent="0.3">
      <c r="A94" s="34"/>
      <c r="B94" s="16"/>
      <c r="C94" s="15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5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37"/>
      <c r="AO94" s="37"/>
      <c r="AP94" s="37"/>
      <c r="AQ94" s="37"/>
      <c r="AR94" s="37"/>
    </row>
    <row r="95" spans="1:44" ht="14.25" customHeight="1" x14ac:dyDescent="0.3">
      <c r="A95" s="34"/>
      <c r="B95" s="16"/>
      <c r="C95" s="15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5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37"/>
      <c r="AO95" s="37"/>
      <c r="AP95" s="37"/>
      <c r="AQ95" s="37"/>
      <c r="AR95" s="37"/>
    </row>
    <row r="96" spans="1:44" ht="14.25" customHeight="1" x14ac:dyDescent="0.3">
      <c r="A96" s="34"/>
      <c r="B96" s="16"/>
      <c r="C96" s="15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5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37"/>
      <c r="AO96" s="37"/>
      <c r="AP96" s="37"/>
      <c r="AQ96" s="37"/>
      <c r="AR96" s="37"/>
    </row>
    <row r="97" spans="1:44" ht="14.25" customHeight="1" x14ac:dyDescent="0.3">
      <c r="A97" s="34"/>
      <c r="B97" s="16"/>
      <c r="C97" s="15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5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37"/>
      <c r="AO97" s="37"/>
      <c r="AP97" s="37"/>
      <c r="AQ97" s="37"/>
      <c r="AR97" s="37"/>
    </row>
    <row r="98" spans="1:44" ht="14.25" customHeight="1" x14ac:dyDescent="0.3">
      <c r="A98" s="34"/>
      <c r="B98" s="16"/>
      <c r="C98" s="15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5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37"/>
      <c r="AO98" s="37"/>
      <c r="AP98" s="37"/>
      <c r="AQ98" s="37"/>
      <c r="AR98" s="37"/>
    </row>
    <row r="99" spans="1:44" ht="14.25" customHeight="1" x14ac:dyDescent="0.3">
      <c r="A99" s="34"/>
      <c r="B99" s="16"/>
      <c r="C99" s="15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5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37"/>
      <c r="AO99" s="37"/>
      <c r="AP99" s="37"/>
      <c r="AQ99" s="37"/>
      <c r="AR99" s="37"/>
    </row>
    <row r="100" spans="1:44" ht="14.25" customHeight="1" x14ac:dyDescent="0.3">
      <c r="A100" s="34"/>
      <c r="B100" s="16"/>
      <c r="C100" s="15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5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37"/>
      <c r="AO100" s="37"/>
      <c r="AP100" s="37"/>
      <c r="AQ100" s="37"/>
      <c r="AR100" s="37"/>
    </row>
    <row r="101" spans="1:44" ht="14.25" customHeight="1" x14ac:dyDescent="0.3">
      <c r="A101" s="34"/>
      <c r="B101" s="16"/>
      <c r="C101" s="15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5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37"/>
      <c r="AO101" s="37"/>
      <c r="AP101" s="37"/>
      <c r="AQ101" s="37"/>
      <c r="AR101" s="37"/>
    </row>
    <row r="102" spans="1:44" ht="14.25" customHeight="1" x14ac:dyDescent="0.3">
      <c r="A102" s="34"/>
      <c r="B102" s="16"/>
      <c r="C102" s="15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5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37"/>
      <c r="AO102" s="37"/>
      <c r="AP102" s="37"/>
      <c r="AQ102" s="37"/>
      <c r="AR102" s="37"/>
    </row>
    <row r="103" spans="1:44" ht="14.25" customHeight="1" x14ac:dyDescent="0.3">
      <c r="A103" s="34"/>
      <c r="B103" s="16"/>
      <c r="C103" s="15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5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37"/>
      <c r="AO103" s="37"/>
      <c r="AP103" s="37"/>
      <c r="AQ103" s="37"/>
      <c r="AR103" s="37"/>
    </row>
    <row r="104" spans="1:44" ht="14.25" customHeight="1" x14ac:dyDescent="0.3">
      <c r="A104" s="34"/>
      <c r="B104" s="16"/>
      <c r="C104" s="15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5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37"/>
      <c r="AO104" s="37"/>
      <c r="AP104" s="37"/>
      <c r="AQ104" s="37"/>
      <c r="AR104" s="37"/>
    </row>
    <row r="105" spans="1:44" ht="14.25" customHeight="1" x14ac:dyDescent="0.3">
      <c r="A105" s="34"/>
      <c r="B105" s="16"/>
      <c r="C105" s="15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5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37"/>
      <c r="AO105" s="37"/>
      <c r="AP105" s="37"/>
      <c r="AQ105" s="37"/>
      <c r="AR105" s="37"/>
    </row>
    <row r="106" spans="1:44" ht="14.25" customHeight="1" x14ac:dyDescent="0.3">
      <c r="A106" s="34"/>
      <c r="B106" s="16"/>
      <c r="C106" s="15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5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37"/>
      <c r="AO106" s="37"/>
      <c r="AP106" s="37"/>
      <c r="AQ106" s="37"/>
      <c r="AR106" s="37"/>
    </row>
    <row r="107" spans="1:44" ht="14.25" customHeight="1" x14ac:dyDescent="0.3">
      <c r="A107" s="34"/>
      <c r="B107" s="16"/>
      <c r="C107" s="15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5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37"/>
      <c r="AO107" s="37"/>
      <c r="AP107" s="37"/>
      <c r="AQ107" s="37"/>
      <c r="AR107" s="37"/>
    </row>
    <row r="108" spans="1:44" ht="14.25" customHeight="1" x14ac:dyDescent="0.3">
      <c r="A108" s="34"/>
      <c r="B108" s="16"/>
      <c r="C108" s="15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5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37"/>
      <c r="AO108" s="37"/>
      <c r="AP108" s="37"/>
      <c r="AQ108" s="37"/>
      <c r="AR108" s="37"/>
    </row>
    <row r="109" spans="1:44" ht="14.25" customHeight="1" x14ac:dyDescent="0.3">
      <c r="A109" s="34"/>
      <c r="B109" s="16"/>
      <c r="C109" s="15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5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37"/>
      <c r="AO109" s="37"/>
      <c r="AP109" s="37"/>
      <c r="AQ109" s="37"/>
      <c r="AR109" s="37"/>
    </row>
    <row r="110" spans="1:44" ht="14.25" customHeight="1" x14ac:dyDescent="0.3">
      <c r="A110" s="34"/>
      <c r="B110" s="16"/>
      <c r="C110" s="15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5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37"/>
      <c r="AO110" s="37"/>
      <c r="AP110" s="37"/>
      <c r="AQ110" s="37"/>
      <c r="AR110" s="37"/>
    </row>
    <row r="111" spans="1:44" ht="14.25" customHeight="1" x14ac:dyDescent="0.3">
      <c r="A111" s="34"/>
      <c r="B111" s="16"/>
      <c r="C111" s="15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5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37"/>
      <c r="AO111" s="37"/>
      <c r="AP111" s="37"/>
      <c r="AQ111" s="37"/>
      <c r="AR111" s="37"/>
    </row>
    <row r="112" spans="1:44" ht="14.25" customHeight="1" x14ac:dyDescent="0.3">
      <c r="A112" s="34"/>
      <c r="B112" s="16"/>
      <c r="C112" s="15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5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37"/>
      <c r="AO112" s="37"/>
      <c r="AP112" s="37"/>
      <c r="AQ112" s="37"/>
      <c r="AR112" s="37"/>
    </row>
    <row r="113" spans="1:44" ht="14.25" customHeight="1" x14ac:dyDescent="0.3">
      <c r="A113" s="34"/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5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37"/>
      <c r="AO113" s="37"/>
      <c r="AP113" s="37"/>
      <c r="AQ113" s="37"/>
      <c r="AR113" s="37"/>
    </row>
    <row r="114" spans="1:44" ht="14.25" customHeight="1" x14ac:dyDescent="0.3">
      <c r="A114" s="34"/>
      <c r="B114" s="16"/>
      <c r="C114" s="15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5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37"/>
      <c r="AO114" s="37"/>
      <c r="AP114" s="37"/>
      <c r="AQ114" s="37"/>
      <c r="AR114" s="37"/>
    </row>
    <row r="115" spans="1:44" ht="14.25" customHeight="1" x14ac:dyDescent="0.3">
      <c r="A115" s="34"/>
      <c r="B115" s="16"/>
      <c r="C115" s="15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5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37"/>
      <c r="AO115" s="37"/>
      <c r="AP115" s="37"/>
      <c r="AQ115" s="37"/>
      <c r="AR115" s="37"/>
    </row>
    <row r="116" spans="1:44" ht="14.25" customHeight="1" x14ac:dyDescent="0.3">
      <c r="A116" s="34"/>
      <c r="B116" s="16"/>
      <c r="C116" s="15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5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37"/>
      <c r="AO116" s="37"/>
      <c r="AP116" s="37"/>
      <c r="AQ116" s="37"/>
      <c r="AR116" s="37"/>
    </row>
    <row r="117" spans="1:44" ht="14.25" customHeight="1" x14ac:dyDescent="0.3">
      <c r="A117" s="34"/>
      <c r="B117" s="16"/>
      <c r="C117" s="15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5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37"/>
      <c r="AO117" s="37"/>
      <c r="AP117" s="37"/>
      <c r="AQ117" s="37"/>
      <c r="AR117" s="37"/>
    </row>
    <row r="118" spans="1:44" ht="14.25" customHeight="1" x14ac:dyDescent="0.3">
      <c r="A118" s="34"/>
      <c r="B118" s="16"/>
      <c r="C118" s="15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5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37"/>
      <c r="AO118" s="37"/>
      <c r="AP118" s="37"/>
      <c r="AQ118" s="37"/>
      <c r="AR118" s="37"/>
    </row>
    <row r="119" spans="1:44" ht="14.25" customHeight="1" x14ac:dyDescent="0.3">
      <c r="A119" s="34"/>
      <c r="B119" s="16"/>
      <c r="C119" s="15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5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37"/>
      <c r="AO119" s="37"/>
      <c r="AP119" s="37"/>
      <c r="AQ119" s="37"/>
      <c r="AR119" s="37"/>
    </row>
    <row r="120" spans="1:44" ht="14.25" customHeight="1" x14ac:dyDescent="0.3">
      <c r="A120" s="34"/>
      <c r="B120" s="16"/>
      <c r="C120" s="15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5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37"/>
      <c r="AO120" s="37"/>
      <c r="AP120" s="37"/>
      <c r="AQ120" s="37"/>
      <c r="AR120" s="37"/>
    </row>
    <row r="121" spans="1:44" ht="14.25" customHeight="1" x14ac:dyDescent="0.3">
      <c r="A121" s="34"/>
      <c r="B121" s="16"/>
      <c r="C121" s="15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5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37"/>
      <c r="AO121" s="37"/>
      <c r="AP121" s="37"/>
      <c r="AQ121" s="37"/>
      <c r="AR121" s="37"/>
    </row>
    <row r="122" spans="1:44" ht="14.25" customHeight="1" x14ac:dyDescent="0.3">
      <c r="A122" s="34"/>
      <c r="B122" s="16"/>
      <c r="C122" s="15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5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37"/>
      <c r="AO122" s="37"/>
      <c r="AP122" s="37"/>
      <c r="AQ122" s="37"/>
      <c r="AR122" s="37"/>
    </row>
    <row r="123" spans="1:44" ht="14.25" customHeight="1" x14ac:dyDescent="0.3">
      <c r="A123" s="34"/>
      <c r="B123" s="16"/>
      <c r="C123" s="15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5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37"/>
      <c r="AO123" s="37"/>
      <c r="AP123" s="37"/>
      <c r="AQ123" s="37"/>
      <c r="AR123" s="37"/>
    </row>
    <row r="124" spans="1:44" ht="14.25" customHeight="1" x14ac:dyDescent="0.3">
      <c r="A124" s="34"/>
      <c r="B124" s="16"/>
      <c r="C124" s="15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5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37"/>
      <c r="AO124" s="37"/>
      <c r="AP124" s="37"/>
      <c r="AQ124" s="37"/>
      <c r="AR124" s="37"/>
    </row>
    <row r="125" spans="1:44" ht="14.25" customHeight="1" x14ac:dyDescent="0.3">
      <c r="A125" s="34"/>
      <c r="B125" s="16"/>
      <c r="C125" s="15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5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37"/>
      <c r="AO125" s="37"/>
      <c r="AP125" s="37"/>
      <c r="AQ125" s="37"/>
      <c r="AR125" s="37"/>
    </row>
    <row r="126" spans="1:44" ht="14.25" customHeight="1" x14ac:dyDescent="0.3">
      <c r="A126" s="34"/>
      <c r="B126" s="16"/>
      <c r="C126" s="15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5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37"/>
      <c r="AO126" s="37"/>
      <c r="AP126" s="37"/>
      <c r="AQ126" s="37"/>
      <c r="AR126" s="37"/>
    </row>
    <row r="127" spans="1:44" ht="14.25" customHeight="1" x14ac:dyDescent="0.3">
      <c r="A127" s="34"/>
      <c r="B127" s="16"/>
      <c r="C127" s="15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5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37"/>
      <c r="AO127" s="37"/>
      <c r="AP127" s="37"/>
      <c r="AQ127" s="37"/>
      <c r="AR127" s="37"/>
    </row>
    <row r="128" spans="1:44" ht="14.25" customHeight="1" x14ac:dyDescent="0.3">
      <c r="A128" s="34"/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5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37"/>
      <c r="AO128" s="37"/>
      <c r="AP128" s="37"/>
      <c r="AQ128" s="37"/>
      <c r="AR128" s="37"/>
    </row>
    <row r="129" spans="1:44" ht="14.25" customHeight="1" x14ac:dyDescent="0.3">
      <c r="A129" s="34"/>
      <c r="B129" s="16"/>
      <c r="C129" s="15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5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37"/>
      <c r="AO129" s="37"/>
      <c r="AP129" s="37"/>
      <c r="AQ129" s="37"/>
      <c r="AR129" s="37"/>
    </row>
    <row r="130" spans="1:44" ht="14.25" customHeight="1" x14ac:dyDescent="0.3">
      <c r="A130" s="34"/>
      <c r="B130" s="16"/>
      <c r="C130" s="15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5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37"/>
      <c r="AO130" s="37"/>
      <c r="AP130" s="37"/>
      <c r="AQ130" s="37"/>
      <c r="AR130" s="37"/>
    </row>
    <row r="131" spans="1:44" ht="14.25" customHeight="1" x14ac:dyDescent="0.3">
      <c r="A131" s="34"/>
      <c r="B131" s="16"/>
      <c r="C131" s="15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5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37"/>
      <c r="AO131" s="37"/>
      <c r="AP131" s="37"/>
      <c r="AQ131" s="37"/>
      <c r="AR131" s="37"/>
    </row>
    <row r="132" spans="1:44" ht="14.25" customHeight="1" x14ac:dyDescent="0.3">
      <c r="A132" s="34"/>
      <c r="B132" s="16"/>
      <c r="C132" s="15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5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37"/>
      <c r="AO132" s="37"/>
      <c r="AP132" s="37"/>
      <c r="AQ132" s="37"/>
      <c r="AR132" s="37"/>
    </row>
    <row r="133" spans="1:44" ht="14.25" customHeight="1" x14ac:dyDescent="0.3">
      <c r="A133" s="34"/>
      <c r="B133" s="16"/>
      <c r="C133" s="15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5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37"/>
      <c r="AO133" s="37"/>
      <c r="AP133" s="37"/>
      <c r="AQ133" s="37"/>
      <c r="AR133" s="37"/>
    </row>
    <row r="134" spans="1:44" ht="14.25" customHeight="1" x14ac:dyDescent="0.3">
      <c r="A134" s="34"/>
      <c r="B134" s="16"/>
      <c r="C134" s="15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5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37"/>
      <c r="AO134" s="37"/>
      <c r="AP134" s="37"/>
      <c r="AQ134" s="37"/>
      <c r="AR134" s="37"/>
    </row>
    <row r="135" spans="1:44" ht="14.25" customHeight="1" x14ac:dyDescent="0.3">
      <c r="A135" s="34"/>
      <c r="B135" s="16"/>
      <c r="C135" s="15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5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37"/>
      <c r="AO135" s="37"/>
      <c r="AP135" s="37"/>
      <c r="AQ135" s="37"/>
      <c r="AR135" s="37"/>
    </row>
    <row r="136" spans="1:44" ht="14.25" customHeight="1" x14ac:dyDescent="0.3">
      <c r="A136" s="34"/>
      <c r="B136" s="16"/>
      <c r="C136" s="15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5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37"/>
      <c r="AO136" s="37"/>
      <c r="AP136" s="37"/>
      <c r="AQ136" s="37"/>
      <c r="AR136" s="37"/>
    </row>
    <row r="137" spans="1:44" ht="14.25" customHeight="1" x14ac:dyDescent="0.3">
      <c r="A137" s="34"/>
      <c r="B137" s="16"/>
      <c r="C137" s="15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5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37"/>
      <c r="AO137" s="37"/>
      <c r="AP137" s="37"/>
      <c r="AQ137" s="37"/>
      <c r="AR137" s="37"/>
    </row>
    <row r="138" spans="1:44" ht="14.25" customHeight="1" x14ac:dyDescent="0.3">
      <c r="A138" s="34"/>
      <c r="B138" s="16"/>
      <c r="C138" s="15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5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37"/>
      <c r="AO138" s="37"/>
      <c r="AP138" s="37"/>
      <c r="AQ138" s="37"/>
      <c r="AR138" s="37"/>
    </row>
    <row r="139" spans="1:44" ht="14.25" customHeight="1" x14ac:dyDescent="0.3">
      <c r="A139" s="34"/>
      <c r="B139" s="16"/>
      <c r="C139" s="15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5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37"/>
      <c r="AO139" s="37"/>
      <c r="AP139" s="37"/>
      <c r="AQ139" s="37"/>
      <c r="AR139" s="37"/>
    </row>
    <row r="140" spans="1:44" ht="14.25" customHeight="1" x14ac:dyDescent="0.3">
      <c r="A140" s="34"/>
      <c r="B140" s="16"/>
      <c r="C140" s="15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5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37"/>
      <c r="AO140" s="37"/>
      <c r="AP140" s="37"/>
      <c r="AQ140" s="37"/>
      <c r="AR140" s="37"/>
    </row>
    <row r="141" spans="1:44" ht="14.25" customHeight="1" x14ac:dyDescent="0.3">
      <c r="A141" s="34"/>
      <c r="B141" s="16"/>
      <c r="C141" s="15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5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37"/>
      <c r="AO141" s="37"/>
      <c r="AP141" s="37"/>
      <c r="AQ141" s="37"/>
      <c r="AR141" s="37"/>
    </row>
    <row r="142" spans="1:44" ht="14.25" customHeight="1" x14ac:dyDescent="0.3">
      <c r="A142" s="34"/>
      <c r="B142" s="16"/>
      <c r="C142" s="15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5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37"/>
      <c r="AO142" s="37"/>
      <c r="AP142" s="37"/>
      <c r="AQ142" s="37"/>
      <c r="AR142" s="37"/>
    </row>
    <row r="143" spans="1:44" ht="14.25" customHeight="1" x14ac:dyDescent="0.3">
      <c r="A143" s="34"/>
      <c r="B143" s="16"/>
      <c r="C143" s="15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5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37"/>
      <c r="AO143" s="37"/>
      <c r="AP143" s="37"/>
      <c r="AQ143" s="37"/>
      <c r="AR143" s="37"/>
    </row>
    <row r="144" spans="1:44" ht="14.25" customHeight="1" x14ac:dyDescent="0.3">
      <c r="A144" s="34"/>
      <c r="B144" s="16"/>
      <c r="C144" s="15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5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37"/>
      <c r="AO144" s="37"/>
      <c r="AP144" s="37"/>
      <c r="AQ144" s="37"/>
      <c r="AR144" s="37"/>
    </row>
    <row r="145" spans="1:44" ht="14.25" customHeight="1" x14ac:dyDescent="0.3">
      <c r="A145" s="34"/>
      <c r="B145" s="16"/>
      <c r="C145" s="15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5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37"/>
      <c r="AO145" s="37"/>
      <c r="AP145" s="37"/>
      <c r="AQ145" s="37"/>
      <c r="AR145" s="37"/>
    </row>
    <row r="146" spans="1:44" ht="14.25" customHeight="1" x14ac:dyDescent="0.3">
      <c r="A146" s="34"/>
      <c r="B146" s="16"/>
      <c r="C146" s="15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5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37"/>
      <c r="AO146" s="37"/>
      <c r="AP146" s="37"/>
      <c r="AQ146" s="37"/>
      <c r="AR146" s="37"/>
    </row>
    <row r="147" spans="1:44" ht="14.25" customHeight="1" x14ac:dyDescent="0.3">
      <c r="A147" s="34"/>
      <c r="B147" s="16"/>
      <c r="C147" s="15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5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37"/>
      <c r="AO147" s="37"/>
      <c r="AP147" s="37"/>
      <c r="AQ147" s="37"/>
      <c r="AR147" s="37"/>
    </row>
    <row r="148" spans="1:44" ht="14.25" customHeight="1" x14ac:dyDescent="0.3">
      <c r="A148" s="34"/>
      <c r="B148" s="16"/>
      <c r="C148" s="15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5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37"/>
      <c r="AO148" s="37"/>
      <c r="AP148" s="37"/>
      <c r="AQ148" s="37"/>
      <c r="AR148" s="37"/>
    </row>
    <row r="149" spans="1:44" ht="14.25" customHeight="1" x14ac:dyDescent="0.3">
      <c r="A149" s="34"/>
      <c r="B149" s="16"/>
      <c r="C149" s="15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5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37"/>
      <c r="AO149" s="37"/>
      <c r="AP149" s="37"/>
      <c r="AQ149" s="37"/>
      <c r="AR149" s="37"/>
    </row>
    <row r="150" spans="1:44" ht="14.25" customHeight="1" x14ac:dyDescent="0.3">
      <c r="A150" s="34"/>
      <c r="B150" s="16"/>
      <c r="C150" s="15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5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37"/>
      <c r="AO150" s="37"/>
      <c r="AP150" s="37"/>
      <c r="AQ150" s="37"/>
      <c r="AR150" s="37"/>
    </row>
    <row r="151" spans="1:44" ht="14.25" customHeight="1" x14ac:dyDescent="0.3">
      <c r="A151" s="34"/>
      <c r="B151" s="16"/>
      <c r="C151" s="15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5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37"/>
      <c r="AO151" s="37"/>
      <c r="AP151" s="37"/>
      <c r="AQ151" s="37"/>
      <c r="AR151" s="37"/>
    </row>
    <row r="152" spans="1:44" ht="14.25" customHeight="1" x14ac:dyDescent="0.3">
      <c r="A152" s="34"/>
      <c r="B152" s="16"/>
      <c r="C152" s="15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5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37"/>
      <c r="AO152" s="37"/>
      <c r="AP152" s="37"/>
      <c r="AQ152" s="37"/>
      <c r="AR152" s="37"/>
    </row>
    <row r="153" spans="1:44" ht="14.25" customHeight="1" x14ac:dyDescent="0.3">
      <c r="A153" s="34"/>
      <c r="B153" s="16"/>
      <c r="C153" s="15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5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37"/>
      <c r="AO153" s="37"/>
      <c r="AP153" s="37"/>
      <c r="AQ153" s="37"/>
      <c r="AR153" s="37"/>
    </row>
    <row r="154" spans="1:44" ht="14.25" customHeight="1" x14ac:dyDescent="0.3">
      <c r="A154" s="34"/>
      <c r="B154" s="16"/>
      <c r="C154" s="15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5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37"/>
      <c r="AO154" s="37"/>
      <c r="AP154" s="37"/>
      <c r="AQ154" s="37"/>
      <c r="AR154" s="37"/>
    </row>
    <row r="155" spans="1:44" ht="14.25" customHeight="1" x14ac:dyDescent="0.3">
      <c r="A155" s="34"/>
      <c r="B155" s="16"/>
      <c r="C155" s="15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5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37"/>
      <c r="AO155" s="37"/>
      <c r="AP155" s="37"/>
      <c r="AQ155" s="37"/>
      <c r="AR155" s="37"/>
    </row>
    <row r="156" spans="1:44" ht="14.25" customHeight="1" x14ac:dyDescent="0.3">
      <c r="A156" s="34"/>
      <c r="B156" s="16"/>
      <c r="C156" s="15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5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37"/>
      <c r="AO156" s="37"/>
      <c r="AP156" s="37"/>
      <c r="AQ156" s="37"/>
      <c r="AR156" s="37"/>
    </row>
    <row r="157" spans="1:44" ht="14.25" customHeight="1" x14ac:dyDescent="0.3">
      <c r="A157" s="34"/>
      <c r="B157" s="16"/>
      <c r="C157" s="15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5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37"/>
      <c r="AO157" s="37"/>
      <c r="AP157" s="37"/>
      <c r="AQ157" s="37"/>
      <c r="AR157" s="37"/>
    </row>
    <row r="158" spans="1:44" ht="14.25" customHeight="1" x14ac:dyDescent="0.3">
      <c r="A158" s="34"/>
      <c r="B158" s="16"/>
      <c r="C158" s="15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5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37"/>
      <c r="AO158" s="37"/>
      <c r="AP158" s="37"/>
      <c r="AQ158" s="37"/>
      <c r="AR158" s="37"/>
    </row>
    <row r="159" spans="1:44" ht="14.25" customHeight="1" x14ac:dyDescent="0.3">
      <c r="A159" s="34"/>
      <c r="B159" s="16"/>
      <c r="C159" s="15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5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37"/>
      <c r="AO159" s="37"/>
      <c r="AP159" s="37"/>
      <c r="AQ159" s="37"/>
      <c r="AR159" s="37"/>
    </row>
    <row r="160" spans="1:44" ht="14.25" customHeight="1" x14ac:dyDescent="0.3">
      <c r="A160" s="34"/>
      <c r="B160" s="16"/>
      <c r="C160" s="15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5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37"/>
      <c r="AO160" s="37"/>
      <c r="AP160" s="37"/>
      <c r="AQ160" s="37"/>
      <c r="AR160" s="37"/>
    </row>
    <row r="161" spans="1:44" ht="14.25" customHeight="1" x14ac:dyDescent="0.3">
      <c r="A161" s="34"/>
      <c r="B161" s="16"/>
      <c r="C161" s="15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5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37"/>
      <c r="AO161" s="37"/>
      <c r="AP161" s="37"/>
      <c r="AQ161" s="37"/>
      <c r="AR161" s="37"/>
    </row>
    <row r="162" spans="1:44" ht="14.25" customHeight="1" x14ac:dyDescent="0.3">
      <c r="A162" s="34"/>
      <c r="B162" s="16"/>
      <c r="C162" s="15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5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37"/>
      <c r="AO162" s="37"/>
      <c r="AP162" s="37"/>
      <c r="AQ162" s="37"/>
      <c r="AR162" s="37"/>
    </row>
    <row r="163" spans="1:44" ht="14.25" customHeight="1" x14ac:dyDescent="0.3">
      <c r="A163" s="34"/>
      <c r="B163" s="16"/>
      <c r="C163" s="15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5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37"/>
      <c r="AO163" s="37"/>
      <c r="AP163" s="37"/>
      <c r="AQ163" s="37"/>
      <c r="AR163" s="37"/>
    </row>
    <row r="164" spans="1:44" ht="14.25" customHeight="1" x14ac:dyDescent="0.3">
      <c r="A164" s="34"/>
      <c r="B164" s="16"/>
      <c r="C164" s="15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5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37"/>
      <c r="AO164" s="37"/>
      <c r="AP164" s="37"/>
      <c r="AQ164" s="37"/>
      <c r="AR164" s="37"/>
    </row>
    <row r="165" spans="1:44" ht="14.25" customHeight="1" x14ac:dyDescent="0.3">
      <c r="A165" s="34"/>
      <c r="B165" s="16"/>
      <c r="C165" s="15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5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37"/>
      <c r="AO165" s="37"/>
      <c r="AP165" s="37"/>
      <c r="AQ165" s="37"/>
      <c r="AR165" s="37"/>
    </row>
    <row r="166" spans="1:44" ht="14.25" customHeight="1" x14ac:dyDescent="0.3">
      <c r="A166" s="34"/>
      <c r="B166" s="16"/>
      <c r="C166" s="15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5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37"/>
      <c r="AO166" s="37"/>
      <c r="AP166" s="37"/>
      <c r="AQ166" s="37"/>
      <c r="AR166" s="37"/>
    </row>
    <row r="167" spans="1:44" ht="14.25" customHeight="1" x14ac:dyDescent="0.3">
      <c r="A167" s="34"/>
      <c r="B167" s="16"/>
      <c r="C167" s="15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5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37"/>
      <c r="AO167" s="37"/>
      <c r="AP167" s="37"/>
      <c r="AQ167" s="37"/>
      <c r="AR167" s="37"/>
    </row>
    <row r="168" spans="1:44" ht="14.25" customHeight="1" x14ac:dyDescent="0.3">
      <c r="A168" s="34"/>
      <c r="B168" s="16"/>
      <c r="C168" s="15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5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37"/>
      <c r="AO168" s="37"/>
      <c r="AP168" s="37"/>
      <c r="AQ168" s="37"/>
      <c r="AR168" s="37"/>
    </row>
    <row r="169" spans="1:44" ht="14.25" customHeight="1" x14ac:dyDescent="0.3">
      <c r="A169" s="34"/>
      <c r="B169" s="16"/>
      <c r="C169" s="15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5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37"/>
      <c r="AO169" s="37"/>
      <c r="AP169" s="37"/>
      <c r="AQ169" s="37"/>
      <c r="AR169" s="37"/>
    </row>
    <row r="170" spans="1:44" ht="14.25" customHeight="1" x14ac:dyDescent="0.3">
      <c r="A170" s="34"/>
      <c r="B170" s="16"/>
      <c r="C170" s="15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5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37"/>
      <c r="AO170" s="37"/>
      <c r="AP170" s="37"/>
      <c r="AQ170" s="37"/>
      <c r="AR170" s="37"/>
    </row>
    <row r="171" spans="1:44" ht="14.25" customHeight="1" x14ac:dyDescent="0.3">
      <c r="A171" s="34"/>
      <c r="B171" s="16"/>
      <c r="C171" s="15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5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37"/>
      <c r="AO171" s="37"/>
      <c r="AP171" s="37"/>
      <c r="AQ171" s="37"/>
      <c r="AR171" s="37"/>
    </row>
    <row r="172" spans="1:44" ht="14.25" customHeight="1" x14ac:dyDescent="0.3">
      <c r="A172" s="34"/>
      <c r="B172" s="16"/>
      <c r="C172" s="15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5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37"/>
      <c r="AO172" s="37"/>
      <c r="AP172" s="37"/>
      <c r="AQ172" s="37"/>
      <c r="AR172" s="37"/>
    </row>
    <row r="173" spans="1:44" ht="14.25" customHeight="1" x14ac:dyDescent="0.3">
      <c r="A173" s="34"/>
      <c r="B173" s="16"/>
      <c r="C173" s="15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5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37"/>
      <c r="AO173" s="37"/>
      <c r="AP173" s="37"/>
      <c r="AQ173" s="37"/>
      <c r="AR173" s="37"/>
    </row>
    <row r="174" spans="1:44" ht="14.25" customHeight="1" x14ac:dyDescent="0.3">
      <c r="A174" s="34"/>
      <c r="B174" s="16"/>
      <c r="C174" s="15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5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37"/>
      <c r="AO174" s="37"/>
      <c r="AP174" s="37"/>
      <c r="AQ174" s="37"/>
      <c r="AR174" s="37"/>
    </row>
    <row r="175" spans="1:44" ht="14.25" customHeight="1" x14ac:dyDescent="0.3">
      <c r="A175" s="34"/>
      <c r="B175" s="16"/>
      <c r="C175" s="15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5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37"/>
      <c r="AO175" s="37"/>
      <c r="AP175" s="37"/>
      <c r="AQ175" s="37"/>
      <c r="AR175" s="37"/>
    </row>
    <row r="176" spans="1:44" ht="14.25" customHeight="1" x14ac:dyDescent="0.3">
      <c r="A176" s="34"/>
      <c r="B176" s="16"/>
      <c r="C176" s="15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5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37"/>
      <c r="AO176" s="37"/>
      <c r="AP176" s="37"/>
      <c r="AQ176" s="37"/>
      <c r="AR176" s="37"/>
    </row>
    <row r="177" spans="1:44" ht="14.25" customHeight="1" x14ac:dyDescent="0.3">
      <c r="A177" s="34"/>
      <c r="B177" s="16"/>
      <c r="C177" s="15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5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37"/>
      <c r="AO177" s="37"/>
      <c r="AP177" s="37"/>
      <c r="AQ177" s="37"/>
      <c r="AR177" s="37"/>
    </row>
    <row r="178" spans="1:44" ht="14.25" customHeight="1" x14ac:dyDescent="0.3">
      <c r="A178" s="34"/>
      <c r="B178" s="16"/>
      <c r="C178" s="15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5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37"/>
      <c r="AO178" s="37"/>
      <c r="AP178" s="37"/>
      <c r="AQ178" s="37"/>
      <c r="AR178" s="37"/>
    </row>
    <row r="179" spans="1:44" ht="14.25" customHeight="1" x14ac:dyDescent="0.3">
      <c r="A179" s="34"/>
      <c r="B179" s="16"/>
      <c r="C179" s="15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5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37"/>
      <c r="AO179" s="37"/>
      <c r="AP179" s="37"/>
      <c r="AQ179" s="37"/>
      <c r="AR179" s="37"/>
    </row>
    <row r="180" spans="1:44" ht="14.25" customHeight="1" x14ac:dyDescent="0.3">
      <c r="A180" s="34"/>
      <c r="B180" s="16"/>
      <c r="C180" s="15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5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37"/>
      <c r="AO180" s="37"/>
      <c r="AP180" s="37"/>
      <c r="AQ180" s="37"/>
      <c r="AR180" s="37"/>
    </row>
    <row r="181" spans="1:44" ht="14.25" customHeight="1" x14ac:dyDescent="0.3">
      <c r="A181" s="34"/>
      <c r="B181" s="16"/>
      <c r="C181" s="15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5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37"/>
      <c r="AO181" s="37"/>
      <c r="AP181" s="37"/>
      <c r="AQ181" s="37"/>
      <c r="AR181" s="37"/>
    </row>
    <row r="182" spans="1:44" ht="14.25" customHeight="1" x14ac:dyDescent="0.3">
      <c r="A182" s="34"/>
      <c r="B182" s="16"/>
      <c r="C182" s="15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5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37"/>
      <c r="AO182" s="37"/>
      <c r="AP182" s="37"/>
      <c r="AQ182" s="37"/>
      <c r="AR182" s="37"/>
    </row>
    <row r="183" spans="1:44" ht="14.25" customHeight="1" x14ac:dyDescent="0.3">
      <c r="A183" s="34"/>
      <c r="B183" s="16"/>
      <c r="C183" s="15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5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37"/>
      <c r="AO183" s="37"/>
      <c r="AP183" s="37"/>
      <c r="AQ183" s="37"/>
      <c r="AR183" s="37"/>
    </row>
    <row r="184" spans="1:44" ht="14.25" customHeight="1" x14ac:dyDescent="0.3">
      <c r="A184" s="34"/>
      <c r="B184" s="16"/>
      <c r="C184" s="15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5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37"/>
      <c r="AO184" s="37"/>
      <c r="AP184" s="37"/>
      <c r="AQ184" s="37"/>
      <c r="AR184" s="37"/>
    </row>
    <row r="185" spans="1:44" ht="14.25" customHeight="1" x14ac:dyDescent="0.3">
      <c r="A185" s="34"/>
      <c r="B185" s="16"/>
      <c r="C185" s="15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5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37"/>
      <c r="AO185" s="37"/>
      <c r="AP185" s="37"/>
      <c r="AQ185" s="37"/>
      <c r="AR185" s="37"/>
    </row>
    <row r="186" spans="1:44" ht="14.25" customHeight="1" x14ac:dyDescent="0.3">
      <c r="A186" s="34"/>
      <c r="B186" s="16"/>
      <c r="C186" s="15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5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37"/>
      <c r="AO186" s="37"/>
      <c r="AP186" s="37"/>
      <c r="AQ186" s="37"/>
      <c r="AR186" s="37"/>
    </row>
    <row r="187" spans="1:44" ht="14.25" customHeight="1" x14ac:dyDescent="0.3">
      <c r="A187" s="34"/>
      <c r="B187" s="16"/>
      <c r="C187" s="15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5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37"/>
      <c r="AO187" s="37"/>
      <c r="AP187" s="37"/>
      <c r="AQ187" s="37"/>
      <c r="AR187" s="37"/>
    </row>
    <row r="188" spans="1:44" ht="14.25" customHeight="1" x14ac:dyDescent="0.3">
      <c r="A188" s="34"/>
      <c r="B188" s="16"/>
      <c r="C188" s="15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5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37"/>
      <c r="AO188" s="37"/>
      <c r="AP188" s="37"/>
      <c r="AQ188" s="37"/>
      <c r="AR188" s="37"/>
    </row>
    <row r="189" spans="1:44" ht="14.25" customHeight="1" x14ac:dyDescent="0.3">
      <c r="A189" s="34"/>
      <c r="B189" s="16"/>
      <c r="C189" s="15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5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37"/>
      <c r="AO189" s="37"/>
      <c r="AP189" s="37"/>
      <c r="AQ189" s="37"/>
      <c r="AR189" s="37"/>
    </row>
    <row r="190" spans="1:44" ht="14.25" customHeight="1" x14ac:dyDescent="0.3">
      <c r="A190" s="34"/>
      <c r="B190" s="16"/>
      <c r="C190" s="15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5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37"/>
      <c r="AO190" s="37"/>
      <c r="AP190" s="37"/>
      <c r="AQ190" s="37"/>
      <c r="AR190" s="37"/>
    </row>
    <row r="191" spans="1:44" ht="14.25" customHeight="1" x14ac:dyDescent="0.3">
      <c r="A191" s="34"/>
      <c r="B191" s="16"/>
      <c r="C191" s="15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5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37"/>
      <c r="AO191" s="37"/>
      <c r="AP191" s="37"/>
      <c r="AQ191" s="37"/>
      <c r="AR191" s="37"/>
    </row>
    <row r="192" spans="1:44" ht="14.25" customHeight="1" x14ac:dyDescent="0.3">
      <c r="A192" s="34"/>
      <c r="B192" s="16"/>
      <c r="C192" s="15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5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37"/>
      <c r="AO192" s="37"/>
      <c r="AP192" s="37"/>
      <c r="AQ192" s="37"/>
      <c r="AR192" s="37"/>
    </row>
    <row r="193" spans="1:44" ht="14.25" customHeight="1" x14ac:dyDescent="0.3">
      <c r="A193" s="34"/>
      <c r="B193" s="16"/>
      <c r="C193" s="15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5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37"/>
      <c r="AO193" s="37"/>
      <c r="AP193" s="37"/>
      <c r="AQ193" s="37"/>
      <c r="AR193" s="37"/>
    </row>
    <row r="194" spans="1:44" ht="14.25" customHeight="1" x14ac:dyDescent="0.3">
      <c r="A194" s="34"/>
      <c r="B194" s="16"/>
      <c r="C194" s="15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5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37"/>
      <c r="AO194" s="37"/>
      <c r="AP194" s="37"/>
      <c r="AQ194" s="37"/>
      <c r="AR194" s="37"/>
    </row>
    <row r="195" spans="1:44" ht="14.25" customHeight="1" x14ac:dyDescent="0.3">
      <c r="A195" s="34"/>
      <c r="B195" s="16"/>
      <c r="C195" s="15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5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37"/>
      <c r="AO195" s="37"/>
      <c r="AP195" s="37"/>
      <c r="AQ195" s="37"/>
      <c r="AR195" s="37"/>
    </row>
    <row r="196" spans="1:44" ht="14.25" customHeight="1" x14ac:dyDescent="0.3">
      <c r="A196" s="34"/>
      <c r="B196" s="16"/>
      <c r="C196" s="15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5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37"/>
      <c r="AO196" s="37"/>
      <c r="AP196" s="37"/>
      <c r="AQ196" s="37"/>
      <c r="AR196" s="37"/>
    </row>
    <row r="197" spans="1:44" ht="14.25" customHeight="1" x14ac:dyDescent="0.3">
      <c r="A197" s="34"/>
      <c r="B197" s="16"/>
      <c r="C197" s="15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5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37"/>
      <c r="AO197" s="37"/>
      <c r="AP197" s="37"/>
      <c r="AQ197" s="37"/>
      <c r="AR197" s="37"/>
    </row>
    <row r="198" spans="1:44" ht="14.25" customHeight="1" x14ac:dyDescent="0.3">
      <c r="A198" s="34"/>
      <c r="B198" s="16"/>
      <c r="C198" s="15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5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37"/>
      <c r="AO198" s="37"/>
      <c r="AP198" s="37"/>
      <c r="AQ198" s="37"/>
      <c r="AR198" s="37"/>
    </row>
    <row r="199" spans="1:44" ht="14.25" customHeight="1" x14ac:dyDescent="0.3">
      <c r="A199" s="34"/>
      <c r="B199" s="16"/>
      <c r="C199" s="15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5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37"/>
      <c r="AO199" s="37"/>
      <c r="AP199" s="37"/>
      <c r="AQ199" s="37"/>
      <c r="AR199" s="37"/>
    </row>
    <row r="200" spans="1:44" ht="14.25" customHeight="1" x14ac:dyDescent="0.3">
      <c r="A200" s="34"/>
      <c r="B200" s="16"/>
      <c r="C200" s="15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5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37"/>
      <c r="AO200" s="37"/>
      <c r="AP200" s="37"/>
      <c r="AQ200" s="37"/>
      <c r="AR200" s="37"/>
    </row>
    <row r="201" spans="1:44" ht="14.25" customHeight="1" x14ac:dyDescent="0.3">
      <c r="A201" s="34"/>
      <c r="B201" s="16"/>
      <c r="C201" s="15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5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37"/>
      <c r="AO201" s="37"/>
      <c r="AP201" s="37"/>
      <c r="AQ201" s="37"/>
      <c r="AR201" s="37"/>
    </row>
    <row r="202" spans="1:44" ht="14.25" customHeight="1" x14ac:dyDescent="0.3">
      <c r="A202" s="34"/>
      <c r="B202" s="16"/>
      <c r="C202" s="15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5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37"/>
      <c r="AO202" s="37"/>
      <c r="AP202" s="37"/>
      <c r="AQ202" s="37"/>
      <c r="AR202" s="37"/>
    </row>
    <row r="203" spans="1:44" ht="14.25" customHeight="1" x14ac:dyDescent="0.3">
      <c r="A203" s="34"/>
      <c r="B203" s="16"/>
      <c r="C203" s="15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5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37"/>
      <c r="AO203" s="37"/>
      <c r="AP203" s="37"/>
      <c r="AQ203" s="37"/>
      <c r="AR203" s="37"/>
    </row>
    <row r="204" spans="1:44" ht="14.25" customHeight="1" x14ac:dyDescent="0.3">
      <c r="A204" s="34"/>
      <c r="B204" s="16"/>
      <c r="C204" s="15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5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37"/>
      <c r="AO204" s="37"/>
      <c r="AP204" s="37"/>
      <c r="AQ204" s="37"/>
      <c r="AR204" s="37"/>
    </row>
    <row r="205" spans="1:44" ht="14.25" customHeight="1" x14ac:dyDescent="0.3">
      <c r="A205" s="34"/>
      <c r="B205" s="16"/>
      <c r="C205" s="15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5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37"/>
      <c r="AO205" s="37"/>
      <c r="AP205" s="37"/>
      <c r="AQ205" s="37"/>
      <c r="AR205" s="37"/>
    </row>
    <row r="206" spans="1:44" ht="14.25" customHeight="1" x14ac:dyDescent="0.3">
      <c r="A206" s="34"/>
      <c r="B206" s="16"/>
      <c r="C206" s="15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5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37"/>
      <c r="AO206" s="37"/>
      <c r="AP206" s="37"/>
      <c r="AQ206" s="37"/>
      <c r="AR206" s="37"/>
    </row>
    <row r="207" spans="1:44" ht="14.25" customHeight="1" x14ac:dyDescent="0.3">
      <c r="A207" s="34"/>
      <c r="B207" s="16"/>
      <c r="C207" s="15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5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37"/>
      <c r="AO207" s="37"/>
      <c r="AP207" s="37"/>
      <c r="AQ207" s="37"/>
      <c r="AR207" s="37"/>
    </row>
    <row r="208" spans="1:44" ht="14.25" customHeight="1" x14ac:dyDescent="0.3">
      <c r="A208" s="34"/>
      <c r="B208" s="16"/>
      <c r="C208" s="15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5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37"/>
      <c r="AO208" s="37"/>
      <c r="AP208" s="37"/>
      <c r="AQ208" s="37"/>
      <c r="AR208" s="37"/>
    </row>
    <row r="209" spans="1:44" ht="14.25" customHeight="1" x14ac:dyDescent="0.3">
      <c r="A209" s="34"/>
      <c r="B209" s="16"/>
      <c r="C209" s="15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5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37"/>
      <c r="AO209" s="37"/>
      <c r="AP209" s="37"/>
      <c r="AQ209" s="37"/>
      <c r="AR209" s="37"/>
    </row>
    <row r="210" spans="1:44" ht="14.25" customHeight="1" x14ac:dyDescent="0.3">
      <c r="A210" s="34"/>
      <c r="B210" s="16"/>
      <c r="C210" s="15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5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37"/>
      <c r="AO210" s="37"/>
      <c r="AP210" s="37"/>
      <c r="AQ210" s="37"/>
      <c r="AR210" s="37"/>
    </row>
    <row r="211" spans="1:44" ht="14.25" customHeight="1" x14ac:dyDescent="0.3">
      <c r="A211" s="34"/>
      <c r="B211" s="16"/>
      <c r="C211" s="15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5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37"/>
      <c r="AO211" s="37"/>
      <c r="AP211" s="37"/>
      <c r="AQ211" s="37"/>
      <c r="AR211" s="37"/>
    </row>
    <row r="212" spans="1:44" ht="14.25" customHeight="1" x14ac:dyDescent="0.3">
      <c r="A212" s="34"/>
      <c r="B212" s="16"/>
      <c r="C212" s="15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5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37"/>
      <c r="AO212" s="37"/>
      <c r="AP212" s="37"/>
      <c r="AQ212" s="37"/>
      <c r="AR212" s="37"/>
    </row>
    <row r="213" spans="1:44" ht="14.25" customHeight="1" x14ac:dyDescent="0.3">
      <c r="A213" s="34"/>
      <c r="B213" s="16"/>
      <c r="C213" s="15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5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37"/>
      <c r="AO213" s="37"/>
      <c r="AP213" s="37"/>
      <c r="AQ213" s="37"/>
      <c r="AR213" s="37"/>
    </row>
    <row r="214" spans="1:44" ht="14.25" customHeight="1" x14ac:dyDescent="0.3">
      <c r="A214" s="34"/>
      <c r="B214" s="16"/>
      <c r="C214" s="15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5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37"/>
      <c r="AO214" s="37"/>
      <c r="AP214" s="37"/>
      <c r="AQ214" s="37"/>
      <c r="AR214" s="37"/>
    </row>
    <row r="215" spans="1:44" ht="14.25" customHeight="1" x14ac:dyDescent="0.3">
      <c r="A215" s="34"/>
      <c r="B215" s="16"/>
      <c r="C215" s="15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5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37"/>
      <c r="AO215" s="37"/>
      <c r="AP215" s="37"/>
      <c r="AQ215" s="37"/>
      <c r="AR215" s="37"/>
    </row>
    <row r="216" spans="1:44" ht="14.25" customHeight="1" x14ac:dyDescent="0.3">
      <c r="A216" s="34"/>
      <c r="B216" s="16"/>
      <c r="C216" s="15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5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37"/>
      <c r="AO216" s="37"/>
      <c r="AP216" s="37"/>
      <c r="AQ216" s="37"/>
      <c r="AR216" s="37"/>
    </row>
    <row r="217" spans="1:44" ht="14.25" customHeight="1" x14ac:dyDescent="0.3">
      <c r="A217" s="34"/>
      <c r="B217" s="16"/>
      <c r="C217" s="15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5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37"/>
      <c r="AO217" s="37"/>
      <c r="AP217" s="37"/>
      <c r="AQ217" s="37"/>
      <c r="AR217" s="37"/>
    </row>
    <row r="218" spans="1:44" ht="14.25" customHeight="1" x14ac:dyDescent="0.3">
      <c r="A218" s="34"/>
      <c r="B218" s="16"/>
      <c r="C218" s="15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5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37"/>
      <c r="AO218" s="37"/>
      <c r="AP218" s="37"/>
      <c r="AQ218" s="37"/>
      <c r="AR218" s="37"/>
    </row>
    <row r="219" spans="1:44" ht="14.25" customHeight="1" x14ac:dyDescent="0.3">
      <c r="A219" s="34"/>
      <c r="B219" s="16"/>
      <c r="C219" s="15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5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37"/>
      <c r="AO219" s="37"/>
      <c r="AP219" s="37"/>
      <c r="AQ219" s="37"/>
      <c r="AR219" s="37"/>
    </row>
    <row r="220" spans="1:44" ht="14.25" customHeight="1" x14ac:dyDescent="0.3">
      <c r="A220" s="34"/>
      <c r="B220" s="16"/>
      <c r="C220" s="15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5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37"/>
      <c r="AO220" s="37"/>
      <c r="AP220" s="37"/>
      <c r="AQ220" s="37"/>
      <c r="AR220" s="37"/>
    </row>
    <row r="221" spans="1:44" ht="14.25" customHeight="1" x14ac:dyDescent="0.3">
      <c r="A221" s="34"/>
      <c r="B221" s="16"/>
      <c r="C221" s="15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5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37"/>
      <c r="AO221" s="37"/>
      <c r="AP221" s="37"/>
      <c r="AQ221" s="37"/>
      <c r="AR221" s="37"/>
    </row>
    <row r="222" spans="1:44" ht="14.25" customHeight="1" x14ac:dyDescent="0.3">
      <c r="A222" s="34"/>
      <c r="B222" s="16"/>
      <c r="C222" s="15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5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37"/>
      <c r="AO222" s="37"/>
      <c r="AP222" s="37"/>
      <c r="AQ222" s="37"/>
      <c r="AR222" s="37"/>
    </row>
    <row r="223" spans="1:44" ht="14.25" customHeight="1" x14ac:dyDescent="0.3">
      <c r="A223" s="34"/>
      <c r="B223" s="16"/>
      <c r="C223" s="15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5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37"/>
      <c r="AO223" s="37"/>
      <c r="AP223" s="37"/>
      <c r="AQ223" s="37"/>
      <c r="AR223" s="37"/>
    </row>
    <row r="224" spans="1:44" ht="14.25" customHeight="1" x14ac:dyDescent="0.3">
      <c r="A224" s="34"/>
      <c r="B224" s="16"/>
      <c r="C224" s="15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5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37"/>
      <c r="AO224" s="37"/>
      <c r="AP224" s="37"/>
      <c r="AQ224" s="37"/>
      <c r="AR224" s="37"/>
    </row>
    <row r="225" spans="1:44" ht="14.25" customHeight="1" x14ac:dyDescent="0.3">
      <c r="A225" s="34"/>
      <c r="B225" s="16"/>
      <c r="C225" s="15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5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37"/>
      <c r="AO225" s="37"/>
      <c r="AP225" s="37"/>
      <c r="AQ225" s="37"/>
      <c r="AR225" s="37"/>
    </row>
    <row r="226" spans="1:44" ht="14.25" customHeight="1" x14ac:dyDescent="0.3">
      <c r="A226" s="34"/>
      <c r="B226" s="16"/>
      <c r="C226" s="15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5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37"/>
      <c r="AO226" s="37"/>
      <c r="AP226" s="37"/>
      <c r="AQ226" s="37"/>
      <c r="AR226" s="37"/>
    </row>
    <row r="227" spans="1:44" ht="14.25" customHeight="1" x14ac:dyDescent="0.3">
      <c r="A227" s="34"/>
      <c r="B227" s="16"/>
      <c r="C227" s="15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5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37"/>
      <c r="AO227" s="37"/>
      <c r="AP227" s="37"/>
      <c r="AQ227" s="37"/>
      <c r="AR227" s="37"/>
    </row>
    <row r="228" spans="1:44" ht="14.25" customHeight="1" x14ac:dyDescent="0.3">
      <c r="A228" s="34"/>
      <c r="B228" s="16"/>
      <c r="C228" s="15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5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37"/>
      <c r="AO228" s="37"/>
      <c r="AP228" s="37"/>
      <c r="AQ228" s="37"/>
      <c r="AR228" s="37"/>
    </row>
    <row r="229" spans="1:44" ht="14.25" customHeight="1" x14ac:dyDescent="0.3">
      <c r="A229" s="34"/>
      <c r="B229" s="16"/>
      <c r="C229" s="15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5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37"/>
      <c r="AO229" s="37"/>
      <c r="AP229" s="37"/>
      <c r="AQ229" s="37"/>
      <c r="AR229" s="37"/>
    </row>
    <row r="230" spans="1:44" ht="14.25" customHeight="1" x14ac:dyDescent="0.3">
      <c r="A230" s="34"/>
      <c r="B230" s="16"/>
      <c r="C230" s="15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5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37"/>
      <c r="AO230" s="37"/>
      <c r="AP230" s="37"/>
      <c r="AQ230" s="37"/>
      <c r="AR230" s="37"/>
    </row>
    <row r="231" spans="1:44" ht="14.25" customHeight="1" x14ac:dyDescent="0.3">
      <c r="A231" s="34"/>
      <c r="B231" s="16"/>
      <c r="C231" s="15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5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37"/>
      <c r="AO231" s="37"/>
      <c r="AP231" s="37"/>
      <c r="AQ231" s="37"/>
      <c r="AR231" s="37"/>
    </row>
    <row r="232" spans="1:44" ht="14.25" customHeight="1" x14ac:dyDescent="0.3">
      <c r="A232" s="34"/>
      <c r="B232" s="16"/>
      <c r="C232" s="15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5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37"/>
      <c r="AO232" s="37"/>
      <c r="AP232" s="37"/>
      <c r="AQ232" s="37"/>
      <c r="AR232" s="37"/>
    </row>
    <row r="233" spans="1:44" ht="14.25" customHeight="1" x14ac:dyDescent="0.3">
      <c r="A233" s="34"/>
      <c r="B233" s="16"/>
      <c r="C233" s="15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5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37"/>
      <c r="AO233" s="37"/>
      <c r="AP233" s="37"/>
      <c r="AQ233" s="37"/>
      <c r="AR233" s="37"/>
    </row>
    <row r="234" spans="1:44" ht="14.25" customHeight="1" x14ac:dyDescent="0.3">
      <c r="A234" s="34"/>
      <c r="B234" s="16"/>
      <c r="C234" s="15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5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37"/>
      <c r="AO234" s="37"/>
      <c r="AP234" s="37"/>
      <c r="AQ234" s="37"/>
      <c r="AR234" s="37"/>
    </row>
    <row r="235" spans="1:44" ht="14.25" customHeight="1" x14ac:dyDescent="0.3">
      <c r="A235" s="34"/>
      <c r="B235" s="16"/>
      <c r="C235" s="15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5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37"/>
      <c r="AO235" s="37"/>
      <c r="AP235" s="37"/>
      <c r="AQ235" s="37"/>
      <c r="AR235" s="37"/>
    </row>
    <row r="236" spans="1:44" ht="14.25" customHeight="1" x14ac:dyDescent="0.3">
      <c r="A236" s="34"/>
      <c r="B236" s="16"/>
      <c r="C236" s="15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5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37"/>
      <c r="AO236" s="37"/>
      <c r="AP236" s="37"/>
      <c r="AQ236" s="37"/>
      <c r="AR236" s="37"/>
    </row>
    <row r="237" spans="1:44" ht="14.25" customHeight="1" x14ac:dyDescent="0.3">
      <c r="A237" s="34"/>
      <c r="B237" s="16"/>
      <c r="C237" s="15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5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37"/>
      <c r="AO237" s="37"/>
      <c r="AP237" s="37"/>
      <c r="AQ237" s="37"/>
      <c r="AR237" s="37"/>
    </row>
    <row r="238" spans="1:44" ht="14.25" customHeight="1" x14ac:dyDescent="0.3">
      <c r="A238" s="34"/>
      <c r="B238" s="16"/>
      <c r="C238" s="15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5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37"/>
      <c r="AO238" s="37"/>
      <c r="AP238" s="37"/>
      <c r="AQ238" s="37"/>
      <c r="AR238" s="37"/>
    </row>
    <row r="239" spans="1:44" ht="14.25" customHeight="1" x14ac:dyDescent="0.3">
      <c r="A239" s="34"/>
      <c r="B239" s="16"/>
      <c r="C239" s="15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5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37"/>
      <c r="AO239" s="37"/>
      <c r="AP239" s="37"/>
      <c r="AQ239" s="37"/>
      <c r="AR239" s="37"/>
    </row>
    <row r="240" spans="1:44" ht="14.25" customHeight="1" x14ac:dyDescent="0.3">
      <c r="A240" s="34"/>
      <c r="B240" s="16"/>
      <c r="C240" s="15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5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37"/>
      <c r="AO240" s="37"/>
      <c r="AP240" s="37"/>
      <c r="AQ240" s="37"/>
      <c r="AR240" s="37"/>
    </row>
    <row r="241" spans="1:44" ht="14.25" customHeight="1" x14ac:dyDescent="0.3">
      <c r="A241" s="34"/>
      <c r="B241" s="16"/>
      <c r="C241" s="15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5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37"/>
      <c r="AO241" s="37"/>
      <c r="AP241" s="37"/>
      <c r="AQ241" s="37"/>
      <c r="AR241" s="37"/>
    </row>
    <row r="242" spans="1:44" ht="14.25" customHeight="1" x14ac:dyDescent="0.3">
      <c r="A242" s="34"/>
      <c r="B242" s="16"/>
      <c r="C242" s="15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5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37"/>
      <c r="AO242" s="37"/>
      <c r="AP242" s="37"/>
      <c r="AQ242" s="37"/>
      <c r="AR242" s="37"/>
    </row>
    <row r="243" spans="1:44" ht="14.25" customHeight="1" x14ac:dyDescent="0.3">
      <c r="A243" s="34"/>
      <c r="B243" s="16"/>
      <c r="C243" s="15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5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37"/>
      <c r="AO243" s="37"/>
      <c r="AP243" s="37"/>
      <c r="AQ243" s="37"/>
      <c r="AR243" s="37"/>
    </row>
    <row r="244" spans="1:44" ht="14.25" customHeight="1" x14ac:dyDescent="0.3">
      <c r="A244" s="34"/>
      <c r="B244" s="16"/>
      <c r="C244" s="15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5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37"/>
      <c r="AO244" s="37"/>
      <c r="AP244" s="37"/>
      <c r="AQ244" s="37"/>
      <c r="AR244" s="37"/>
    </row>
    <row r="245" spans="1:44" ht="14.25" customHeight="1" x14ac:dyDescent="0.3">
      <c r="A245" s="34"/>
      <c r="B245" s="16"/>
      <c r="C245" s="15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5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37"/>
      <c r="AO245" s="37"/>
      <c r="AP245" s="37"/>
      <c r="AQ245" s="37"/>
      <c r="AR245" s="37"/>
    </row>
    <row r="246" spans="1:44" ht="14.25" customHeight="1" x14ac:dyDescent="0.3">
      <c r="A246" s="34"/>
      <c r="B246" s="16"/>
      <c r="C246" s="15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5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37"/>
      <c r="AO246" s="37"/>
      <c r="AP246" s="37"/>
      <c r="AQ246" s="37"/>
      <c r="AR246" s="37"/>
    </row>
    <row r="247" spans="1:44" ht="14.25" customHeight="1" x14ac:dyDescent="0.3">
      <c r="A247" s="34"/>
      <c r="B247" s="16"/>
      <c r="C247" s="15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5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37"/>
      <c r="AO247" s="37"/>
      <c r="AP247" s="37"/>
      <c r="AQ247" s="37"/>
      <c r="AR247" s="37"/>
    </row>
    <row r="248" spans="1:44" ht="14.25" customHeight="1" x14ac:dyDescent="0.3">
      <c r="A248" s="34"/>
      <c r="B248" s="16"/>
      <c r="C248" s="15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5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37"/>
      <c r="AO248" s="37"/>
      <c r="AP248" s="37"/>
      <c r="AQ248" s="37"/>
      <c r="AR248" s="37"/>
    </row>
    <row r="249" spans="1:44" ht="14.25" customHeight="1" x14ac:dyDescent="0.3">
      <c r="A249" s="34"/>
      <c r="B249" s="16"/>
      <c r="C249" s="15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5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37"/>
      <c r="AO249" s="37"/>
      <c r="AP249" s="37"/>
      <c r="AQ249" s="37"/>
      <c r="AR249" s="37"/>
    </row>
    <row r="250" spans="1:44" ht="14.25" customHeight="1" x14ac:dyDescent="0.3">
      <c r="A250" s="34"/>
      <c r="B250" s="16"/>
      <c r="C250" s="15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5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37"/>
      <c r="AO250" s="37"/>
      <c r="AP250" s="37"/>
      <c r="AQ250" s="37"/>
      <c r="AR250" s="37"/>
    </row>
    <row r="251" spans="1:44" ht="14.25" customHeight="1" x14ac:dyDescent="0.3">
      <c r="A251" s="34"/>
      <c r="B251" s="16"/>
      <c r="C251" s="15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5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37"/>
      <c r="AO251" s="37"/>
      <c r="AP251" s="37"/>
      <c r="AQ251" s="37"/>
      <c r="AR251" s="37"/>
    </row>
    <row r="252" spans="1:44" ht="14.25" customHeight="1" x14ac:dyDescent="0.3">
      <c r="A252" s="34"/>
      <c r="B252" s="16"/>
      <c r="C252" s="15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5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37"/>
      <c r="AO252" s="37"/>
      <c r="AP252" s="37"/>
      <c r="AQ252" s="37"/>
      <c r="AR252" s="37"/>
    </row>
    <row r="253" spans="1:44" ht="14.25" customHeight="1" x14ac:dyDescent="0.3">
      <c r="A253" s="34"/>
      <c r="B253" s="16"/>
      <c r="C253" s="15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5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37"/>
      <c r="AO253" s="37"/>
      <c r="AP253" s="37"/>
      <c r="AQ253" s="37"/>
      <c r="AR253" s="37"/>
    </row>
    <row r="254" spans="1:44" ht="14.25" customHeight="1" x14ac:dyDescent="0.3">
      <c r="A254" s="34"/>
      <c r="B254" s="16"/>
      <c r="C254" s="15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5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37"/>
      <c r="AO254" s="37"/>
      <c r="AP254" s="37"/>
      <c r="AQ254" s="37"/>
      <c r="AR254" s="37"/>
    </row>
    <row r="255" spans="1:44" ht="14.25" customHeight="1" x14ac:dyDescent="0.3">
      <c r="A255" s="34"/>
      <c r="B255" s="16"/>
      <c r="C255" s="15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5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37"/>
      <c r="AO255" s="37"/>
      <c r="AP255" s="37"/>
      <c r="AQ255" s="37"/>
      <c r="AR255" s="37"/>
    </row>
    <row r="256" spans="1:44" ht="14.25" customHeight="1" x14ac:dyDescent="0.3">
      <c r="A256" s="34"/>
      <c r="B256" s="16"/>
      <c r="C256" s="15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5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37"/>
      <c r="AO256" s="37"/>
      <c r="AP256" s="37"/>
      <c r="AQ256" s="37"/>
      <c r="AR256" s="37"/>
    </row>
    <row r="257" spans="1:44" ht="14.25" customHeight="1" x14ac:dyDescent="0.3">
      <c r="A257" s="34"/>
      <c r="B257" s="16"/>
      <c r="C257" s="15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5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37"/>
      <c r="AO257" s="37"/>
      <c r="AP257" s="37"/>
      <c r="AQ257" s="37"/>
      <c r="AR257" s="37"/>
    </row>
    <row r="258" spans="1:44" ht="14.25" customHeight="1" x14ac:dyDescent="0.3">
      <c r="A258" s="34"/>
      <c r="B258" s="16"/>
      <c r="C258" s="15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5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37"/>
      <c r="AO258" s="37"/>
      <c r="AP258" s="37"/>
      <c r="AQ258" s="37"/>
      <c r="AR258" s="37"/>
    </row>
    <row r="259" spans="1:44" ht="14.25" customHeight="1" x14ac:dyDescent="0.3">
      <c r="A259" s="34"/>
      <c r="B259" s="16"/>
      <c r="C259" s="15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5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37"/>
      <c r="AO259" s="37"/>
      <c r="AP259" s="37"/>
      <c r="AQ259" s="37"/>
      <c r="AR259" s="37"/>
    </row>
    <row r="260" spans="1:44" ht="14.25" customHeight="1" x14ac:dyDescent="0.3">
      <c r="A260" s="34"/>
      <c r="B260" s="16"/>
      <c r="C260" s="15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5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37"/>
      <c r="AO260" s="37"/>
      <c r="AP260" s="37"/>
      <c r="AQ260" s="37"/>
      <c r="AR260" s="37"/>
    </row>
    <row r="261" spans="1:44" ht="14.25" customHeight="1" x14ac:dyDescent="0.3">
      <c r="A261" s="34"/>
      <c r="B261" s="16"/>
      <c r="C261" s="15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5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37"/>
      <c r="AO261" s="37"/>
      <c r="AP261" s="37"/>
      <c r="AQ261" s="37"/>
      <c r="AR261" s="37"/>
    </row>
    <row r="262" spans="1:44" ht="14.25" customHeight="1" x14ac:dyDescent="0.3">
      <c r="A262" s="34"/>
      <c r="B262" s="16"/>
      <c r="C262" s="15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5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37"/>
      <c r="AO262" s="37"/>
      <c r="AP262" s="37"/>
      <c r="AQ262" s="37"/>
      <c r="AR262" s="37"/>
    </row>
    <row r="263" spans="1:44" ht="14.25" customHeight="1" x14ac:dyDescent="0.3">
      <c r="A263" s="34"/>
      <c r="B263" s="16"/>
      <c r="C263" s="15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5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37"/>
      <c r="AO263" s="37"/>
      <c r="AP263" s="37"/>
      <c r="AQ263" s="37"/>
      <c r="AR263" s="37"/>
    </row>
    <row r="264" spans="1:44" ht="14.25" customHeight="1" x14ac:dyDescent="0.3">
      <c r="A264" s="34"/>
      <c r="B264" s="16"/>
      <c r="C264" s="15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5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37"/>
      <c r="AO264" s="37"/>
      <c r="AP264" s="37"/>
      <c r="AQ264" s="37"/>
      <c r="AR264" s="37"/>
    </row>
    <row r="265" spans="1:44" ht="14.25" customHeight="1" x14ac:dyDescent="0.3">
      <c r="A265" s="34"/>
      <c r="B265" s="16"/>
      <c r="C265" s="15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5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37"/>
      <c r="AO265" s="37"/>
      <c r="AP265" s="37"/>
      <c r="AQ265" s="37"/>
      <c r="AR265" s="37"/>
    </row>
    <row r="266" spans="1:44" ht="14.25" customHeight="1" x14ac:dyDescent="0.3">
      <c r="A266" s="34"/>
      <c r="B266" s="16"/>
      <c r="C266" s="15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5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37"/>
      <c r="AO266" s="37"/>
      <c r="AP266" s="37"/>
      <c r="AQ266" s="37"/>
      <c r="AR266" s="37"/>
    </row>
    <row r="267" spans="1:44" ht="14.25" customHeight="1" x14ac:dyDescent="0.3">
      <c r="A267" s="34"/>
      <c r="B267" s="16"/>
      <c r="C267" s="15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5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37"/>
      <c r="AO267" s="37"/>
      <c r="AP267" s="37"/>
      <c r="AQ267" s="37"/>
      <c r="AR267" s="37"/>
    </row>
    <row r="268" spans="1:44" ht="14.25" customHeight="1" x14ac:dyDescent="0.3">
      <c r="A268" s="34"/>
      <c r="B268" s="16"/>
      <c r="C268" s="15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5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37"/>
      <c r="AO268" s="37"/>
      <c r="AP268" s="37"/>
      <c r="AQ268" s="37"/>
      <c r="AR268" s="37"/>
    </row>
    <row r="269" spans="1:44" ht="14.25" customHeight="1" x14ac:dyDescent="0.3">
      <c r="A269" s="34"/>
      <c r="B269" s="16"/>
      <c r="C269" s="15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5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37"/>
      <c r="AO269" s="37"/>
      <c r="AP269" s="37"/>
      <c r="AQ269" s="37"/>
      <c r="AR269" s="37"/>
    </row>
    <row r="270" spans="1:44" ht="14.25" customHeight="1" x14ac:dyDescent="0.3">
      <c r="A270" s="34"/>
      <c r="B270" s="16"/>
      <c r="C270" s="15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5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37"/>
      <c r="AO270" s="37"/>
      <c r="AP270" s="37"/>
      <c r="AQ270" s="37"/>
      <c r="AR270" s="37"/>
    </row>
    <row r="271" spans="1:44" ht="14.25" customHeight="1" x14ac:dyDescent="0.3">
      <c r="A271" s="34"/>
      <c r="B271" s="16"/>
      <c r="C271" s="15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5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37"/>
      <c r="AO271" s="37"/>
      <c r="AP271" s="37"/>
      <c r="AQ271" s="37"/>
      <c r="AR271" s="37"/>
    </row>
    <row r="272" spans="1:44" ht="14.25" customHeight="1" x14ac:dyDescent="0.3">
      <c r="A272" s="34"/>
      <c r="B272" s="16"/>
      <c r="C272" s="15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5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37"/>
      <c r="AO272" s="37"/>
      <c r="AP272" s="37"/>
      <c r="AQ272" s="37"/>
      <c r="AR272" s="37"/>
    </row>
    <row r="273" spans="1:44" ht="14.25" customHeight="1" x14ac:dyDescent="0.3">
      <c r="A273" s="34"/>
      <c r="B273" s="16"/>
      <c r="C273" s="15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5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37"/>
      <c r="AO273" s="37"/>
      <c r="AP273" s="37"/>
      <c r="AQ273" s="37"/>
      <c r="AR273" s="37"/>
    </row>
    <row r="274" spans="1:44" ht="14.25" customHeight="1" x14ac:dyDescent="0.3">
      <c r="A274" s="34"/>
      <c r="B274" s="16"/>
      <c r="C274" s="15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5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37"/>
      <c r="AO274" s="37"/>
      <c r="AP274" s="37"/>
      <c r="AQ274" s="37"/>
      <c r="AR274" s="37"/>
    </row>
    <row r="275" spans="1:44" ht="14.25" customHeight="1" x14ac:dyDescent="0.3">
      <c r="A275" s="34"/>
      <c r="B275" s="16"/>
      <c r="C275" s="15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5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37"/>
      <c r="AO275" s="37"/>
      <c r="AP275" s="37"/>
      <c r="AQ275" s="37"/>
      <c r="AR275" s="37"/>
    </row>
    <row r="276" spans="1:44" ht="14.25" customHeight="1" x14ac:dyDescent="0.3">
      <c r="A276" s="34"/>
      <c r="B276" s="16"/>
      <c r="C276" s="15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5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37"/>
      <c r="AO276" s="37"/>
      <c r="AP276" s="37"/>
      <c r="AQ276" s="37"/>
      <c r="AR276" s="37"/>
    </row>
    <row r="277" spans="1:44" ht="14.25" customHeight="1" x14ac:dyDescent="0.3">
      <c r="A277" s="34"/>
      <c r="B277" s="16"/>
      <c r="C277" s="15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5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37"/>
      <c r="AO277" s="37"/>
      <c r="AP277" s="37"/>
      <c r="AQ277" s="37"/>
      <c r="AR277" s="37"/>
    </row>
    <row r="278" spans="1:44" ht="14.25" customHeight="1" x14ac:dyDescent="0.3">
      <c r="A278" s="34"/>
      <c r="B278" s="16"/>
      <c r="C278" s="15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5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37"/>
      <c r="AO278" s="37"/>
      <c r="AP278" s="37"/>
      <c r="AQ278" s="37"/>
      <c r="AR278" s="37"/>
    </row>
    <row r="279" spans="1:44" ht="14.25" customHeight="1" x14ac:dyDescent="0.3">
      <c r="A279" s="34"/>
      <c r="B279" s="16"/>
      <c r="C279" s="15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5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37"/>
      <c r="AO279" s="37"/>
      <c r="AP279" s="37"/>
      <c r="AQ279" s="37"/>
      <c r="AR279" s="37"/>
    </row>
    <row r="280" spans="1:44" ht="14.25" customHeight="1" x14ac:dyDescent="0.3">
      <c r="A280" s="34"/>
      <c r="B280" s="16"/>
      <c r="C280" s="15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5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37"/>
      <c r="AO280" s="37"/>
      <c r="AP280" s="37"/>
      <c r="AQ280" s="37"/>
      <c r="AR280" s="37"/>
    </row>
    <row r="281" spans="1:44" ht="14.25" customHeight="1" x14ac:dyDescent="0.3">
      <c r="A281" s="34"/>
      <c r="B281" s="16"/>
      <c r="C281" s="15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5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37"/>
      <c r="AO281" s="37"/>
      <c r="AP281" s="37"/>
      <c r="AQ281" s="37"/>
      <c r="AR281" s="37"/>
    </row>
    <row r="282" spans="1:44" ht="14.25" customHeight="1" x14ac:dyDescent="0.3">
      <c r="A282" s="34"/>
      <c r="B282" s="16"/>
      <c r="C282" s="15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5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37"/>
      <c r="AO282" s="37"/>
      <c r="AP282" s="37"/>
      <c r="AQ282" s="37"/>
      <c r="AR282" s="37"/>
    </row>
    <row r="283" spans="1:44" ht="14.25" customHeight="1" x14ac:dyDescent="0.3">
      <c r="A283" s="34"/>
      <c r="B283" s="16"/>
      <c r="C283" s="15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5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37"/>
      <c r="AO283" s="37"/>
      <c r="AP283" s="37"/>
      <c r="AQ283" s="37"/>
      <c r="AR283" s="37"/>
    </row>
    <row r="284" spans="1:44" ht="14.25" customHeight="1" x14ac:dyDescent="0.3">
      <c r="A284" s="34"/>
      <c r="B284" s="16"/>
      <c r="C284" s="15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5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37"/>
      <c r="AO284" s="37"/>
      <c r="AP284" s="37"/>
      <c r="AQ284" s="37"/>
      <c r="AR284" s="37"/>
    </row>
    <row r="285" spans="1:44" ht="14.25" customHeight="1" x14ac:dyDescent="0.3">
      <c r="A285" s="34"/>
      <c r="B285" s="16"/>
      <c r="C285" s="15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5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37"/>
      <c r="AO285" s="37"/>
      <c r="AP285" s="37"/>
      <c r="AQ285" s="37"/>
      <c r="AR285" s="37"/>
    </row>
    <row r="286" spans="1:44" ht="14.25" customHeight="1" x14ac:dyDescent="0.3">
      <c r="A286" s="34"/>
      <c r="B286" s="16"/>
      <c r="C286" s="15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5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37"/>
      <c r="AO286" s="37"/>
      <c r="AP286" s="37"/>
      <c r="AQ286" s="37"/>
      <c r="AR286" s="37"/>
    </row>
    <row r="287" spans="1:44" ht="14.25" customHeight="1" x14ac:dyDescent="0.3">
      <c r="A287" s="34"/>
      <c r="B287" s="16"/>
      <c r="C287" s="15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5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37"/>
      <c r="AO287" s="37"/>
      <c r="AP287" s="37"/>
      <c r="AQ287" s="37"/>
      <c r="AR287" s="37"/>
    </row>
    <row r="288" spans="1:44" ht="14.25" customHeight="1" x14ac:dyDescent="0.3">
      <c r="A288" s="34"/>
      <c r="B288" s="16"/>
      <c r="C288" s="15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5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37"/>
      <c r="AO288" s="37"/>
      <c r="AP288" s="37"/>
      <c r="AQ288" s="37"/>
      <c r="AR288" s="37"/>
    </row>
    <row r="289" spans="1:44" ht="14.25" customHeight="1" x14ac:dyDescent="0.3">
      <c r="A289" s="34"/>
      <c r="B289" s="16"/>
      <c r="C289" s="15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5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37"/>
      <c r="AO289" s="37"/>
      <c r="AP289" s="37"/>
      <c r="AQ289" s="37"/>
      <c r="AR289" s="37"/>
    </row>
    <row r="290" spans="1:44" ht="14.25" customHeight="1" x14ac:dyDescent="0.3">
      <c r="A290" s="34"/>
      <c r="B290" s="16"/>
      <c r="C290" s="15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5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37"/>
      <c r="AO290" s="37"/>
      <c r="AP290" s="37"/>
      <c r="AQ290" s="37"/>
      <c r="AR290" s="37"/>
    </row>
    <row r="291" spans="1:44" ht="14.25" customHeight="1" x14ac:dyDescent="0.3">
      <c r="A291" s="34"/>
      <c r="B291" s="16"/>
      <c r="C291" s="15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5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37"/>
      <c r="AO291" s="37"/>
      <c r="AP291" s="37"/>
      <c r="AQ291" s="37"/>
      <c r="AR291" s="37"/>
    </row>
    <row r="292" spans="1:44" ht="14.25" customHeight="1" x14ac:dyDescent="0.3">
      <c r="A292" s="34"/>
      <c r="B292" s="16"/>
      <c r="C292" s="15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5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37"/>
      <c r="AO292" s="37"/>
      <c r="AP292" s="37"/>
      <c r="AQ292" s="37"/>
      <c r="AR292" s="37"/>
    </row>
    <row r="293" spans="1:44" ht="14.25" customHeight="1" x14ac:dyDescent="0.3">
      <c r="A293" s="34"/>
      <c r="B293" s="16"/>
      <c r="C293" s="15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5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37"/>
      <c r="AO293" s="37"/>
      <c r="AP293" s="37"/>
      <c r="AQ293" s="37"/>
      <c r="AR293" s="37"/>
    </row>
    <row r="294" spans="1:44" ht="14.25" customHeight="1" x14ac:dyDescent="0.3">
      <c r="A294" s="34"/>
      <c r="B294" s="16"/>
      <c r="C294" s="15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5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37"/>
      <c r="AO294" s="37"/>
      <c r="AP294" s="37"/>
      <c r="AQ294" s="37"/>
      <c r="AR294" s="37"/>
    </row>
    <row r="295" spans="1:44" ht="14.25" customHeight="1" x14ac:dyDescent="0.3">
      <c r="A295" s="34"/>
      <c r="B295" s="16"/>
      <c r="C295" s="15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5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37"/>
      <c r="AO295" s="37"/>
      <c r="AP295" s="37"/>
      <c r="AQ295" s="37"/>
      <c r="AR295" s="37"/>
    </row>
    <row r="296" spans="1:44" ht="14.25" customHeight="1" x14ac:dyDescent="0.3">
      <c r="A296" s="34"/>
      <c r="B296" s="16"/>
      <c r="C296" s="15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5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37"/>
      <c r="AO296" s="37"/>
      <c r="AP296" s="37"/>
      <c r="AQ296" s="37"/>
      <c r="AR296" s="37"/>
    </row>
    <row r="297" spans="1:44" ht="14.25" customHeight="1" x14ac:dyDescent="0.3">
      <c r="A297" s="34"/>
      <c r="B297" s="16"/>
      <c r="C297" s="15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5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37"/>
      <c r="AO297" s="37"/>
      <c r="AP297" s="37"/>
      <c r="AQ297" s="37"/>
      <c r="AR297" s="37"/>
    </row>
    <row r="298" spans="1:44" ht="14.25" customHeight="1" x14ac:dyDescent="0.3">
      <c r="A298" s="34"/>
      <c r="B298" s="16"/>
      <c r="C298" s="15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5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37"/>
      <c r="AO298" s="37"/>
      <c r="AP298" s="37"/>
      <c r="AQ298" s="37"/>
      <c r="AR298" s="37"/>
    </row>
    <row r="299" spans="1:44" ht="14.25" customHeight="1" x14ac:dyDescent="0.3">
      <c r="A299" s="34"/>
      <c r="B299" s="16"/>
      <c r="C299" s="15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5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37"/>
      <c r="AO299" s="37"/>
      <c r="AP299" s="37"/>
      <c r="AQ299" s="37"/>
      <c r="AR299" s="37"/>
    </row>
    <row r="300" spans="1:44" ht="14.25" customHeight="1" x14ac:dyDescent="0.3">
      <c r="A300" s="34"/>
      <c r="B300" s="16"/>
      <c r="C300" s="15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5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37"/>
      <c r="AO300" s="37"/>
      <c r="AP300" s="37"/>
      <c r="AQ300" s="37"/>
      <c r="AR300" s="37"/>
    </row>
    <row r="301" spans="1:44" ht="14.25" customHeight="1" x14ac:dyDescent="0.3">
      <c r="A301" s="34"/>
      <c r="B301" s="16"/>
      <c r="C301" s="15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5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37"/>
      <c r="AO301" s="37"/>
      <c r="AP301" s="37"/>
      <c r="AQ301" s="37"/>
      <c r="AR301" s="37"/>
    </row>
    <row r="302" spans="1:44" ht="14.25" customHeight="1" x14ac:dyDescent="0.3">
      <c r="A302" s="34"/>
      <c r="B302" s="16"/>
      <c r="C302" s="15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5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37"/>
      <c r="AO302" s="37"/>
      <c r="AP302" s="37"/>
      <c r="AQ302" s="37"/>
      <c r="AR302" s="37"/>
    </row>
    <row r="303" spans="1:44" ht="14.25" customHeight="1" x14ac:dyDescent="0.3">
      <c r="A303" s="34"/>
      <c r="B303" s="16"/>
      <c r="C303" s="15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5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37"/>
      <c r="AO303" s="37"/>
      <c r="AP303" s="37"/>
      <c r="AQ303" s="37"/>
      <c r="AR303" s="37"/>
    </row>
    <row r="304" spans="1:44" ht="14.25" customHeight="1" x14ac:dyDescent="0.3">
      <c r="A304" s="34"/>
      <c r="B304" s="16"/>
      <c r="C304" s="15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5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37"/>
      <c r="AO304" s="37"/>
      <c r="AP304" s="37"/>
      <c r="AQ304" s="37"/>
      <c r="AR304" s="37"/>
    </row>
    <row r="305" spans="1:44" ht="14.25" customHeight="1" x14ac:dyDescent="0.3">
      <c r="A305" s="34"/>
      <c r="B305" s="16"/>
      <c r="C305" s="15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5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37"/>
      <c r="AO305" s="37"/>
      <c r="AP305" s="37"/>
      <c r="AQ305" s="37"/>
      <c r="AR305" s="37"/>
    </row>
    <row r="306" spans="1:44" ht="14.25" customHeight="1" x14ac:dyDescent="0.3">
      <c r="A306" s="34"/>
      <c r="B306" s="16"/>
      <c r="C306" s="15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5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37"/>
      <c r="AO306" s="37"/>
      <c r="AP306" s="37"/>
      <c r="AQ306" s="37"/>
      <c r="AR306" s="37"/>
    </row>
    <row r="307" spans="1:44" ht="14.25" customHeight="1" x14ac:dyDescent="0.3">
      <c r="A307" s="34"/>
      <c r="B307" s="16"/>
      <c r="C307" s="15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5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37"/>
      <c r="AO307" s="37"/>
      <c r="AP307" s="37"/>
      <c r="AQ307" s="37"/>
      <c r="AR307" s="37"/>
    </row>
    <row r="308" spans="1:44" ht="14.25" customHeight="1" x14ac:dyDescent="0.3">
      <c r="A308" s="34"/>
      <c r="B308" s="16"/>
      <c r="C308" s="15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5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37"/>
      <c r="AO308" s="37"/>
      <c r="AP308" s="37"/>
      <c r="AQ308" s="37"/>
      <c r="AR308" s="37"/>
    </row>
    <row r="309" spans="1:44" ht="14.25" customHeight="1" x14ac:dyDescent="0.3">
      <c r="A309" s="34"/>
      <c r="B309" s="16"/>
      <c r="C309" s="15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5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37"/>
      <c r="AO309" s="37"/>
      <c r="AP309" s="37"/>
      <c r="AQ309" s="37"/>
      <c r="AR309" s="37"/>
    </row>
    <row r="310" spans="1:44" ht="14.25" customHeight="1" x14ac:dyDescent="0.3">
      <c r="A310" s="34"/>
      <c r="B310" s="16"/>
      <c r="C310" s="15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5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37"/>
      <c r="AO310" s="37"/>
      <c r="AP310" s="37"/>
      <c r="AQ310" s="37"/>
      <c r="AR310" s="37"/>
    </row>
    <row r="311" spans="1:44" ht="14.25" customHeight="1" x14ac:dyDescent="0.3">
      <c r="A311" s="34"/>
      <c r="B311" s="16"/>
      <c r="C311" s="15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5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37"/>
      <c r="AO311" s="37"/>
      <c r="AP311" s="37"/>
      <c r="AQ311" s="37"/>
      <c r="AR311" s="37"/>
    </row>
    <row r="312" spans="1:44" ht="14.25" customHeight="1" x14ac:dyDescent="0.3">
      <c r="A312" s="34"/>
      <c r="B312" s="16"/>
      <c r="C312" s="15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5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37"/>
      <c r="AO312" s="37"/>
      <c r="AP312" s="37"/>
      <c r="AQ312" s="37"/>
      <c r="AR312" s="37"/>
    </row>
    <row r="313" spans="1:44" ht="14.25" customHeight="1" x14ac:dyDescent="0.3">
      <c r="A313" s="34"/>
      <c r="B313" s="16"/>
      <c r="C313" s="15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5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37"/>
      <c r="AO313" s="37"/>
      <c r="AP313" s="37"/>
      <c r="AQ313" s="37"/>
      <c r="AR313" s="37"/>
    </row>
    <row r="314" spans="1:44" ht="14.25" customHeight="1" x14ac:dyDescent="0.3">
      <c r="A314" s="34"/>
      <c r="B314" s="16"/>
      <c r="C314" s="15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5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37"/>
      <c r="AO314" s="37"/>
      <c r="AP314" s="37"/>
      <c r="AQ314" s="37"/>
      <c r="AR314" s="37"/>
    </row>
    <row r="315" spans="1:44" ht="14.25" customHeight="1" x14ac:dyDescent="0.3">
      <c r="A315" s="34"/>
      <c r="B315" s="16"/>
      <c r="C315" s="15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5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37"/>
      <c r="AO315" s="37"/>
      <c r="AP315" s="37"/>
      <c r="AQ315" s="37"/>
      <c r="AR315" s="37"/>
    </row>
    <row r="316" spans="1:44" ht="14.25" customHeight="1" x14ac:dyDescent="0.3">
      <c r="A316" s="34"/>
      <c r="B316" s="16"/>
      <c r="C316" s="15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5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37"/>
      <c r="AO316" s="37"/>
      <c r="AP316" s="37"/>
      <c r="AQ316" s="37"/>
      <c r="AR316" s="37"/>
    </row>
    <row r="317" spans="1:44" ht="14.25" customHeight="1" x14ac:dyDescent="0.3">
      <c r="A317" s="34"/>
      <c r="B317" s="16"/>
      <c r="C317" s="15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5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37"/>
      <c r="AO317" s="37"/>
      <c r="AP317" s="37"/>
      <c r="AQ317" s="37"/>
      <c r="AR317" s="37"/>
    </row>
    <row r="318" spans="1:44" ht="14.25" customHeight="1" x14ac:dyDescent="0.3">
      <c r="A318" s="34"/>
      <c r="B318" s="16"/>
      <c r="C318" s="15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5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37"/>
      <c r="AO318" s="37"/>
      <c r="AP318" s="37"/>
      <c r="AQ318" s="37"/>
      <c r="AR318" s="37"/>
    </row>
    <row r="319" spans="1:44" ht="14.25" customHeight="1" x14ac:dyDescent="0.3">
      <c r="A319" s="34"/>
      <c r="B319" s="16"/>
      <c r="C319" s="15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5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37"/>
      <c r="AO319" s="37"/>
      <c r="AP319" s="37"/>
      <c r="AQ319" s="37"/>
      <c r="AR319" s="37"/>
    </row>
    <row r="320" spans="1:44" ht="14.25" customHeight="1" x14ac:dyDescent="0.3">
      <c r="A320" s="34"/>
      <c r="B320" s="16"/>
      <c r="C320" s="15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5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37"/>
      <c r="AO320" s="37"/>
      <c r="AP320" s="37"/>
      <c r="AQ320" s="37"/>
      <c r="AR320" s="37"/>
    </row>
    <row r="321" spans="1:44" ht="14.25" customHeight="1" x14ac:dyDescent="0.3">
      <c r="A321" s="34"/>
      <c r="B321" s="16"/>
      <c r="C321" s="15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5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37"/>
      <c r="AO321" s="37"/>
      <c r="AP321" s="37"/>
      <c r="AQ321" s="37"/>
      <c r="AR321" s="37"/>
    </row>
    <row r="322" spans="1:44" ht="14.25" customHeight="1" x14ac:dyDescent="0.3">
      <c r="A322" s="34"/>
      <c r="B322" s="16"/>
      <c r="C322" s="15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5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37"/>
      <c r="AO322" s="37"/>
      <c r="AP322" s="37"/>
      <c r="AQ322" s="37"/>
      <c r="AR322" s="37"/>
    </row>
    <row r="323" spans="1:44" ht="14.25" customHeight="1" x14ac:dyDescent="0.3">
      <c r="A323" s="34"/>
      <c r="B323" s="16"/>
      <c r="C323" s="15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5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37"/>
      <c r="AO323" s="37"/>
      <c r="AP323" s="37"/>
      <c r="AQ323" s="37"/>
      <c r="AR323" s="37"/>
    </row>
    <row r="324" spans="1:44" ht="14.25" customHeight="1" x14ac:dyDescent="0.3">
      <c r="A324" s="34"/>
      <c r="B324" s="16"/>
      <c r="C324" s="15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5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37"/>
      <c r="AO324" s="37"/>
      <c r="AP324" s="37"/>
      <c r="AQ324" s="37"/>
      <c r="AR324" s="37"/>
    </row>
    <row r="325" spans="1:44" ht="14.25" customHeight="1" x14ac:dyDescent="0.3">
      <c r="A325" s="34"/>
      <c r="B325" s="16"/>
      <c r="C325" s="15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5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37"/>
      <c r="AO325" s="37"/>
      <c r="AP325" s="37"/>
      <c r="AQ325" s="37"/>
      <c r="AR325" s="37"/>
    </row>
    <row r="326" spans="1:44" ht="14.25" customHeight="1" x14ac:dyDescent="0.3">
      <c r="A326" s="34"/>
      <c r="B326" s="16"/>
      <c r="C326" s="15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5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37"/>
      <c r="AO326" s="37"/>
      <c r="AP326" s="37"/>
      <c r="AQ326" s="37"/>
      <c r="AR326" s="37"/>
    </row>
    <row r="327" spans="1:44" ht="14.25" customHeight="1" x14ac:dyDescent="0.3">
      <c r="A327" s="34"/>
      <c r="B327" s="16"/>
      <c r="C327" s="15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5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37"/>
      <c r="AO327" s="37"/>
      <c r="AP327" s="37"/>
      <c r="AQ327" s="37"/>
      <c r="AR327" s="37"/>
    </row>
    <row r="328" spans="1:44" ht="14.25" customHeight="1" x14ac:dyDescent="0.3">
      <c r="A328" s="34"/>
      <c r="B328" s="16"/>
      <c r="C328" s="15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5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37"/>
      <c r="AO328" s="37"/>
      <c r="AP328" s="37"/>
      <c r="AQ328" s="37"/>
      <c r="AR328" s="37"/>
    </row>
    <row r="329" spans="1:44" ht="14.25" customHeight="1" x14ac:dyDescent="0.3">
      <c r="A329" s="34"/>
      <c r="B329" s="16"/>
      <c r="C329" s="15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5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37"/>
      <c r="AO329" s="37"/>
      <c r="AP329" s="37"/>
      <c r="AQ329" s="37"/>
      <c r="AR329" s="37"/>
    </row>
    <row r="330" spans="1:44" ht="14.25" customHeight="1" x14ac:dyDescent="0.3">
      <c r="A330" s="34"/>
      <c r="B330" s="16"/>
      <c r="C330" s="15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5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37"/>
      <c r="AO330" s="37"/>
      <c r="AP330" s="37"/>
      <c r="AQ330" s="37"/>
      <c r="AR330" s="37"/>
    </row>
    <row r="331" spans="1:44" ht="14.25" customHeight="1" x14ac:dyDescent="0.3">
      <c r="A331" s="34"/>
      <c r="B331" s="16"/>
      <c r="C331" s="15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5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37"/>
      <c r="AO331" s="37"/>
      <c r="AP331" s="37"/>
      <c r="AQ331" s="37"/>
      <c r="AR331" s="37"/>
    </row>
    <row r="332" spans="1:44" ht="14.25" customHeight="1" x14ac:dyDescent="0.3">
      <c r="A332" s="34"/>
      <c r="B332" s="16"/>
      <c r="C332" s="15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5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37"/>
      <c r="AO332" s="37"/>
      <c r="AP332" s="37"/>
      <c r="AQ332" s="37"/>
      <c r="AR332" s="37"/>
    </row>
    <row r="333" spans="1:44" ht="14.25" customHeight="1" x14ac:dyDescent="0.3">
      <c r="A333" s="34"/>
      <c r="B333" s="16"/>
      <c r="C333" s="15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5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37"/>
      <c r="AO333" s="37"/>
      <c r="AP333" s="37"/>
      <c r="AQ333" s="37"/>
      <c r="AR333" s="37"/>
    </row>
    <row r="334" spans="1:44" ht="14.25" customHeight="1" x14ac:dyDescent="0.3">
      <c r="A334" s="34"/>
      <c r="B334" s="16"/>
      <c r="C334" s="15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5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37"/>
      <c r="AO334" s="37"/>
      <c r="AP334" s="37"/>
      <c r="AQ334" s="37"/>
      <c r="AR334" s="37"/>
    </row>
    <row r="335" spans="1:44" ht="14.25" customHeight="1" x14ac:dyDescent="0.3">
      <c r="A335" s="34"/>
      <c r="B335" s="16"/>
      <c r="C335" s="15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5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37"/>
      <c r="AO335" s="37"/>
      <c r="AP335" s="37"/>
      <c r="AQ335" s="37"/>
      <c r="AR335" s="37"/>
    </row>
    <row r="336" spans="1:44" ht="14.25" customHeight="1" x14ac:dyDescent="0.3">
      <c r="A336" s="34"/>
      <c r="B336" s="16"/>
      <c r="C336" s="15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5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37"/>
      <c r="AO336" s="37"/>
      <c r="AP336" s="37"/>
      <c r="AQ336" s="37"/>
      <c r="AR336" s="37"/>
    </row>
    <row r="337" spans="1:44" ht="14.25" customHeight="1" x14ac:dyDescent="0.3">
      <c r="A337" s="34"/>
      <c r="B337" s="16"/>
      <c r="C337" s="15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5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37"/>
      <c r="AO337" s="37"/>
      <c r="AP337" s="37"/>
      <c r="AQ337" s="37"/>
      <c r="AR337" s="37"/>
    </row>
    <row r="338" spans="1:44" ht="14.25" customHeight="1" x14ac:dyDescent="0.3">
      <c r="A338" s="34"/>
      <c r="B338" s="16"/>
      <c r="C338" s="15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5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37"/>
      <c r="AO338" s="37"/>
      <c r="AP338" s="37"/>
      <c r="AQ338" s="37"/>
      <c r="AR338" s="37"/>
    </row>
    <row r="339" spans="1:44" ht="14.25" customHeight="1" x14ac:dyDescent="0.3">
      <c r="A339" s="34"/>
      <c r="B339" s="16"/>
      <c r="C339" s="15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5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37"/>
      <c r="AO339" s="37"/>
      <c r="AP339" s="37"/>
      <c r="AQ339" s="37"/>
      <c r="AR339" s="37"/>
    </row>
    <row r="340" spans="1:44" ht="14.25" customHeight="1" x14ac:dyDescent="0.3">
      <c r="A340" s="34"/>
      <c r="B340" s="16"/>
      <c r="C340" s="15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5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37"/>
      <c r="AO340" s="37"/>
      <c r="AP340" s="37"/>
      <c r="AQ340" s="37"/>
      <c r="AR340" s="37"/>
    </row>
    <row r="341" spans="1:44" ht="14.25" customHeight="1" x14ac:dyDescent="0.3">
      <c r="A341" s="34"/>
      <c r="B341" s="16"/>
      <c r="C341" s="15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5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37"/>
      <c r="AO341" s="37"/>
      <c r="AP341" s="37"/>
      <c r="AQ341" s="37"/>
      <c r="AR341" s="37"/>
    </row>
    <row r="342" spans="1:44" ht="14.25" customHeight="1" x14ac:dyDescent="0.3">
      <c r="A342" s="34"/>
      <c r="B342" s="16"/>
      <c r="C342" s="15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5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37"/>
      <c r="AO342" s="37"/>
      <c r="AP342" s="37"/>
      <c r="AQ342" s="37"/>
      <c r="AR342" s="37"/>
    </row>
    <row r="343" spans="1:44" ht="14.25" customHeight="1" x14ac:dyDescent="0.3">
      <c r="A343" s="34"/>
      <c r="B343" s="16"/>
      <c r="C343" s="15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5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37"/>
      <c r="AO343" s="37"/>
      <c r="AP343" s="37"/>
      <c r="AQ343" s="37"/>
      <c r="AR343" s="37"/>
    </row>
    <row r="344" spans="1:44" ht="14.25" customHeight="1" x14ac:dyDescent="0.3">
      <c r="A344" s="34"/>
      <c r="B344" s="16"/>
      <c r="C344" s="15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5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37"/>
      <c r="AO344" s="37"/>
      <c r="AP344" s="37"/>
      <c r="AQ344" s="37"/>
      <c r="AR344" s="37"/>
    </row>
    <row r="345" spans="1:44" ht="14.25" customHeight="1" x14ac:dyDescent="0.3">
      <c r="A345" s="34"/>
      <c r="B345" s="16"/>
      <c r="C345" s="15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5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37"/>
      <c r="AO345" s="37"/>
      <c r="AP345" s="37"/>
      <c r="AQ345" s="37"/>
      <c r="AR345" s="37"/>
    </row>
    <row r="346" spans="1:44" ht="14.25" customHeight="1" x14ac:dyDescent="0.3">
      <c r="A346" s="34"/>
      <c r="B346" s="16"/>
      <c r="C346" s="15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5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37"/>
      <c r="AO346" s="37"/>
      <c r="AP346" s="37"/>
      <c r="AQ346" s="37"/>
      <c r="AR346" s="37"/>
    </row>
    <row r="347" spans="1:44" ht="14.25" customHeight="1" x14ac:dyDescent="0.3">
      <c r="A347" s="34"/>
      <c r="B347" s="16"/>
      <c r="C347" s="15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5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37"/>
      <c r="AO347" s="37"/>
      <c r="AP347" s="37"/>
      <c r="AQ347" s="37"/>
      <c r="AR347" s="37"/>
    </row>
    <row r="348" spans="1:44" ht="14.25" customHeight="1" x14ac:dyDescent="0.3">
      <c r="A348" s="34"/>
      <c r="B348" s="16"/>
      <c r="C348" s="15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5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37"/>
      <c r="AO348" s="37"/>
      <c r="AP348" s="37"/>
      <c r="AQ348" s="37"/>
      <c r="AR348" s="37"/>
    </row>
    <row r="349" spans="1:44" ht="14.25" customHeight="1" x14ac:dyDescent="0.3">
      <c r="A349" s="34"/>
      <c r="B349" s="16"/>
      <c r="C349" s="15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5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37"/>
      <c r="AO349" s="37"/>
      <c r="AP349" s="37"/>
      <c r="AQ349" s="37"/>
      <c r="AR349" s="37"/>
    </row>
    <row r="350" spans="1:44" ht="14.25" customHeight="1" x14ac:dyDescent="0.3">
      <c r="A350" s="34"/>
      <c r="B350" s="16"/>
      <c r="C350" s="15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5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37"/>
      <c r="AO350" s="37"/>
      <c r="AP350" s="37"/>
      <c r="AQ350" s="37"/>
      <c r="AR350" s="37"/>
    </row>
    <row r="351" spans="1:44" ht="14.25" customHeight="1" x14ac:dyDescent="0.3">
      <c r="A351" s="34"/>
      <c r="B351" s="16"/>
      <c r="C351" s="15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5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37"/>
      <c r="AO351" s="37"/>
      <c r="AP351" s="37"/>
      <c r="AQ351" s="37"/>
      <c r="AR351" s="37"/>
    </row>
    <row r="352" spans="1:44" ht="14.25" customHeight="1" x14ac:dyDescent="0.3">
      <c r="A352" s="34"/>
      <c r="B352" s="16"/>
      <c r="C352" s="15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5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37"/>
      <c r="AO352" s="37"/>
      <c r="AP352" s="37"/>
      <c r="AQ352" s="37"/>
      <c r="AR352" s="37"/>
    </row>
    <row r="353" spans="1:44" ht="14.25" customHeight="1" x14ac:dyDescent="0.3">
      <c r="A353" s="34"/>
      <c r="B353" s="16"/>
      <c r="C353" s="15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5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37"/>
      <c r="AO353" s="37"/>
      <c r="AP353" s="37"/>
      <c r="AQ353" s="37"/>
      <c r="AR353" s="37"/>
    </row>
    <row r="354" spans="1:44" ht="14.25" customHeight="1" x14ac:dyDescent="0.3">
      <c r="A354" s="34"/>
      <c r="B354" s="16"/>
      <c r="C354" s="15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5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37"/>
      <c r="AO354" s="37"/>
      <c r="AP354" s="37"/>
      <c r="AQ354" s="37"/>
      <c r="AR354" s="37"/>
    </row>
    <row r="355" spans="1:44" ht="14.25" customHeight="1" x14ac:dyDescent="0.3">
      <c r="A355" s="34"/>
      <c r="B355" s="16"/>
      <c r="C355" s="15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5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37"/>
      <c r="AO355" s="37"/>
      <c r="AP355" s="37"/>
      <c r="AQ355" s="37"/>
      <c r="AR355" s="37"/>
    </row>
    <row r="356" spans="1:44" ht="14.25" customHeight="1" x14ac:dyDescent="0.3">
      <c r="A356" s="34"/>
      <c r="B356" s="16"/>
      <c r="C356" s="15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5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37"/>
      <c r="AO356" s="37"/>
      <c r="AP356" s="37"/>
      <c r="AQ356" s="37"/>
      <c r="AR356" s="37"/>
    </row>
    <row r="357" spans="1:44" ht="14.25" customHeight="1" x14ac:dyDescent="0.3">
      <c r="A357" s="34"/>
      <c r="B357" s="16"/>
      <c r="C357" s="15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5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37"/>
      <c r="AO357" s="37"/>
      <c r="AP357" s="37"/>
      <c r="AQ357" s="37"/>
      <c r="AR357" s="37"/>
    </row>
    <row r="358" spans="1:44" ht="14.25" customHeight="1" x14ac:dyDescent="0.3">
      <c r="A358" s="34"/>
      <c r="B358" s="16"/>
      <c r="C358" s="15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5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37"/>
      <c r="AO358" s="37"/>
      <c r="AP358" s="37"/>
      <c r="AQ358" s="37"/>
      <c r="AR358" s="37"/>
    </row>
    <row r="359" spans="1:44" ht="14.25" customHeight="1" x14ac:dyDescent="0.3">
      <c r="A359" s="34"/>
      <c r="B359" s="16"/>
      <c r="C359" s="15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5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37"/>
      <c r="AO359" s="37"/>
      <c r="AP359" s="37"/>
      <c r="AQ359" s="37"/>
      <c r="AR359" s="37"/>
    </row>
    <row r="360" spans="1:44" ht="14.25" customHeight="1" x14ac:dyDescent="0.3">
      <c r="A360" s="34"/>
      <c r="B360" s="16"/>
      <c r="C360" s="15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5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37"/>
      <c r="AO360" s="37"/>
      <c r="AP360" s="37"/>
      <c r="AQ360" s="37"/>
      <c r="AR360" s="37"/>
    </row>
    <row r="361" spans="1:44" ht="14.25" customHeight="1" x14ac:dyDescent="0.3">
      <c r="A361" s="34"/>
      <c r="B361" s="16"/>
      <c r="C361" s="15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5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37"/>
      <c r="AO361" s="37"/>
      <c r="AP361" s="37"/>
      <c r="AQ361" s="37"/>
      <c r="AR361" s="37"/>
    </row>
    <row r="362" spans="1:44" ht="14.25" customHeight="1" x14ac:dyDescent="0.3">
      <c r="A362" s="34"/>
      <c r="B362" s="16"/>
      <c r="C362" s="15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5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37"/>
      <c r="AO362" s="37"/>
      <c r="AP362" s="37"/>
      <c r="AQ362" s="37"/>
      <c r="AR362" s="37"/>
    </row>
    <row r="363" spans="1:44" ht="14.25" customHeight="1" x14ac:dyDescent="0.3">
      <c r="A363" s="34"/>
      <c r="B363" s="16"/>
      <c r="C363" s="15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5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37"/>
      <c r="AO363" s="37"/>
      <c r="AP363" s="37"/>
      <c r="AQ363" s="37"/>
      <c r="AR363" s="37"/>
    </row>
    <row r="364" spans="1:44" ht="14.25" customHeight="1" x14ac:dyDescent="0.3">
      <c r="A364" s="34"/>
      <c r="B364" s="16"/>
      <c r="C364" s="15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5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37"/>
      <c r="AO364" s="37"/>
      <c r="AP364" s="37"/>
      <c r="AQ364" s="37"/>
      <c r="AR364" s="37"/>
    </row>
    <row r="365" spans="1:44" ht="14.25" customHeight="1" x14ac:dyDescent="0.3">
      <c r="A365" s="34"/>
      <c r="B365" s="16"/>
      <c r="C365" s="15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5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37"/>
      <c r="AO365" s="37"/>
      <c r="AP365" s="37"/>
      <c r="AQ365" s="37"/>
      <c r="AR365" s="37"/>
    </row>
    <row r="366" spans="1:44" ht="14.25" customHeight="1" x14ac:dyDescent="0.3">
      <c r="A366" s="34"/>
      <c r="B366" s="16"/>
      <c r="C366" s="15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5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37"/>
      <c r="AO366" s="37"/>
      <c r="AP366" s="37"/>
      <c r="AQ366" s="37"/>
      <c r="AR366" s="37"/>
    </row>
    <row r="367" spans="1:44" ht="14.25" customHeight="1" x14ac:dyDescent="0.3">
      <c r="A367" s="34"/>
      <c r="B367" s="16"/>
      <c r="C367" s="15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5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37"/>
      <c r="AO367" s="37"/>
      <c r="AP367" s="37"/>
      <c r="AQ367" s="37"/>
      <c r="AR367" s="37"/>
    </row>
    <row r="368" spans="1:44" ht="14.25" customHeight="1" x14ac:dyDescent="0.3">
      <c r="A368" s="34"/>
      <c r="B368" s="16"/>
      <c r="C368" s="15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5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37"/>
      <c r="AO368" s="37"/>
      <c r="AP368" s="37"/>
      <c r="AQ368" s="37"/>
      <c r="AR368" s="37"/>
    </row>
    <row r="369" spans="1:44" ht="14.25" customHeight="1" x14ac:dyDescent="0.3">
      <c r="A369" s="34"/>
      <c r="B369" s="16"/>
      <c r="C369" s="15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5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37"/>
      <c r="AO369" s="37"/>
      <c r="AP369" s="37"/>
      <c r="AQ369" s="37"/>
      <c r="AR369" s="37"/>
    </row>
    <row r="370" spans="1:44" ht="14.25" customHeight="1" x14ac:dyDescent="0.3">
      <c r="A370" s="34"/>
      <c r="B370" s="16"/>
      <c r="C370" s="15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5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37"/>
      <c r="AO370" s="37"/>
      <c r="AP370" s="37"/>
      <c r="AQ370" s="37"/>
      <c r="AR370" s="37"/>
    </row>
    <row r="371" spans="1:44" ht="14.25" customHeight="1" x14ac:dyDescent="0.3">
      <c r="A371" s="34"/>
      <c r="B371" s="16"/>
      <c r="C371" s="15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5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37"/>
      <c r="AO371" s="37"/>
      <c r="AP371" s="37"/>
      <c r="AQ371" s="37"/>
      <c r="AR371" s="37"/>
    </row>
    <row r="372" spans="1:44" ht="14.25" customHeight="1" x14ac:dyDescent="0.3">
      <c r="A372" s="34"/>
      <c r="B372" s="16"/>
      <c r="C372" s="15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5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37"/>
      <c r="AO372" s="37"/>
      <c r="AP372" s="37"/>
      <c r="AQ372" s="37"/>
      <c r="AR372" s="37"/>
    </row>
    <row r="373" spans="1:44" ht="14.25" customHeight="1" x14ac:dyDescent="0.3">
      <c r="A373" s="34"/>
      <c r="B373" s="16"/>
      <c r="C373" s="15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5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37"/>
      <c r="AO373" s="37"/>
      <c r="AP373" s="37"/>
      <c r="AQ373" s="37"/>
      <c r="AR373" s="37"/>
    </row>
    <row r="374" spans="1:44" ht="14.25" customHeight="1" x14ac:dyDescent="0.3">
      <c r="A374" s="34"/>
      <c r="B374" s="16"/>
      <c r="C374" s="15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5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37"/>
      <c r="AO374" s="37"/>
      <c r="AP374" s="37"/>
      <c r="AQ374" s="37"/>
      <c r="AR374" s="37"/>
    </row>
    <row r="375" spans="1:44" ht="14.25" customHeight="1" x14ac:dyDescent="0.3">
      <c r="A375" s="34"/>
      <c r="B375" s="16"/>
      <c r="C375" s="15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5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37"/>
      <c r="AO375" s="37"/>
      <c r="AP375" s="37"/>
      <c r="AQ375" s="37"/>
      <c r="AR375" s="37"/>
    </row>
    <row r="376" spans="1:44" ht="14.25" customHeight="1" x14ac:dyDescent="0.3">
      <c r="A376" s="34"/>
      <c r="B376" s="16"/>
      <c r="C376" s="15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5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37"/>
      <c r="AO376" s="37"/>
      <c r="AP376" s="37"/>
      <c r="AQ376" s="37"/>
      <c r="AR376" s="37"/>
    </row>
    <row r="377" spans="1:44" ht="14.25" customHeight="1" x14ac:dyDescent="0.3">
      <c r="A377" s="34"/>
      <c r="B377" s="16"/>
      <c r="C377" s="15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5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37"/>
      <c r="AO377" s="37"/>
      <c r="AP377" s="37"/>
      <c r="AQ377" s="37"/>
      <c r="AR377" s="37"/>
    </row>
    <row r="378" spans="1:44" ht="14.25" customHeight="1" x14ac:dyDescent="0.3">
      <c r="A378" s="34"/>
      <c r="B378" s="16"/>
      <c r="C378" s="15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5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37"/>
      <c r="AO378" s="37"/>
      <c r="AP378" s="37"/>
      <c r="AQ378" s="37"/>
      <c r="AR378" s="37"/>
    </row>
    <row r="379" spans="1:44" ht="14.25" customHeight="1" x14ac:dyDescent="0.3">
      <c r="A379" s="34"/>
      <c r="B379" s="16"/>
      <c r="C379" s="15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5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37"/>
      <c r="AO379" s="37"/>
      <c r="AP379" s="37"/>
      <c r="AQ379" s="37"/>
      <c r="AR379" s="37"/>
    </row>
    <row r="380" spans="1:44" ht="14.25" customHeight="1" x14ac:dyDescent="0.3">
      <c r="A380" s="34"/>
      <c r="B380" s="16"/>
      <c r="C380" s="15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5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37"/>
      <c r="AO380" s="37"/>
      <c r="AP380" s="37"/>
      <c r="AQ380" s="37"/>
      <c r="AR380" s="37"/>
    </row>
    <row r="381" spans="1:44" ht="14.25" customHeight="1" x14ac:dyDescent="0.3">
      <c r="A381" s="34"/>
      <c r="B381" s="16"/>
      <c r="C381" s="15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5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37"/>
      <c r="AO381" s="37"/>
      <c r="AP381" s="37"/>
      <c r="AQ381" s="37"/>
      <c r="AR381" s="37"/>
    </row>
    <row r="382" spans="1:44" ht="14.25" customHeight="1" x14ac:dyDescent="0.3">
      <c r="A382" s="34"/>
      <c r="B382" s="16"/>
      <c r="C382" s="15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5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37"/>
      <c r="AO382" s="37"/>
      <c r="AP382" s="37"/>
      <c r="AQ382" s="37"/>
      <c r="AR382" s="37"/>
    </row>
    <row r="383" spans="1:44" ht="14.25" customHeight="1" x14ac:dyDescent="0.3">
      <c r="A383" s="34"/>
      <c r="B383" s="16"/>
      <c r="C383" s="15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5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37"/>
      <c r="AO383" s="37"/>
      <c r="AP383" s="37"/>
      <c r="AQ383" s="37"/>
      <c r="AR383" s="37"/>
    </row>
    <row r="384" spans="1:44" ht="14.25" customHeight="1" x14ac:dyDescent="0.3">
      <c r="A384" s="34"/>
      <c r="B384" s="16"/>
      <c r="C384" s="15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5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37"/>
      <c r="AO384" s="37"/>
      <c r="AP384" s="37"/>
      <c r="AQ384" s="37"/>
      <c r="AR384" s="37"/>
    </row>
    <row r="385" spans="1:44" ht="14.25" customHeight="1" x14ac:dyDescent="0.3">
      <c r="A385" s="34"/>
      <c r="B385" s="16"/>
      <c r="C385" s="15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5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37"/>
      <c r="AO385" s="37"/>
      <c r="AP385" s="37"/>
      <c r="AQ385" s="37"/>
      <c r="AR385" s="37"/>
    </row>
    <row r="386" spans="1:44" ht="14.25" customHeight="1" x14ac:dyDescent="0.3">
      <c r="A386" s="34"/>
      <c r="B386" s="16"/>
      <c r="C386" s="15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5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37"/>
      <c r="AO386" s="37"/>
      <c r="AP386" s="37"/>
      <c r="AQ386" s="37"/>
      <c r="AR386" s="37"/>
    </row>
    <row r="387" spans="1:44" ht="14.25" customHeight="1" x14ac:dyDescent="0.3">
      <c r="A387" s="34"/>
      <c r="B387" s="16"/>
      <c r="C387" s="15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5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37"/>
      <c r="AO387" s="37"/>
      <c r="AP387" s="37"/>
      <c r="AQ387" s="37"/>
      <c r="AR387" s="37"/>
    </row>
    <row r="388" spans="1:44" ht="14.25" customHeight="1" x14ac:dyDescent="0.3">
      <c r="A388" s="34"/>
      <c r="B388" s="16"/>
      <c r="C388" s="15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5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37"/>
      <c r="AO388" s="37"/>
      <c r="AP388" s="37"/>
      <c r="AQ388" s="37"/>
      <c r="AR388" s="37"/>
    </row>
    <row r="389" spans="1:44" ht="14.25" customHeight="1" x14ac:dyDescent="0.3">
      <c r="A389" s="34"/>
      <c r="B389" s="16"/>
      <c r="C389" s="15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5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37"/>
      <c r="AO389" s="37"/>
      <c r="AP389" s="37"/>
      <c r="AQ389" s="37"/>
      <c r="AR389" s="37"/>
    </row>
    <row r="390" spans="1:44" ht="14.25" customHeight="1" x14ac:dyDescent="0.3">
      <c r="A390" s="34"/>
      <c r="B390" s="16"/>
      <c r="C390" s="15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5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37"/>
      <c r="AO390" s="37"/>
      <c r="AP390" s="37"/>
      <c r="AQ390" s="37"/>
      <c r="AR390" s="37"/>
    </row>
    <row r="391" spans="1:44" ht="14.25" customHeight="1" x14ac:dyDescent="0.3">
      <c r="A391" s="34"/>
      <c r="B391" s="16"/>
      <c r="C391" s="15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5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37"/>
      <c r="AO391" s="37"/>
      <c r="AP391" s="37"/>
      <c r="AQ391" s="37"/>
      <c r="AR391" s="37"/>
    </row>
    <row r="392" spans="1:44" ht="14.25" customHeight="1" x14ac:dyDescent="0.3">
      <c r="A392" s="34"/>
      <c r="B392" s="16"/>
      <c r="C392" s="15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5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37"/>
      <c r="AO392" s="37"/>
      <c r="AP392" s="37"/>
      <c r="AQ392" s="37"/>
      <c r="AR392" s="37"/>
    </row>
    <row r="393" spans="1:44" ht="14.25" customHeight="1" x14ac:dyDescent="0.3">
      <c r="A393" s="34"/>
      <c r="B393" s="16"/>
      <c r="C393" s="15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5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37"/>
      <c r="AO393" s="37"/>
      <c r="AP393" s="37"/>
      <c r="AQ393" s="37"/>
      <c r="AR393" s="37"/>
    </row>
    <row r="394" spans="1:44" ht="14.25" customHeight="1" x14ac:dyDescent="0.3">
      <c r="A394" s="34"/>
      <c r="B394" s="16"/>
      <c r="C394" s="15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5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37"/>
      <c r="AO394" s="37"/>
      <c r="AP394" s="37"/>
      <c r="AQ394" s="37"/>
      <c r="AR394" s="37"/>
    </row>
    <row r="395" spans="1:44" ht="14.25" customHeight="1" x14ac:dyDescent="0.3">
      <c r="A395" s="34"/>
      <c r="B395" s="16"/>
      <c r="C395" s="15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5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37"/>
      <c r="AO395" s="37"/>
      <c r="AP395" s="37"/>
      <c r="AQ395" s="37"/>
      <c r="AR395" s="37"/>
    </row>
    <row r="396" spans="1:44" ht="14.25" customHeight="1" x14ac:dyDescent="0.3">
      <c r="A396" s="34"/>
      <c r="B396" s="16"/>
      <c r="C396" s="15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5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37"/>
      <c r="AO396" s="37"/>
      <c r="AP396" s="37"/>
      <c r="AQ396" s="37"/>
      <c r="AR396" s="37"/>
    </row>
    <row r="397" spans="1:44" ht="14.25" customHeight="1" x14ac:dyDescent="0.3">
      <c r="A397" s="34"/>
      <c r="B397" s="16"/>
      <c r="C397" s="15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5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37"/>
      <c r="AO397" s="37"/>
      <c r="AP397" s="37"/>
      <c r="AQ397" s="37"/>
      <c r="AR397" s="37"/>
    </row>
    <row r="398" spans="1:44" ht="14.25" customHeight="1" x14ac:dyDescent="0.3">
      <c r="A398" s="34"/>
      <c r="B398" s="16"/>
      <c r="C398" s="15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5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37"/>
      <c r="AO398" s="37"/>
      <c r="AP398" s="37"/>
      <c r="AQ398" s="37"/>
      <c r="AR398" s="37"/>
    </row>
    <row r="399" spans="1:44" ht="14.25" customHeight="1" x14ac:dyDescent="0.3">
      <c r="A399" s="34"/>
      <c r="B399" s="16"/>
      <c r="C399" s="15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5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37"/>
      <c r="AO399" s="37"/>
      <c r="AP399" s="37"/>
      <c r="AQ399" s="37"/>
      <c r="AR399" s="37"/>
    </row>
    <row r="400" spans="1:44" ht="14.25" customHeight="1" x14ac:dyDescent="0.3">
      <c r="A400" s="34"/>
      <c r="B400" s="16"/>
      <c r="C400" s="15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5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37"/>
      <c r="AO400" s="37"/>
      <c r="AP400" s="37"/>
      <c r="AQ400" s="37"/>
      <c r="AR400" s="37"/>
    </row>
    <row r="401" spans="1:44" ht="14.25" customHeight="1" x14ac:dyDescent="0.3">
      <c r="A401" s="34"/>
      <c r="B401" s="16"/>
      <c r="C401" s="15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5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37"/>
      <c r="AO401" s="37"/>
      <c r="AP401" s="37"/>
      <c r="AQ401" s="37"/>
      <c r="AR401" s="37"/>
    </row>
    <row r="402" spans="1:44" ht="14.25" customHeight="1" x14ac:dyDescent="0.3">
      <c r="A402" s="34"/>
      <c r="B402" s="16"/>
      <c r="C402" s="15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5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37"/>
      <c r="AO402" s="37"/>
      <c r="AP402" s="37"/>
      <c r="AQ402" s="37"/>
      <c r="AR402" s="37"/>
    </row>
    <row r="403" spans="1:44" ht="14.25" customHeight="1" x14ac:dyDescent="0.3">
      <c r="A403" s="34"/>
      <c r="B403" s="16"/>
      <c r="C403" s="15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5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37"/>
      <c r="AO403" s="37"/>
      <c r="AP403" s="37"/>
      <c r="AQ403" s="37"/>
      <c r="AR403" s="37"/>
    </row>
    <row r="404" spans="1:44" ht="14.25" customHeight="1" x14ac:dyDescent="0.3">
      <c r="A404" s="34"/>
      <c r="B404" s="16"/>
      <c r="C404" s="15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5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37"/>
      <c r="AO404" s="37"/>
      <c r="AP404" s="37"/>
      <c r="AQ404" s="37"/>
      <c r="AR404" s="37"/>
    </row>
    <row r="405" spans="1:44" ht="14.25" customHeight="1" x14ac:dyDescent="0.3">
      <c r="A405" s="34"/>
      <c r="B405" s="16"/>
      <c r="C405" s="15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5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37"/>
      <c r="AO405" s="37"/>
      <c r="AP405" s="37"/>
      <c r="AQ405" s="37"/>
      <c r="AR405" s="37"/>
    </row>
    <row r="406" spans="1:44" ht="14.25" customHeight="1" x14ac:dyDescent="0.3">
      <c r="A406" s="34"/>
      <c r="B406" s="16"/>
      <c r="C406" s="15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5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37"/>
      <c r="AO406" s="37"/>
      <c r="AP406" s="37"/>
      <c r="AQ406" s="37"/>
      <c r="AR406" s="37"/>
    </row>
    <row r="407" spans="1:44" ht="14.25" customHeight="1" x14ac:dyDescent="0.3">
      <c r="A407" s="34"/>
      <c r="B407" s="16"/>
      <c r="C407" s="15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5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37"/>
      <c r="AO407" s="37"/>
      <c r="AP407" s="37"/>
      <c r="AQ407" s="37"/>
      <c r="AR407" s="37"/>
    </row>
    <row r="408" spans="1:44" ht="14.25" customHeight="1" x14ac:dyDescent="0.3">
      <c r="A408" s="34"/>
      <c r="B408" s="16"/>
      <c r="C408" s="15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5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37"/>
      <c r="AO408" s="37"/>
      <c r="AP408" s="37"/>
      <c r="AQ408" s="37"/>
      <c r="AR408" s="37"/>
    </row>
    <row r="409" spans="1:44" ht="14.25" customHeight="1" x14ac:dyDescent="0.3">
      <c r="A409" s="34"/>
      <c r="B409" s="16"/>
      <c r="C409" s="15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5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37"/>
      <c r="AO409" s="37"/>
      <c r="AP409" s="37"/>
      <c r="AQ409" s="37"/>
      <c r="AR409" s="37"/>
    </row>
    <row r="410" spans="1:44" ht="14.25" customHeight="1" x14ac:dyDescent="0.3">
      <c r="A410" s="34"/>
      <c r="B410" s="16"/>
      <c r="C410" s="15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5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37"/>
      <c r="AO410" s="37"/>
      <c r="AP410" s="37"/>
      <c r="AQ410" s="37"/>
      <c r="AR410" s="37"/>
    </row>
    <row r="411" spans="1:44" ht="14.25" customHeight="1" x14ac:dyDescent="0.3">
      <c r="A411" s="34"/>
      <c r="B411" s="16"/>
      <c r="C411" s="15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5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37"/>
      <c r="AO411" s="37"/>
      <c r="AP411" s="37"/>
      <c r="AQ411" s="37"/>
      <c r="AR411" s="37"/>
    </row>
    <row r="412" spans="1:44" ht="14.25" customHeight="1" x14ac:dyDescent="0.3">
      <c r="A412" s="34"/>
      <c r="B412" s="16"/>
      <c r="C412" s="15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5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37"/>
      <c r="AO412" s="37"/>
      <c r="AP412" s="37"/>
      <c r="AQ412" s="37"/>
      <c r="AR412" s="37"/>
    </row>
    <row r="413" spans="1:44" ht="14.25" customHeight="1" x14ac:dyDescent="0.3">
      <c r="A413" s="34"/>
      <c r="B413" s="16"/>
      <c r="C413" s="15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5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37"/>
      <c r="AO413" s="37"/>
      <c r="AP413" s="37"/>
      <c r="AQ413" s="37"/>
      <c r="AR413" s="37"/>
    </row>
    <row r="414" spans="1:44" ht="14.25" customHeight="1" x14ac:dyDescent="0.3">
      <c r="A414" s="34"/>
      <c r="B414" s="16"/>
      <c r="C414" s="15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5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37"/>
      <c r="AO414" s="37"/>
      <c r="AP414" s="37"/>
      <c r="AQ414" s="37"/>
      <c r="AR414" s="37"/>
    </row>
    <row r="415" spans="1:44" ht="14.25" customHeight="1" x14ac:dyDescent="0.3">
      <c r="A415" s="34"/>
      <c r="B415" s="16"/>
      <c r="C415" s="15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5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37"/>
      <c r="AO415" s="37"/>
      <c r="AP415" s="37"/>
      <c r="AQ415" s="37"/>
      <c r="AR415" s="37"/>
    </row>
    <row r="416" spans="1:44" ht="14.25" customHeight="1" x14ac:dyDescent="0.3">
      <c r="A416" s="34"/>
      <c r="B416" s="16"/>
      <c r="C416" s="15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5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37"/>
      <c r="AO416" s="37"/>
      <c r="AP416" s="37"/>
      <c r="AQ416" s="37"/>
      <c r="AR416" s="37"/>
    </row>
    <row r="417" spans="1:44" ht="14.25" customHeight="1" x14ac:dyDescent="0.3">
      <c r="A417" s="34"/>
      <c r="B417" s="16"/>
      <c r="C417" s="15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5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37"/>
      <c r="AO417" s="37"/>
      <c r="AP417" s="37"/>
      <c r="AQ417" s="37"/>
      <c r="AR417" s="37"/>
    </row>
    <row r="418" spans="1:44" ht="14.25" customHeight="1" x14ac:dyDescent="0.3">
      <c r="A418" s="34"/>
      <c r="B418" s="16"/>
      <c r="C418" s="15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5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37"/>
      <c r="AO418" s="37"/>
      <c r="AP418" s="37"/>
      <c r="AQ418" s="37"/>
      <c r="AR418" s="37"/>
    </row>
    <row r="419" spans="1:44" ht="14.25" customHeight="1" x14ac:dyDescent="0.3">
      <c r="A419" s="34"/>
      <c r="B419" s="16"/>
      <c r="C419" s="15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5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37"/>
      <c r="AO419" s="37"/>
      <c r="AP419" s="37"/>
      <c r="AQ419" s="37"/>
      <c r="AR419" s="37"/>
    </row>
    <row r="420" spans="1:44" ht="14.25" customHeight="1" x14ac:dyDescent="0.3">
      <c r="A420" s="34"/>
      <c r="B420" s="16"/>
      <c r="C420" s="15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5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37"/>
      <c r="AO420" s="37"/>
      <c r="AP420" s="37"/>
      <c r="AQ420" s="37"/>
      <c r="AR420" s="37"/>
    </row>
    <row r="421" spans="1:44" ht="14.25" customHeight="1" x14ac:dyDescent="0.3">
      <c r="A421" s="34"/>
      <c r="B421" s="16"/>
      <c r="C421" s="15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5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37"/>
      <c r="AO421" s="37"/>
      <c r="AP421" s="37"/>
      <c r="AQ421" s="37"/>
      <c r="AR421" s="37"/>
    </row>
    <row r="422" spans="1:44" ht="14.25" customHeight="1" x14ac:dyDescent="0.3">
      <c r="A422" s="34"/>
      <c r="B422" s="16"/>
      <c r="C422" s="15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5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37"/>
      <c r="AO422" s="37"/>
      <c r="AP422" s="37"/>
      <c r="AQ422" s="37"/>
      <c r="AR422" s="37"/>
    </row>
    <row r="423" spans="1:44" ht="14.25" customHeight="1" x14ac:dyDescent="0.3">
      <c r="A423" s="34"/>
      <c r="B423" s="16"/>
      <c r="C423" s="15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5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37"/>
      <c r="AO423" s="37"/>
      <c r="AP423" s="37"/>
      <c r="AQ423" s="37"/>
      <c r="AR423" s="37"/>
    </row>
    <row r="424" spans="1:44" ht="14.25" customHeight="1" x14ac:dyDescent="0.3">
      <c r="A424" s="34"/>
      <c r="B424" s="16"/>
      <c r="C424" s="15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5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37"/>
      <c r="AO424" s="37"/>
      <c r="AP424" s="37"/>
      <c r="AQ424" s="37"/>
      <c r="AR424" s="37"/>
    </row>
    <row r="425" spans="1:44" ht="14.25" customHeight="1" x14ac:dyDescent="0.3">
      <c r="A425" s="34"/>
      <c r="B425" s="16"/>
      <c r="C425" s="15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5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37"/>
      <c r="AO425" s="37"/>
      <c r="AP425" s="37"/>
      <c r="AQ425" s="37"/>
      <c r="AR425" s="37"/>
    </row>
    <row r="426" spans="1:44" ht="14.25" customHeight="1" x14ac:dyDescent="0.3">
      <c r="A426" s="34"/>
      <c r="B426" s="16"/>
      <c r="C426" s="15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5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37"/>
      <c r="AO426" s="37"/>
      <c r="AP426" s="37"/>
      <c r="AQ426" s="37"/>
      <c r="AR426" s="37"/>
    </row>
    <row r="427" spans="1:44" ht="14.25" customHeight="1" x14ac:dyDescent="0.3">
      <c r="A427" s="34"/>
      <c r="B427" s="16"/>
      <c r="C427" s="15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5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37"/>
      <c r="AO427" s="37"/>
      <c r="AP427" s="37"/>
      <c r="AQ427" s="37"/>
      <c r="AR427" s="37"/>
    </row>
    <row r="428" spans="1:44" ht="14.25" customHeight="1" x14ac:dyDescent="0.3">
      <c r="A428" s="34"/>
      <c r="B428" s="16"/>
      <c r="C428" s="15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5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37"/>
      <c r="AO428" s="37"/>
      <c r="AP428" s="37"/>
      <c r="AQ428" s="37"/>
      <c r="AR428" s="37"/>
    </row>
    <row r="429" spans="1:44" ht="14.25" customHeight="1" x14ac:dyDescent="0.3">
      <c r="A429" s="34"/>
      <c r="B429" s="16"/>
      <c r="C429" s="15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5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37"/>
      <c r="AO429" s="37"/>
      <c r="AP429" s="37"/>
      <c r="AQ429" s="37"/>
      <c r="AR429" s="37"/>
    </row>
    <row r="430" spans="1:44" ht="14.25" customHeight="1" x14ac:dyDescent="0.3">
      <c r="A430" s="34"/>
      <c r="B430" s="16"/>
      <c r="C430" s="15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5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37"/>
      <c r="AO430" s="37"/>
      <c r="AP430" s="37"/>
      <c r="AQ430" s="37"/>
      <c r="AR430" s="37"/>
    </row>
    <row r="431" spans="1:44" ht="14.25" customHeight="1" x14ac:dyDescent="0.3">
      <c r="A431" s="34"/>
      <c r="B431" s="16"/>
      <c r="C431" s="15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5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37"/>
      <c r="AO431" s="37"/>
      <c r="AP431" s="37"/>
      <c r="AQ431" s="37"/>
      <c r="AR431" s="37"/>
    </row>
    <row r="432" spans="1:44" ht="14.25" customHeight="1" x14ac:dyDescent="0.3">
      <c r="A432" s="34"/>
      <c r="B432" s="16"/>
      <c r="C432" s="15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5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37"/>
      <c r="AO432" s="37"/>
      <c r="AP432" s="37"/>
      <c r="AQ432" s="37"/>
      <c r="AR432" s="37"/>
    </row>
    <row r="433" spans="1:44" ht="14.25" customHeight="1" x14ac:dyDescent="0.3">
      <c r="A433" s="34"/>
      <c r="B433" s="16"/>
      <c r="C433" s="15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5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37"/>
      <c r="AO433" s="37"/>
      <c r="AP433" s="37"/>
      <c r="AQ433" s="37"/>
      <c r="AR433" s="37"/>
    </row>
    <row r="434" spans="1:44" ht="14.25" customHeight="1" x14ac:dyDescent="0.3">
      <c r="A434" s="34"/>
      <c r="B434" s="16"/>
      <c r="C434" s="15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5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37"/>
      <c r="AO434" s="37"/>
      <c r="AP434" s="37"/>
      <c r="AQ434" s="37"/>
      <c r="AR434" s="37"/>
    </row>
    <row r="435" spans="1:44" ht="14.25" customHeight="1" x14ac:dyDescent="0.3">
      <c r="A435" s="34"/>
      <c r="B435" s="16"/>
      <c r="C435" s="15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5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37"/>
      <c r="AO435" s="37"/>
      <c r="AP435" s="37"/>
      <c r="AQ435" s="37"/>
      <c r="AR435" s="37"/>
    </row>
    <row r="436" spans="1:44" ht="14.25" customHeight="1" x14ac:dyDescent="0.3">
      <c r="A436" s="34"/>
      <c r="B436" s="16"/>
      <c r="C436" s="15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5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37"/>
      <c r="AO436" s="37"/>
      <c r="AP436" s="37"/>
      <c r="AQ436" s="37"/>
      <c r="AR436" s="37"/>
    </row>
    <row r="437" spans="1:44" ht="14.25" customHeight="1" x14ac:dyDescent="0.3">
      <c r="A437" s="34"/>
      <c r="B437" s="16"/>
      <c r="C437" s="15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5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37"/>
      <c r="AO437" s="37"/>
      <c r="AP437" s="37"/>
      <c r="AQ437" s="37"/>
      <c r="AR437" s="37"/>
    </row>
    <row r="438" spans="1:44" ht="14.25" customHeight="1" x14ac:dyDescent="0.3">
      <c r="A438" s="34"/>
      <c r="B438" s="16"/>
      <c r="C438" s="15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5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37"/>
      <c r="AO438" s="37"/>
      <c r="AP438" s="37"/>
      <c r="AQ438" s="37"/>
      <c r="AR438" s="37"/>
    </row>
    <row r="439" spans="1:44" ht="14.25" customHeight="1" x14ac:dyDescent="0.3">
      <c r="A439" s="34"/>
      <c r="B439" s="16"/>
      <c r="C439" s="15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5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37"/>
      <c r="AO439" s="37"/>
      <c r="AP439" s="37"/>
      <c r="AQ439" s="37"/>
      <c r="AR439" s="37"/>
    </row>
    <row r="440" spans="1:44" ht="14.25" customHeight="1" x14ac:dyDescent="0.3">
      <c r="A440" s="34"/>
      <c r="B440" s="16"/>
      <c r="C440" s="15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5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37"/>
      <c r="AO440" s="37"/>
      <c r="AP440" s="37"/>
      <c r="AQ440" s="37"/>
      <c r="AR440" s="37"/>
    </row>
    <row r="441" spans="1:44" ht="14.25" customHeight="1" x14ac:dyDescent="0.3">
      <c r="A441" s="34"/>
      <c r="B441" s="16"/>
      <c r="C441" s="15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5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37"/>
      <c r="AO441" s="37"/>
      <c r="AP441" s="37"/>
      <c r="AQ441" s="37"/>
      <c r="AR441" s="37"/>
    </row>
    <row r="442" spans="1:44" ht="14.25" customHeight="1" x14ac:dyDescent="0.3">
      <c r="A442" s="34"/>
      <c r="B442" s="16"/>
      <c r="C442" s="15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5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37"/>
      <c r="AO442" s="37"/>
      <c r="AP442" s="37"/>
      <c r="AQ442" s="37"/>
      <c r="AR442" s="37"/>
    </row>
    <row r="443" spans="1:44" ht="14.25" customHeight="1" x14ac:dyDescent="0.3">
      <c r="A443" s="34"/>
      <c r="B443" s="16"/>
      <c r="C443" s="15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5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37"/>
      <c r="AO443" s="37"/>
      <c r="AP443" s="37"/>
      <c r="AQ443" s="37"/>
      <c r="AR443" s="37"/>
    </row>
    <row r="444" spans="1:44" ht="14.25" customHeight="1" x14ac:dyDescent="0.3">
      <c r="A444" s="34"/>
      <c r="B444" s="16"/>
      <c r="C444" s="15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5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37"/>
      <c r="AO444" s="37"/>
      <c r="AP444" s="37"/>
      <c r="AQ444" s="37"/>
      <c r="AR444" s="37"/>
    </row>
    <row r="445" spans="1:44" ht="14.25" customHeight="1" x14ac:dyDescent="0.3">
      <c r="A445" s="34"/>
      <c r="B445" s="16"/>
      <c r="C445" s="15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5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37"/>
      <c r="AO445" s="37"/>
      <c r="AP445" s="37"/>
      <c r="AQ445" s="37"/>
      <c r="AR445" s="37"/>
    </row>
    <row r="446" spans="1:44" ht="14.25" customHeight="1" x14ac:dyDescent="0.3">
      <c r="A446" s="34"/>
      <c r="B446" s="16"/>
      <c r="C446" s="15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5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37"/>
      <c r="AO446" s="37"/>
      <c r="AP446" s="37"/>
      <c r="AQ446" s="37"/>
      <c r="AR446" s="37"/>
    </row>
    <row r="447" spans="1:44" ht="14.25" customHeight="1" x14ac:dyDescent="0.3">
      <c r="A447" s="34"/>
      <c r="B447" s="16"/>
      <c r="C447" s="15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5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37"/>
      <c r="AO447" s="37"/>
      <c r="AP447" s="37"/>
      <c r="AQ447" s="37"/>
      <c r="AR447" s="37"/>
    </row>
    <row r="448" spans="1:44" ht="14.25" customHeight="1" x14ac:dyDescent="0.3">
      <c r="A448" s="34"/>
      <c r="B448" s="16"/>
      <c r="C448" s="15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5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37"/>
      <c r="AO448" s="37"/>
      <c r="AP448" s="37"/>
      <c r="AQ448" s="37"/>
      <c r="AR448" s="37"/>
    </row>
    <row r="449" spans="1:44" ht="14.25" customHeight="1" x14ac:dyDescent="0.3">
      <c r="A449" s="34"/>
      <c r="B449" s="16"/>
      <c r="C449" s="15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5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37"/>
      <c r="AO449" s="37"/>
      <c r="AP449" s="37"/>
      <c r="AQ449" s="37"/>
      <c r="AR449" s="37"/>
    </row>
    <row r="450" spans="1:44" ht="14.25" customHeight="1" x14ac:dyDescent="0.3">
      <c r="A450" s="34"/>
      <c r="B450" s="16"/>
      <c r="C450" s="15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5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37"/>
      <c r="AO450" s="37"/>
      <c r="AP450" s="37"/>
      <c r="AQ450" s="37"/>
      <c r="AR450" s="37"/>
    </row>
    <row r="451" spans="1:44" ht="14.25" customHeight="1" x14ac:dyDescent="0.3">
      <c r="A451" s="34"/>
      <c r="B451" s="16"/>
      <c r="C451" s="15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5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37"/>
      <c r="AO451" s="37"/>
      <c r="AP451" s="37"/>
      <c r="AQ451" s="37"/>
      <c r="AR451" s="37"/>
    </row>
    <row r="452" spans="1:44" ht="14.25" customHeight="1" x14ac:dyDescent="0.3">
      <c r="A452" s="34"/>
      <c r="B452" s="16"/>
      <c r="C452" s="15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5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37"/>
      <c r="AO452" s="37"/>
      <c r="AP452" s="37"/>
      <c r="AQ452" s="37"/>
      <c r="AR452" s="37"/>
    </row>
    <row r="453" spans="1:44" ht="14.25" customHeight="1" x14ac:dyDescent="0.3">
      <c r="A453" s="34"/>
      <c r="B453" s="16"/>
      <c r="C453" s="15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5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37"/>
      <c r="AO453" s="37"/>
      <c r="AP453" s="37"/>
      <c r="AQ453" s="37"/>
      <c r="AR453" s="37"/>
    </row>
    <row r="454" spans="1:44" ht="14.25" customHeight="1" x14ac:dyDescent="0.3">
      <c r="A454" s="34"/>
      <c r="B454" s="16"/>
      <c r="C454" s="15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5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37"/>
      <c r="AO454" s="37"/>
      <c r="AP454" s="37"/>
      <c r="AQ454" s="37"/>
      <c r="AR454" s="37"/>
    </row>
    <row r="455" spans="1:44" ht="14.25" customHeight="1" x14ac:dyDescent="0.3">
      <c r="A455" s="34"/>
      <c r="B455" s="16"/>
      <c r="C455" s="15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5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37"/>
      <c r="AO455" s="37"/>
      <c r="AP455" s="37"/>
      <c r="AQ455" s="37"/>
      <c r="AR455" s="37"/>
    </row>
    <row r="456" spans="1:44" ht="14.25" customHeight="1" x14ac:dyDescent="0.3">
      <c r="A456" s="34"/>
      <c r="B456" s="16"/>
      <c r="C456" s="15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5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37"/>
      <c r="AO456" s="37"/>
      <c r="AP456" s="37"/>
      <c r="AQ456" s="37"/>
      <c r="AR456" s="37"/>
    </row>
    <row r="457" spans="1:44" ht="14.25" customHeight="1" x14ac:dyDescent="0.3">
      <c r="A457" s="34"/>
      <c r="B457" s="16"/>
      <c r="C457" s="15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5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37"/>
      <c r="AO457" s="37"/>
      <c r="AP457" s="37"/>
      <c r="AQ457" s="37"/>
      <c r="AR457" s="37"/>
    </row>
    <row r="458" spans="1:44" ht="14.25" customHeight="1" x14ac:dyDescent="0.3">
      <c r="A458" s="34"/>
      <c r="B458" s="16"/>
      <c r="C458" s="15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5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37"/>
      <c r="AO458" s="37"/>
      <c r="AP458" s="37"/>
      <c r="AQ458" s="37"/>
      <c r="AR458" s="37"/>
    </row>
    <row r="459" spans="1:44" ht="14.25" customHeight="1" x14ac:dyDescent="0.3">
      <c r="A459" s="34"/>
      <c r="B459" s="16"/>
      <c r="C459" s="15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5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37"/>
      <c r="AO459" s="37"/>
      <c r="AP459" s="37"/>
      <c r="AQ459" s="37"/>
      <c r="AR459" s="37"/>
    </row>
    <row r="460" spans="1:44" ht="14.25" customHeight="1" x14ac:dyDescent="0.3">
      <c r="A460" s="34"/>
      <c r="B460" s="16"/>
      <c r="C460" s="15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5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37"/>
      <c r="AO460" s="37"/>
      <c r="AP460" s="37"/>
      <c r="AQ460" s="37"/>
      <c r="AR460" s="37"/>
    </row>
    <row r="461" spans="1:44" ht="14.25" customHeight="1" x14ac:dyDescent="0.3">
      <c r="A461" s="34"/>
      <c r="B461" s="16"/>
      <c r="C461" s="15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5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37"/>
      <c r="AO461" s="37"/>
      <c r="AP461" s="37"/>
      <c r="AQ461" s="37"/>
      <c r="AR461" s="37"/>
    </row>
    <row r="462" spans="1:44" ht="14.25" customHeight="1" x14ac:dyDescent="0.3">
      <c r="A462" s="34"/>
      <c r="B462" s="16"/>
      <c r="C462" s="15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5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37"/>
      <c r="AO462" s="37"/>
      <c r="AP462" s="37"/>
      <c r="AQ462" s="37"/>
      <c r="AR462" s="37"/>
    </row>
    <row r="463" spans="1:44" ht="14.25" customHeight="1" x14ac:dyDescent="0.3">
      <c r="A463" s="34"/>
      <c r="B463" s="16"/>
      <c r="C463" s="15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5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37"/>
      <c r="AO463" s="37"/>
      <c r="AP463" s="37"/>
      <c r="AQ463" s="37"/>
      <c r="AR463" s="37"/>
    </row>
    <row r="464" spans="1:44" ht="14.25" customHeight="1" x14ac:dyDescent="0.3">
      <c r="A464" s="34"/>
      <c r="B464" s="16"/>
      <c r="C464" s="15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5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37"/>
      <c r="AO464" s="37"/>
      <c r="AP464" s="37"/>
      <c r="AQ464" s="37"/>
      <c r="AR464" s="37"/>
    </row>
    <row r="465" spans="1:44" ht="14.25" customHeight="1" x14ac:dyDescent="0.3">
      <c r="A465" s="34"/>
      <c r="B465" s="16"/>
      <c r="C465" s="15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5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37"/>
      <c r="AO465" s="37"/>
      <c r="AP465" s="37"/>
      <c r="AQ465" s="37"/>
      <c r="AR465" s="37"/>
    </row>
    <row r="466" spans="1:44" ht="14.25" customHeight="1" x14ac:dyDescent="0.3">
      <c r="A466" s="34"/>
      <c r="B466" s="16"/>
      <c r="C466" s="15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5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37"/>
      <c r="AO466" s="37"/>
      <c r="AP466" s="37"/>
      <c r="AQ466" s="37"/>
      <c r="AR466" s="37"/>
    </row>
    <row r="467" spans="1:44" ht="14.25" customHeight="1" x14ac:dyDescent="0.3">
      <c r="A467" s="34"/>
      <c r="B467" s="16"/>
      <c r="C467" s="15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5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37"/>
      <c r="AO467" s="37"/>
      <c r="AP467" s="37"/>
      <c r="AQ467" s="37"/>
      <c r="AR467" s="37"/>
    </row>
    <row r="468" spans="1:44" ht="14.25" customHeight="1" x14ac:dyDescent="0.3">
      <c r="A468" s="34"/>
      <c r="B468" s="16"/>
      <c r="C468" s="15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5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37"/>
      <c r="AO468" s="37"/>
      <c r="AP468" s="37"/>
      <c r="AQ468" s="37"/>
      <c r="AR468" s="37"/>
    </row>
    <row r="469" spans="1:44" ht="14.25" customHeight="1" x14ac:dyDescent="0.3">
      <c r="A469" s="34"/>
      <c r="B469" s="16"/>
      <c r="C469" s="15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5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37"/>
      <c r="AO469" s="37"/>
      <c r="AP469" s="37"/>
      <c r="AQ469" s="37"/>
      <c r="AR469" s="37"/>
    </row>
    <row r="470" spans="1:44" ht="14.25" customHeight="1" x14ac:dyDescent="0.3">
      <c r="A470" s="34"/>
      <c r="B470" s="16"/>
      <c r="C470" s="15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5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37"/>
      <c r="AO470" s="37"/>
      <c r="AP470" s="37"/>
      <c r="AQ470" s="37"/>
      <c r="AR470" s="37"/>
    </row>
    <row r="471" spans="1:44" ht="14.25" customHeight="1" x14ac:dyDescent="0.3">
      <c r="A471" s="34"/>
      <c r="B471" s="16"/>
      <c r="C471" s="15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5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37"/>
      <c r="AO471" s="37"/>
      <c r="AP471" s="37"/>
      <c r="AQ471" s="37"/>
      <c r="AR471" s="37"/>
    </row>
    <row r="472" spans="1:44" ht="14.25" customHeight="1" x14ac:dyDescent="0.3">
      <c r="A472" s="34"/>
      <c r="B472" s="16"/>
      <c r="C472" s="15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5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37"/>
      <c r="AO472" s="37"/>
      <c r="AP472" s="37"/>
      <c r="AQ472" s="37"/>
      <c r="AR472" s="37"/>
    </row>
    <row r="473" spans="1:44" ht="14.25" customHeight="1" x14ac:dyDescent="0.3">
      <c r="A473" s="34"/>
      <c r="B473" s="16"/>
      <c r="C473" s="15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5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37"/>
      <c r="AO473" s="37"/>
      <c r="AP473" s="37"/>
      <c r="AQ473" s="37"/>
      <c r="AR473" s="37"/>
    </row>
    <row r="474" spans="1:44" ht="14.25" customHeight="1" x14ac:dyDescent="0.3">
      <c r="A474" s="34"/>
      <c r="B474" s="16"/>
      <c r="C474" s="15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5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37"/>
      <c r="AO474" s="37"/>
      <c r="AP474" s="37"/>
      <c r="AQ474" s="37"/>
      <c r="AR474" s="37"/>
    </row>
    <row r="475" spans="1:44" ht="14.25" customHeight="1" x14ac:dyDescent="0.3">
      <c r="A475" s="34"/>
      <c r="B475" s="16"/>
      <c r="C475" s="15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5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37"/>
      <c r="AO475" s="37"/>
      <c r="AP475" s="37"/>
      <c r="AQ475" s="37"/>
      <c r="AR475" s="37"/>
    </row>
    <row r="476" spans="1:44" ht="14.25" customHeight="1" x14ac:dyDescent="0.3">
      <c r="A476" s="34"/>
      <c r="B476" s="16"/>
      <c r="C476" s="15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5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37"/>
      <c r="AO476" s="37"/>
      <c r="AP476" s="37"/>
      <c r="AQ476" s="37"/>
      <c r="AR476" s="37"/>
    </row>
    <row r="477" spans="1:44" ht="14.25" customHeight="1" x14ac:dyDescent="0.3">
      <c r="A477" s="34"/>
      <c r="B477" s="16"/>
      <c r="C477" s="15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5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37"/>
      <c r="AO477" s="37"/>
      <c r="AP477" s="37"/>
      <c r="AQ477" s="37"/>
      <c r="AR477" s="37"/>
    </row>
    <row r="478" spans="1:44" ht="14.25" customHeight="1" x14ac:dyDescent="0.3">
      <c r="A478" s="34"/>
      <c r="B478" s="16"/>
      <c r="C478" s="15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5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37"/>
      <c r="AO478" s="37"/>
      <c r="AP478" s="37"/>
      <c r="AQ478" s="37"/>
      <c r="AR478" s="37"/>
    </row>
    <row r="479" spans="1:44" ht="14.25" customHeight="1" x14ac:dyDescent="0.3">
      <c r="A479" s="34"/>
      <c r="B479" s="16"/>
      <c r="C479" s="15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5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37"/>
      <c r="AO479" s="37"/>
      <c r="AP479" s="37"/>
      <c r="AQ479" s="37"/>
      <c r="AR479" s="37"/>
    </row>
    <row r="480" spans="1:44" ht="14.25" customHeight="1" x14ac:dyDescent="0.3">
      <c r="A480" s="34"/>
      <c r="B480" s="16"/>
      <c r="C480" s="15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5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37"/>
      <c r="AO480" s="37"/>
      <c r="AP480" s="37"/>
      <c r="AQ480" s="37"/>
      <c r="AR480" s="37"/>
    </row>
    <row r="481" spans="1:44" ht="14.25" customHeight="1" x14ac:dyDescent="0.3">
      <c r="A481" s="34"/>
      <c r="B481" s="16"/>
      <c r="C481" s="15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5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37"/>
      <c r="AO481" s="37"/>
      <c r="AP481" s="37"/>
      <c r="AQ481" s="37"/>
      <c r="AR481" s="37"/>
    </row>
    <row r="482" spans="1:44" ht="14.25" customHeight="1" x14ac:dyDescent="0.3">
      <c r="A482" s="34"/>
      <c r="B482" s="16"/>
      <c r="C482" s="15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5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37"/>
      <c r="AO482" s="37"/>
      <c r="AP482" s="37"/>
      <c r="AQ482" s="37"/>
      <c r="AR482" s="37"/>
    </row>
    <row r="483" spans="1:44" ht="14.25" customHeight="1" x14ac:dyDescent="0.3">
      <c r="A483" s="34"/>
      <c r="B483" s="16"/>
      <c r="C483" s="15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5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37"/>
      <c r="AO483" s="37"/>
      <c r="AP483" s="37"/>
      <c r="AQ483" s="37"/>
      <c r="AR483" s="37"/>
    </row>
    <row r="484" spans="1:44" ht="14.25" customHeight="1" x14ac:dyDescent="0.3">
      <c r="A484" s="34"/>
      <c r="B484" s="16"/>
      <c r="C484" s="15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5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37"/>
      <c r="AO484" s="37"/>
      <c r="AP484" s="37"/>
      <c r="AQ484" s="37"/>
      <c r="AR484" s="37"/>
    </row>
    <row r="485" spans="1:44" ht="14.25" customHeight="1" x14ac:dyDescent="0.3">
      <c r="A485" s="34"/>
      <c r="B485" s="16"/>
      <c r="C485" s="15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5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37"/>
      <c r="AO485" s="37"/>
      <c r="AP485" s="37"/>
      <c r="AQ485" s="37"/>
      <c r="AR485" s="37"/>
    </row>
    <row r="486" spans="1:44" ht="14.25" customHeight="1" x14ac:dyDescent="0.3">
      <c r="A486" s="34"/>
      <c r="B486" s="16"/>
      <c r="C486" s="15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5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37"/>
      <c r="AO486" s="37"/>
      <c r="AP486" s="37"/>
      <c r="AQ486" s="37"/>
      <c r="AR486" s="37"/>
    </row>
    <row r="487" spans="1:44" ht="14.25" customHeight="1" x14ac:dyDescent="0.3">
      <c r="A487" s="34"/>
      <c r="B487" s="16"/>
      <c r="C487" s="15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5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37"/>
      <c r="AO487" s="37"/>
      <c r="AP487" s="37"/>
      <c r="AQ487" s="37"/>
      <c r="AR487" s="37"/>
    </row>
    <row r="488" spans="1:44" ht="14.25" customHeight="1" x14ac:dyDescent="0.3">
      <c r="A488" s="34"/>
      <c r="B488" s="16"/>
      <c r="C488" s="15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5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37"/>
      <c r="AO488" s="37"/>
      <c r="AP488" s="37"/>
      <c r="AQ488" s="37"/>
      <c r="AR488" s="37"/>
    </row>
    <row r="489" spans="1:44" ht="14.25" customHeight="1" x14ac:dyDescent="0.3">
      <c r="A489" s="34"/>
      <c r="B489" s="16"/>
      <c r="C489" s="15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5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37"/>
      <c r="AO489" s="37"/>
      <c r="AP489" s="37"/>
      <c r="AQ489" s="37"/>
      <c r="AR489" s="37"/>
    </row>
    <row r="490" spans="1:44" ht="14.25" customHeight="1" x14ac:dyDescent="0.3">
      <c r="A490" s="34"/>
      <c r="B490" s="16"/>
      <c r="C490" s="15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5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37"/>
      <c r="AO490" s="37"/>
      <c r="AP490" s="37"/>
      <c r="AQ490" s="37"/>
      <c r="AR490" s="37"/>
    </row>
    <row r="491" spans="1:44" ht="14.25" customHeight="1" x14ac:dyDescent="0.3">
      <c r="A491" s="34"/>
      <c r="B491" s="16"/>
      <c r="C491" s="15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5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37"/>
      <c r="AO491" s="37"/>
      <c r="AP491" s="37"/>
      <c r="AQ491" s="37"/>
      <c r="AR491" s="37"/>
    </row>
    <row r="492" spans="1:44" ht="14.25" customHeight="1" x14ac:dyDescent="0.3">
      <c r="A492" s="34"/>
      <c r="B492" s="16"/>
      <c r="C492" s="15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5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37"/>
      <c r="AO492" s="37"/>
      <c r="AP492" s="37"/>
      <c r="AQ492" s="37"/>
      <c r="AR492" s="37"/>
    </row>
    <row r="493" spans="1:44" ht="14.25" customHeight="1" x14ac:dyDescent="0.3">
      <c r="A493" s="34"/>
      <c r="B493" s="16"/>
      <c r="C493" s="15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5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37"/>
      <c r="AO493" s="37"/>
      <c r="AP493" s="37"/>
      <c r="AQ493" s="37"/>
      <c r="AR493" s="37"/>
    </row>
    <row r="494" spans="1:44" ht="14.25" customHeight="1" x14ac:dyDescent="0.3">
      <c r="A494" s="34"/>
      <c r="B494" s="16"/>
      <c r="C494" s="15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5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37"/>
      <c r="AO494" s="37"/>
      <c r="AP494" s="37"/>
      <c r="AQ494" s="37"/>
      <c r="AR494" s="37"/>
    </row>
    <row r="495" spans="1:44" ht="14.25" customHeight="1" x14ac:dyDescent="0.3">
      <c r="A495" s="34"/>
      <c r="B495" s="16"/>
      <c r="C495" s="15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5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37"/>
      <c r="AO495" s="37"/>
      <c r="AP495" s="37"/>
      <c r="AQ495" s="37"/>
      <c r="AR495" s="37"/>
    </row>
    <row r="496" spans="1:44" ht="14.25" customHeight="1" x14ac:dyDescent="0.3">
      <c r="A496" s="34"/>
      <c r="B496" s="16"/>
      <c r="C496" s="15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5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37"/>
      <c r="AO496" s="37"/>
      <c r="AP496" s="37"/>
      <c r="AQ496" s="37"/>
      <c r="AR496" s="37"/>
    </row>
    <row r="497" spans="1:44" ht="14.25" customHeight="1" x14ac:dyDescent="0.3">
      <c r="A497" s="34"/>
      <c r="B497" s="16"/>
      <c r="C497" s="15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5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37"/>
      <c r="AO497" s="37"/>
      <c r="AP497" s="37"/>
      <c r="AQ497" s="37"/>
      <c r="AR497" s="37"/>
    </row>
    <row r="498" spans="1:44" ht="14.25" customHeight="1" x14ac:dyDescent="0.3">
      <c r="A498" s="34"/>
      <c r="B498" s="16"/>
      <c r="C498" s="15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5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37"/>
      <c r="AO498" s="37"/>
      <c r="AP498" s="37"/>
      <c r="AQ498" s="37"/>
      <c r="AR498" s="37"/>
    </row>
    <row r="499" spans="1:44" ht="14.25" customHeight="1" x14ac:dyDescent="0.3">
      <c r="A499" s="34"/>
      <c r="B499" s="16"/>
      <c r="C499" s="15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5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37"/>
      <c r="AO499" s="37"/>
      <c r="AP499" s="37"/>
      <c r="AQ499" s="37"/>
      <c r="AR499" s="37"/>
    </row>
    <row r="500" spans="1:44" ht="14.25" customHeight="1" x14ac:dyDescent="0.3">
      <c r="A500" s="34"/>
      <c r="B500" s="16"/>
      <c r="C500" s="15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5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37"/>
      <c r="AO500" s="37"/>
      <c r="AP500" s="37"/>
      <c r="AQ500" s="37"/>
      <c r="AR500" s="37"/>
    </row>
    <row r="501" spans="1:44" ht="14.25" customHeight="1" x14ac:dyDescent="0.3">
      <c r="A501" s="34"/>
      <c r="B501" s="16"/>
      <c r="C501" s="15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5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37"/>
      <c r="AO501" s="37"/>
      <c r="AP501" s="37"/>
      <c r="AQ501" s="37"/>
      <c r="AR501" s="37"/>
    </row>
    <row r="502" spans="1:44" ht="14.25" customHeight="1" x14ac:dyDescent="0.3">
      <c r="A502" s="34"/>
      <c r="B502" s="16"/>
      <c r="C502" s="15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5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37"/>
      <c r="AO502" s="37"/>
      <c r="AP502" s="37"/>
      <c r="AQ502" s="37"/>
      <c r="AR502" s="37"/>
    </row>
    <row r="503" spans="1:44" ht="14.25" customHeight="1" x14ac:dyDescent="0.3">
      <c r="A503" s="34"/>
      <c r="B503" s="16"/>
      <c r="C503" s="15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5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37"/>
      <c r="AO503" s="37"/>
      <c r="AP503" s="37"/>
      <c r="AQ503" s="37"/>
      <c r="AR503" s="37"/>
    </row>
    <row r="504" spans="1:44" ht="14.25" customHeight="1" x14ac:dyDescent="0.3">
      <c r="A504" s="34"/>
      <c r="B504" s="16"/>
      <c r="C504" s="15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5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37"/>
      <c r="AO504" s="37"/>
      <c r="AP504" s="37"/>
      <c r="AQ504" s="37"/>
      <c r="AR504" s="37"/>
    </row>
    <row r="505" spans="1:44" ht="14.25" customHeight="1" x14ac:dyDescent="0.3">
      <c r="A505" s="34"/>
      <c r="B505" s="16"/>
      <c r="C505" s="15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5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37"/>
      <c r="AO505" s="37"/>
      <c r="AP505" s="37"/>
      <c r="AQ505" s="37"/>
      <c r="AR505" s="37"/>
    </row>
    <row r="506" spans="1:44" ht="14.25" customHeight="1" x14ac:dyDescent="0.3">
      <c r="A506" s="34"/>
      <c r="B506" s="16"/>
      <c r="C506" s="15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5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37"/>
      <c r="AO506" s="37"/>
      <c r="AP506" s="37"/>
      <c r="AQ506" s="37"/>
      <c r="AR506" s="37"/>
    </row>
    <row r="507" spans="1:44" ht="14.25" customHeight="1" x14ac:dyDescent="0.3">
      <c r="A507" s="34"/>
      <c r="B507" s="16"/>
      <c r="C507" s="15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5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37"/>
      <c r="AO507" s="37"/>
      <c r="AP507" s="37"/>
      <c r="AQ507" s="37"/>
      <c r="AR507" s="37"/>
    </row>
    <row r="508" spans="1:44" ht="14.25" customHeight="1" x14ac:dyDescent="0.3">
      <c r="A508" s="34"/>
      <c r="B508" s="16"/>
      <c r="C508" s="15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5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37"/>
      <c r="AO508" s="37"/>
      <c r="AP508" s="37"/>
      <c r="AQ508" s="37"/>
      <c r="AR508" s="37"/>
    </row>
    <row r="509" spans="1:44" ht="14.25" customHeight="1" x14ac:dyDescent="0.3">
      <c r="A509" s="34"/>
      <c r="B509" s="16"/>
      <c r="C509" s="15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5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37"/>
      <c r="AO509" s="37"/>
      <c r="AP509" s="37"/>
      <c r="AQ509" s="37"/>
      <c r="AR509" s="37"/>
    </row>
    <row r="510" spans="1:44" ht="14.25" customHeight="1" x14ac:dyDescent="0.3">
      <c r="A510" s="34"/>
      <c r="B510" s="16"/>
      <c r="C510" s="15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5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37"/>
      <c r="AO510" s="37"/>
      <c r="AP510" s="37"/>
      <c r="AQ510" s="37"/>
      <c r="AR510" s="37"/>
    </row>
    <row r="511" spans="1:44" ht="14.25" customHeight="1" x14ac:dyDescent="0.3">
      <c r="A511" s="34"/>
      <c r="B511" s="16"/>
      <c r="C511" s="15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5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37"/>
      <c r="AO511" s="37"/>
      <c r="AP511" s="37"/>
      <c r="AQ511" s="37"/>
      <c r="AR511" s="37"/>
    </row>
    <row r="512" spans="1:44" ht="14.25" customHeight="1" x14ac:dyDescent="0.3">
      <c r="A512" s="34"/>
      <c r="B512" s="16"/>
      <c r="C512" s="15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5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37"/>
      <c r="AO512" s="37"/>
      <c r="AP512" s="37"/>
      <c r="AQ512" s="37"/>
      <c r="AR512" s="37"/>
    </row>
    <row r="513" spans="1:44" ht="14.25" customHeight="1" x14ac:dyDescent="0.3">
      <c r="A513" s="34"/>
      <c r="B513" s="16"/>
      <c r="C513" s="15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5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37"/>
      <c r="AO513" s="37"/>
      <c r="AP513" s="37"/>
      <c r="AQ513" s="37"/>
      <c r="AR513" s="37"/>
    </row>
    <row r="514" spans="1:44" ht="14.25" customHeight="1" x14ac:dyDescent="0.3">
      <c r="A514" s="34"/>
      <c r="B514" s="16"/>
      <c r="C514" s="15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5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37"/>
      <c r="AO514" s="37"/>
      <c r="AP514" s="37"/>
      <c r="AQ514" s="37"/>
      <c r="AR514" s="37"/>
    </row>
    <row r="515" spans="1:44" ht="14.25" customHeight="1" x14ac:dyDescent="0.3">
      <c r="A515" s="34"/>
      <c r="B515" s="16"/>
      <c r="C515" s="15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5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37"/>
      <c r="AO515" s="37"/>
      <c r="AP515" s="37"/>
      <c r="AQ515" s="37"/>
      <c r="AR515" s="37"/>
    </row>
    <row r="516" spans="1:44" ht="14.25" customHeight="1" x14ac:dyDescent="0.3">
      <c r="A516" s="34"/>
      <c r="B516" s="16"/>
      <c r="C516" s="15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5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37"/>
      <c r="AO516" s="37"/>
      <c r="AP516" s="37"/>
      <c r="AQ516" s="37"/>
      <c r="AR516" s="37"/>
    </row>
    <row r="517" spans="1:44" ht="14.25" customHeight="1" x14ac:dyDescent="0.3">
      <c r="A517" s="34"/>
      <c r="B517" s="16"/>
      <c r="C517" s="15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5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37"/>
      <c r="AO517" s="37"/>
      <c r="AP517" s="37"/>
      <c r="AQ517" s="37"/>
      <c r="AR517" s="37"/>
    </row>
    <row r="518" spans="1:44" ht="14.25" customHeight="1" x14ac:dyDescent="0.3">
      <c r="A518" s="34"/>
      <c r="B518" s="16"/>
      <c r="C518" s="15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5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37"/>
      <c r="AO518" s="37"/>
      <c r="AP518" s="37"/>
      <c r="AQ518" s="37"/>
      <c r="AR518" s="37"/>
    </row>
    <row r="519" spans="1:44" ht="14.25" customHeight="1" x14ac:dyDescent="0.3">
      <c r="A519" s="34"/>
      <c r="B519" s="16"/>
      <c r="C519" s="15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5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37"/>
      <c r="AO519" s="37"/>
      <c r="AP519" s="37"/>
      <c r="AQ519" s="37"/>
      <c r="AR519" s="37"/>
    </row>
    <row r="520" spans="1:44" ht="14.25" customHeight="1" x14ac:dyDescent="0.3">
      <c r="A520" s="34"/>
      <c r="B520" s="16"/>
      <c r="C520" s="15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5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37"/>
      <c r="AO520" s="37"/>
      <c r="AP520" s="37"/>
      <c r="AQ520" s="37"/>
      <c r="AR520" s="37"/>
    </row>
    <row r="521" spans="1:44" ht="14.25" customHeight="1" x14ac:dyDescent="0.3">
      <c r="A521" s="34"/>
      <c r="B521" s="16"/>
      <c r="C521" s="15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5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37"/>
      <c r="AO521" s="37"/>
      <c r="AP521" s="37"/>
      <c r="AQ521" s="37"/>
      <c r="AR521" s="37"/>
    </row>
    <row r="522" spans="1:44" ht="14.25" customHeight="1" x14ac:dyDescent="0.3">
      <c r="A522" s="34"/>
      <c r="B522" s="16"/>
      <c r="C522" s="15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5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37"/>
      <c r="AO522" s="37"/>
      <c r="AP522" s="37"/>
      <c r="AQ522" s="37"/>
      <c r="AR522" s="37"/>
    </row>
    <row r="523" spans="1:44" ht="14.25" customHeight="1" x14ac:dyDescent="0.3">
      <c r="A523" s="34"/>
      <c r="B523" s="16"/>
      <c r="C523" s="15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5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37"/>
      <c r="AO523" s="37"/>
      <c r="AP523" s="37"/>
      <c r="AQ523" s="37"/>
      <c r="AR523" s="37"/>
    </row>
    <row r="524" spans="1:44" ht="14.25" customHeight="1" x14ac:dyDescent="0.3">
      <c r="A524" s="34"/>
      <c r="B524" s="16"/>
      <c r="C524" s="15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5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37"/>
      <c r="AO524" s="37"/>
      <c r="AP524" s="37"/>
      <c r="AQ524" s="37"/>
      <c r="AR524" s="37"/>
    </row>
    <row r="525" spans="1:44" ht="14.25" customHeight="1" x14ac:dyDescent="0.3">
      <c r="A525" s="34"/>
      <c r="B525" s="16"/>
      <c r="C525" s="15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5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37"/>
      <c r="AO525" s="37"/>
      <c r="AP525" s="37"/>
      <c r="AQ525" s="37"/>
      <c r="AR525" s="37"/>
    </row>
    <row r="526" spans="1:44" ht="14.25" customHeight="1" x14ac:dyDescent="0.3">
      <c r="A526" s="34"/>
      <c r="B526" s="16"/>
      <c r="C526" s="15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5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37"/>
      <c r="AO526" s="37"/>
      <c r="AP526" s="37"/>
      <c r="AQ526" s="37"/>
      <c r="AR526" s="37"/>
    </row>
    <row r="527" spans="1:44" ht="14.25" customHeight="1" x14ac:dyDescent="0.3">
      <c r="A527" s="34"/>
      <c r="B527" s="16"/>
      <c r="C527" s="15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5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37"/>
      <c r="AO527" s="37"/>
      <c r="AP527" s="37"/>
      <c r="AQ527" s="37"/>
      <c r="AR527" s="37"/>
    </row>
    <row r="528" spans="1:44" ht="14.25" customHeight="1" x14ac:dyDescent="0.3">
      <c r="A528" s="34"/>
      <c r="B528" s="16"/>
      <c r="C528" s="15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5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37"/>
      <c r="AO528" s="37"/>
      <c r="AP528" s="37"/>
      <c r="AQ528" s="37"/>
      <c r="AR528" s="37"/>
    </row>
    <row r="529" spans="1:44" ht="14.25" customHeight="1" x14ac:dyDescent="0.3">
      <c r="A529" s="34"/>
      <c r="B529" s="16"/>
      <c r="C529" s="15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5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37"/>
      <c r="AO529" s="37"/>
      <c r="AP529" s="37"/>
      <c r="AQ529" s="37"/>
      <c r="AR529" s="37"/>
    </row>
    <row r="530" spans="1:44" ht="14.25" customHeight="1" x14ac:dyDescent="0.3">
      <c r="A530" s="34"/>
      <c r="B530" s="16"/>
      <c r="C530" s="15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5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37"/>
      <c r="AO530" s="37"/>
      <c r="AP530" s="37"/>
      <c r="AQ530" s="37"/>
      <c r="AR530" s="37"/>
    </row>
    <row r="531" spans="1:44" ht="14.25" customHeight="1" x14ac:dyDescent="0.3">
      <c r="A531" s="34"/>
      <c r="B531" s="16"/>
      <c r="C531" s="15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5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37"/>
      <c r="AO531" s="37"/>
      <c r="AP531" s="37"/>
      <c r="AQ531" s="37"/>
      <c r="AR531" s="37"/>
    </row>
    <row r="532" spans="1:44" ht="14.25" customHeight="1" x14ac:dyDescent="0.3">
      <c r="A532" s="34"/>
      <c r="B532" s="16"/>
      <c r="C532" s="15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5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37"/>
      <c r="AO532" s="37"/>
      <c r="AP532" s="37"/>
      <c r="AQ532" s="37"/>
      <c r="AR532" s="37"/>
    </row>
    <row r="533" spans="1:44" ht="14.25" customHeight="1" x14ac:dyDescent="0.3">
      <c r="A533" s="34"/>
      <c r="B533" s="16"/>
      <c r="C533" s="15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5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37"/>
      <c r="AO533" s="37"/>
      <c r="AP533" s="37"/>
      <c r="AQ533" s="37"/>
      <c r="AR533" s="37"/>
    </row>
    <row r="534" spans="1:44" ht="14.25" customHeight="1" x14ac:dyDescent="0.3">
      <c r="A534" s="34"/>
      <c r="B534" s="16"/>
      <c r="C534" s="15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5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37"/>
      <c r="AO534" s="37"/>
      <c r="AP534" s="37"/>
      <c r="AQ534" s="37"/>
      <c r="AR534" s="37"/>
    </row>
    <row r="535" spans="1:44" ht="14.25" customHeight="1" x14ac:dyDescent="0.3">
      <c r="A535" s="34"/>
      <c r="B535" s="16"/>
      <c r="C535" s="15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5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37"/>
      <c r="AO535" s="37"/>
      <c r="AP535" s="37"/>
      <c r="AQ535" s="37"/>
      <c r="AR535" s="37"/>
    </row>
    <row r="536" spans="1:44" ht="14.25" customHeight="1" x14ac:dyDescent="0.3">
      <c r="A536" s="34"/>
      <c r="B536" s="16"/>
      <c r="C536" s="15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5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37"/>
      <c r="AO536" s="37"/>
      <c r="AP536" s="37"/>
      <c r="AQ536" s="37"/>
      <c r="AR536" s="37"/>
    </row>
    <row r="537" spans="1:44" ht="14.25" customHeight="1" x14ac:dyDescent="0.3">
      <c r="A537" s="34"/>
      <c r="B537" s="16"/>
      <c r="C537" s="15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5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37"/>
      <c r="AO537" s="37"/>
      <c r="AP537" s="37"/>
      <c r="AQ537" s="37"/>
      <c r="AR537" s="37"/>
    </row>
    <row r="538" spans="1:44" ht="14.25" customHeight="1" x14ac:dyDescent="0.3">
      <c r="A538" s="34"/>
      <c r="B538" s="16"/>
      <c r="C538" s="15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5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37"/>
      <c r="AO538" s="37"/>
      <c r="AP538" s="37"/>
      <c r="AQ538" s="37"/>
      <c r="AR538" s="37"/>
    </row>
    <row r="539" spans="1:44" ht="14.25" customHeight="1" x14ac:dyDescent="0.3">
      <c r="A539" s="34"/>
      <c r="B539" s="16"/>
      <c r="C539" s="15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5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37"/>
      <c r="AO539" s="37"/>
      <c r="AP539" s="37"/>
      <c r="AQ539" s="37"/>
      <c r="AR539" s="37"/>
    </row>
    <row r="540" spans="1:44" ht="14.25" customHeight="1" x14ac:dyDescent="0.3">
      <c r="A540" s="34"/>
      <c r="B540" s="16"/>
      <c r="C540" s="15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5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37"/>
      <c r="AO540" s="37"/>
      <c r="AP540" s="37"/>
      <c r="AQ540" s="37"/>
      <c r="AR540" s="37"/>
    </row>
    <row r="541" spans="1:44" ht="14.25" customHeight="1" x14ac:dyDescent="0.3">
      <c r="A541" s="34"/>
      <c r="B541" s="16"/>
      <c r="C541" s="15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5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37"/>
      <c r="AO541" s="37"/>
      <c r="AP541" s="37"/>
      <c r="AQ541" s="37"/>
      <c r="AR541" s="37"/>
    </row>
    <row r="542" spans="1:44" ht="14.25" customHeight="1" x14ac:dyDescent="0.3">
      <c r="A542" s="34"/>
      <c r="B542" s="16"/>
      <c r="C542" s="15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5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37"/>
      <c r="AO542" s="37"/>
      <c r="AP542" s="37"/>
      <c r="AQ542" s="37"/>
      <c r="AR542" s="37"/>
    </row>
    <row r="543" spans="1:44" ht="14.25" customHeight="1" x14ac:dyDescent="0.3">
      <c r="A543" s="34"/>
      <c r="B543" s="16"/>
      <c r="C543" s="15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5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37"/>
      <c r="AO543" s="37"/>
      <c r="AP543" s="37"/>
      <c r="AQ543" s="37"/>
      <c r="AR543" s="37"/>
    </row>
    <row r="544" spans="1:44" ht="14.25" customHeight="1" x14ac:dyDescent="0.3">
      <c r="A544" s="34"/>
      <c r="B544" s="16"/>
      <c r="C544" s="15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5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37"/>
      <c r="AO544" s="37"/>
      <c r="AP544" s="37"/>
      <c r="AQ544" s="37"/>
      <c r="AR544" s="37"/>
    </row>
    <row r="545" spans="1:44" ht="14.25" customHeight="1" x14ac:dyDescent="0.3">
      <c r="A545" s="34"/>
      <c r="B545" s="16"/>
      <c r="C545" s="15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5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37"/>
      <c r="AO545" s="37"/>
      <c r="AP545" s="37"/>
      <c r="AQ545" s="37"/>
      <c r="AR545" s="37"/>
    </row>
    <row r="546" spans="1:44" ht="14.25" customHeight="1" x14ac:dyDescent="0.3">
      <c r="A546" s="34"/>
      <c r="B546" s="16"/>
      <c r="C546" s="15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5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37"/>
      <c r="AO546" s="37"/>
      <c r="AP546" s="37"/>
      <c r="AQ546" s="37"/>
      <c r="AR546" s="37"/>
    </row>
    <row r="547" spans="1:44" ht="14.25" customHeight="1" x14ac:dyDescent="0.3">
      <c r="A547" s="34"/>
      <c r="B547" s="16"/>
      <c r="C547" s="15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5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37"/>
      <c r="AO547" s="37"/>
      <c r="AP547" s="37"/>
      <c r="AQ547" s="37"/>
      <c r="AR547" s="37"/>
    </row>
    <row r="548" spans="1:44" ht="14.25" customHeight="1" x14ac:dyDescent="0.3">
      <c r="A548" s="34"/>
      <c r="B548" s="16"/>
      <c r="C548" s="15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5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37"/>
      <c r="AO548" s="37"/>
      <c r="AP548" s="37"/>
      <c r="AQ548" s="37"/>
      <c r="AR548" s="37"/>
    </row>
    <row r="549" spans="1:44" ht="14.25" customHeight="1" x14ac:dyDescent="0.3">
      <c r="A549" s="34"/>
      <c r="B549" s="16"/>
      <c r="C549" s="15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5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37"/>
      <c r="AO549" s="37"/>
      <c r="AP549" s="37"/>
      <c r="AQ549" s="37"/>
      <c r="AR549" s="37"/>
    </row>
    <row r="550" spans="1:44" ht="14.25" customHeight="1" x14ac:dyDescent="0.3">
      <c r="A550" s="34"/>
      <c r="B550" s="16"/>
      <c r="C550" s="15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5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37"/>
      <c r="AO550" s="37"/>
      <c r="AP550" s="37"/>
      <c r="AQ550" s="37"/>
      <c r="AR550" s="37"/>
    </row>
    <row r="551" spans="1:44" ht="14.25" customHeight="1" x14ac:dyDescent="0.3">
      <c r="A551" s="34"/>
      <c r="B551" s="16"/>
      <c r="C551" s="15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5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37"/>
      <c r="AO551" s="37"/>
      <c r="AP551" s="37"/>
      <c r="AQ551" s="37"/>
      <c r="AR551" s="37"/>
    </row>
    <row r="552" spans="1:44" ht="14.25" customHeight="1" x14ac:dyDescent="0.3">
      <c r="A552" s="34"/>
      <c r="B552" s="16"/>
      <c r="C552" s="15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5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37"/>
      <c r="AO552" s="37"/>
      <c r="AP552" s="37"/>
      <c r="AQ552" s="37"/>
      <c r="AR552" s="37"/>
    </row>
    <row r="553" spans="1:44" ht="14.25" customHeight="1" x14ac:dyDescent="0.3">
      <c r="A553" s="34"/>
      <c r="B553" s="16"/>
      <c r="C553" s="15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5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37"/>
      <c r="AO553" s="37"/>
      <c r="AP553" s="37"/>
      <c r="AQ553" s="37"/>
      <c r="AR553" s="37"/>
    </row>
    <row r="554" spans="1:44" ht="14.25" customHeight="1" x14ac:dyDescent="0.3">
      <c r="A554" s="34"/>
      <c r="B554" s="16"/>
      <c r="C554" s="15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5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37"/>
      <c r="AO554" s="37"/>
      <c r="AP554" s="37"/>
      <c r="AQ554" s="37"/>
      <c r="AR554" s="37"/>
    </row>
    <row r="555" spans="1:44" ht="14.25" customHeight="1" x14ac:dyDescent="0.3">
      <c r="A555" s="34"/>
      <c r="B555" s="16"/>
      <c r="C555" s="15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5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37"/>
      <c r="AO555" s="37"/>
      <c r="AP555" s="37"/>
      <c r="AQ555" s="37"/>
      <c r="AR555" s="37"/>
    </row>
    <row r="556" spans="1:44" ht="14.25" customHeight="1" x14ac:dyDescent="0.3">
      <c r="A556" s="34"/>
      <c r="B556" s="16"/>
      <c r="C556" s="15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5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37"/>
      <c r="AO556" s="37"/>
      <c r="AP556" s="37"/>
      <c r="AQ556" s="37"/>
      <c r="AR556" s="37"/>
    </row>
    <row r="557" spans="1:44" ht="14.25" customHeight="1" x14ac:dyDescent="0.3">
      <c r="A557" s="34"/>
      <c r="B557" s="16"/>
      <c r="C557" s="15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5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37"/>
      <c r="AO557" s="37"/>
      <c r="AP557" s="37"/>
      <c r="AQ557" s="37"/>
      <c r="AR557" s="37"/>
    </row>
    <row r="558" spans="1:44" ht="14.25" customHeight="1" x14ac:dyDescent="0.3">
      <c r="A558" s="34"/>
      <c r="B558" s="16"/>
      <c r="C558" s="15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5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37"/>
      <c r="AO558" s="37"/>
      <c r="AP558" s="37"/>
      <c r="AQ558" s="37"/>
      <c r="AR558" s="37"/>
    </row>
    <row r="559" spans="1:44" ht="14.25" customHeight="1" x14ac:dyDescent="0.3">
      <c r="A559" s="34"/>
      <c r="B559" s="16"/>
      <c r="C559" s="15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5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37"/>
      <c r="AO559" s="37"/>
      <c r="AP559" s="37"/>
      <c r="AQ559" s="37"/>
      <c r="AR559" s="37"/>
    </row>
    <row r="560" spans="1:44" ht="14.25" customHeight="1" x14ac:dyDescent="0.3">
      <c r="A560" s="34"/>
      <c r="B560" s="16"/>
      <c r="C560" s="15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5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37"/>
      <c r="AO560" s="37"/>
      <c r="AP560" s="37"/>
      <c r="AQ560" s="37"/>
      <c r="AR560" s="37"/>
    </row>
    <row r="561" spans="1:44" ht="14.25" customHeight="1" x14ac:dyDescent="0.3">
      <c r="A561" s="34"/>
      <c r="B561" s="16"/>
      <c r="C561" s="15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5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37"/>
      <c r="AO561" s="37"/>
      <c r="AP561" s="37"/>
      <c r="AQ561" s="37"/>
      <c r="AR561" s="37"/>
    </row>
    <row r="562" spans="1:44" ht="14.25" customHeight="1" x14ac:dyDescent="0.3">
      <c r="A562" s="34"/>
      <c r="B562" s="16"/>
      <c r="C562" s="15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5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37"/>
      <c r="AO562" s="37"/>
      <c r="AP562" s="37"/>
      <c r="AQ562" s="37"/>
      <c r="AR562" s="37"/>
    </row>
    <row r="563" spans="1:44" ht="14.25" customHeight="1" x14ac:dyDescent="0.3">
      <c r="A563" s="34"/>
      <c r="B563" s="16"/>
      <c r="C563" s="15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5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37"/>
      <c r="AO563" s="37"/>
      <c r="AP563" s="37"/>
      <c r="AQ563" s="37"/>
      <c r="AR563" s="37"/>
    </row>
    <row r="564" spans="1:44" ht="14.25" customHeight="1" x14ac:dyDescent="0.3">
      <c r="A564" s="34"/>
      <c r="B564" s="16"/>
      <c r="C564" s="15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5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37"/>
      <c r="AO564" s="37"/>
      <c r="AP564" s="37"/>
      <c r="AQ564" s="37"/>
      <c r="AR564" s="37"/>
    </row>
    <row r="565" spans="1:44" ht="14.25" customHeight="1" x14ac:dyDescent="0.3">
      <c r="A565" s="34"/>
      <c r="B565" s="16"/>
      <c r="C565" s="15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5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37"/>
      <c r="AO565" s="37"/>
      <c r="AP565" s="37"/>
      <c r="AQ565" s="37"/>
      <c r="AR565" s="37"/>
    </row>
    <row r="566" spans="1:44" ht="14.25" customHeight="1" x14ac:dyDescent="0.3">
      <c r="A566" s="34"/>
      <c r="B566" s="16"/>
      <c r="C566" s="15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5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37"/>
      <c r="AO566" s="37"/>
      <c r="AP566" s="37"/>
      <c r="AQ566" s="37"/>
      <c r="AR566" s="37"/>
    </row>
    <row r="567" spans="1:44" ht="14.25" customHeight="1" x14ac:dyDescent="0.3">
      <c r="A567" s="34"/>
      <c r="B567" s="16"/>
      <c r="C567" s="15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5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37"/>
      <c r="AO567" s="37"/>
      <c r="AP567" s="37"/>
      <c r="AQ567" s="37"/>
      <c r="AR567" s="37"/>
    </row>
    <row r="568" spans="1:44" ht="14.25" customHeight="1" x14ac:dyDescent="0.3">
      <c r="A568" s="34"/>
      <c r="B568" s="16"/>
      <c r="C568" s="15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5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37"/>
      <c r="AO568" s="37"/>
      <c r="AP568" s="37"/>
      <c r="AQ568" s="37"/>
      <c r="AR568" s="37"/>
    </row>
    <row r="569" spans="1:44" ht="14.25" customHeight="1" x14ac:dyDescent="0.3">
      <c r="A569" s="34"/>
      <c r="B569" s="16"/>
      <c r="C569" s="15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5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37"/>
      <c r="AO569" s="37"/>
      <c r="AP569" s="37"/>
      <c r="AQ569" s="37"/>
      <c r="AR569" s="37"/>
    </row>
    <row r="570" spans="1:44" ht="14.25" customHeight="1" x14ac:dyDescent="0.3">
      <c r="A570" s="34"/>
      <c r="B570" s="16"/>
      <c r="C570" s="15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5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37"/>
      <c r="AO570" s="37"/>
      <c r="AP570" s="37"/>
      <c r="AQ570" s="37"/>
      <c r="AR570" s="37"/>
    </row>
    <row r="571" spans="1:44" ht="14.25" customHeight="1" x14ac:dyDescent="0.3">
      <c r="A571" s="34"/>
      <c r="B571" s="16"/>
      <c r="C571" s="15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5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37"/>
      <c r="AO571" s="37"/>
      <c r="AP571" s="37"/>
      <c r="AQ571" s="37"/>
      <c r="AR571" s="37"/>
    </row>
    <row r="572" spans="1:44" ht="14.25" customHeight="1" x14ac:dyDescent="0.3">
      <c r="A572" s="34"/>
      <c r="B572" s="16"/>
      <c r="C572" s="15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5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37"/>
      <c r="AO572" s="37"/>
      <c r="AP572" s="37"/>
      <c r="AQ572" s="37"/>
      <c r="AR572" s="37"/>
    </row>
    <row r="573" spans="1:44" ht="14.25" customHeight="1" x14ac:dyDescent="0.3">
      <c r="A573" s="34"/>
      <c r="B573" s="16"/>
      <c r="C573" s="15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5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37"/>
      <c r="AO573" s="37"/>
      <c r="AP573" s="37"/>
      <c r="AQ573" s="37"/>
      <c r="AR573" s="37"/>
    </row>
    <row r="574" spans="1:44" ht="14.25" customHeight="1" x14ac:dyDescent="0.3">
      <c r="A574" s="34"/>
      <c r="B574" s="16"/>
      <c r="C574" s="15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5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37"/>
      <c r="AO574" s="37"/>
      <c r="AP574" s="37"/>
      <c r="AQ574" s="37"/>
      <c r="AR574" s="37"/>
    </row>
    <row r="575" spans="1:44" ht="14.25" customHeight="1" x14ac:dyDescent="0.3">
      <c r="A575" s="34"/>
      <c r="B575" s="16"/>
      <c r="C575" s="15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5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37"/>
      <c r="AO575" s="37"/>
      <c r="AP575" s="37"/>
      <c r="AQ575" s="37"/>
      <c r="AR575" s="37"/>
    </row>
    <row r="576" spans="1:44" ht="14.25" customHeight="1" x14ac:dyDescent="0.3">
      <c r="A576" s="34"/>
      <c r="B576" s="16"/>
      <c r="C576" s="15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5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37"/>
      <c r="AO576" s="37"/>
      <c r="AP576" s="37"/>
      <c r="AQ576" s="37"/>
      <c r="AR576" s="37"/>
    </row>
    <row r="577" spans="1:44" ht="14.25" customHeight="1" x14ac:dyDescent="0.3">
      <c r="A577" s="34"/>
      <c r="B577" s="16"/>
      <c r="C577" s="15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5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37"/>
      <c r="AO577" s="37"/>
      <c r="AP577" s="37"/>
      <c r="AQ577" s="37"/>
      <c r="AR577" s="37"/>
    </row>
    <row r="578" spans="1:44" ht="14.25" customHeight="1" x14ac:dyDescent="0.3">
      <c r="A578" s="34"/>
      <c r="B578" s="16"/>
      <c r="C578" s="15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5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37"/>
      <c r="AO578" s="37"/>
      <c r="AP578" s="37"/>
      <c r="AQ578" s="37"/>
      <c r="AR578" s="37"/>
    </row>
    <row r="579" spans="1:44" ht="14.25" customHeight="1" x14ac:dyDescent="0.3">
      <c r="A579" s="34"/>
      <c r="B579" s="16"/>
      <c r="C579" s="15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5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37"/>
      <c r="AO579" s="37"/>
      <c r="AP579" s="37"/>
      <c r="AQ579" s="37"/>
      <c r="AR579" s="37"/>
    </row>
    <row r="580" spans="1:44" ht="14.25" customHeight="1" x14ac:dyDescent="0.3">
      <c r="A580" s="34"/>
      <c r="B580" s="16"/>
      <c r="C580" s="15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5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37"/>
      <c r="AO580" s="37"/>
      <c r="AP580" s="37"/>
      <c r="AQ580" s="37"/>
      <c r="AR580" s="37"/>
    </row>
    <row r="581" spans="1:44" ht="14.25" customHeight="1" x14ac:dyDescent="0.3">
      <c r="A581" s="34"/>
      <c r="B581" s="16"/>
      <c r="C581" s="15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5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37"/>
      <c r="AO581" s="37"/>
      <c r="AP581" s="37"/>
      <c r="AQ581" s="37"/>
      <c r="AR581" s="37"/>
    </row>
    <row r="582" spans="1:44" ht="14.25" customHeight="1" x14ac:dyDescent="0.3">
      <c r="A582" s="34"/>
      <c r="B582" s="16"/>
      <c r="C582" s="15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5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37"/>
      <c r="AO582" s="37"/>
      <c r="AP582" s="37"/>
      <c r="AQ582" s="37"/>
      <c r="AR582" s="37"/>
    </row>
    <row r="583" spans="1:44" ht="14.25" customHeight="1" x14ac:dyDescent="0.3">
      <c r="A583" s="34"/>
      <c r="B583" s="16"/>
      <c r="C583" s="15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5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37"/>
      <c r="AO583" s="37"/>
      <c r="AP583" s="37"/>
      <c r="AQ583" s="37"/>
      <c r="AR583" s="37"/>
    </row>
    <row r="584" spans="1:44" ht="14.25" customHeight="1" x14ac:dyDescent="0.3">
      <c r="A584" s="34"/>
      <c r="B584" s="16"/>
      <c r="C584" s="15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5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37"/>
      <c r="AO584" s="37"/>
      <c r="AP584" s="37"/>
      <c r="AQ584" s="37"/>
      <c r="AR584" s="37"/>
    </row>
    <row r="585" spans="1:44" ht="14.25" customHeight="1" x14ac:dyDescent="0.3">
      <c r="A585" s="34"/>
      <c r="B585" s="16"/>
      <c r="C585" s="15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5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37"/>
      <c r="AO585" s="37"/>
      <c r="AP585" s="37"/>
      <c r="AQ585" s="37"/>
      <c r="AR585" s="37"/>
    </row>
    <row r="586" spans="1:44" ht="14.25" customHeight="1" x14ac:dyDescent="0.3">
      <c r="A586" s="34"/>
      <c r="B586" s="16"/>
      <c r="C586" s="15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5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37"/>
      <c r="AO586" s="37"/>
      <c r="AP586" s="37"/>
      <c r="AQ586" s="37"/>
      <c r="AR586" s="37"/>
    </row>
    <row r="587" spans="1:44" ht="14.25" customHeight="1" x14ac:dyDescent="0.3">
      <c r="A587" s="34"/>
      <c r="B587" s="16"/>
      <c r="C587" s="15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5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37"/>
      <c r="AO587" s="37"/>
      <c r="AP587" s="37"/>
      <c r="AQ587" s="37"/>
      <c r="AR587" s="37"/>
    </row>
    <row r="588" spans="1:44" ht="14.25" customHeight="1" x14ac:dyDescent="0.3">
      <c r="A588" s="34"/>
      <c r="B588" s="16"/>
      <c r="C588" s="15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5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37"/>
      <c r="AO588" s="37"/>
      <c r="AP588" s="37"/>
      <c r="AQ588" s="37"/>
      <c r="AR588" s="37"/>
    </row>
    <row r="589" spans="1:44" ht="14.25" customHeight="1" x14ac:dyDescent="0.3">
      <c r="A589" s="34"/>
      <c r="B589" s="16"/>
      <c r="C589" s="15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5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37"/>
      <c r="AO589" s="37"/>
      <c r="AP589" s="37"/>
      <c r="AQ589" s="37"/>
      <c r="AR589" s="37"/>
    </row>
    <row r="590" spans="1:44" ht="14.25" customHeight="1" x14ac:dyDescent="0.3">
      <c r="A590" s="34"/>
      <c r="B590" s="16"/>
      <c r="C590" s="15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5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37"/>
      <c r="AO590" s="37"/>
      <c r="AP590" s="37"/>
      <c r="AQ590" s="37"/>
      <c r="AR590" s="37"/>
    </row>
    <row r="591" spans="1:44" ht="14.25" customHeight="1" x14ac:dyDescent="0.3">
      <c r="A591" s="34"/>
      <c r="B591" s="16"/>
      <c r="C591" s="15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5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37"/>
      <c r="AO591" s="37"/>
      <c r="AP591" s="37"/>
      <c r="AQ591" s="37"/>
      <c r="AR591" s="37"/>
    </row>
    <row r="592" spans="1:44" ht="14.25" customHeight="1" x14ac:dyDescent="0.3">
      <c r="A592" s="34"/>
      <c r="B592" s="16"/>
      <c r="C592" s="15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5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37"/>
      <c r="AO592" s="37"/>
      <c r="AP592" s="37"/>
      <c r="AQ592" s="37"/>
      <c r="AR592" s="37"/>
    </row>
    <row r="593" spans="1:44" ht="14.25" customHeight="1" x14ac:dyDescent="0.3">
      <c r="A593" s="34"/>
      <c r="B593" s="16"/>
      <c r="C593" s="15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5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37"/>
      <c r="AO593" s="37"/>
      <c r="AP593" s="37"/>
      <c r="AQ593" s="37"/>
      <c r="AR593" s="37"/>
    </row>
    <row r="594" spans="1:44" ht="14.25" customHeight="1" x14ac:dyDescent="0.3">
      <c r="A594" s="34"/>
      <c r="B594" s="16"/>
      <c r="C594" s="15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5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37"/>
      <c r="AO594" s="37"/>
      <c r="AP594" s="37"/>
      <c r="AQ594" s="37"/>
      <c r="AR594" s="37"/>
    </row>
    <row r="595" spans="1:44" ht="14.25" customHeight="1" x14ac:dyDescent="0.3">
      <c r="A595" s="34"/>
      <c r="B595" s="16"/>
      <c r="C595" s="15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5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37"/>
      <c r="AO595" s="37"/>
      <c r="AP595" s="37"/>
      <c r="AQ595" s="37"/>
      <c r="AR595" s="37"/>
    </row>
    <row r="596" spans="1:44" ht="14.25" customHeight="1" x14ac:dyDescent="0.3">
      <c r="A596" s="34"/>
      <c r="B596" s="16"/>
      <c r="C596" s="15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5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37"/>
      <c r="AO596" s="37"/>
      <c r="AP596" s="37"/>
      <c r="AQ596" s="37"/>
      <c r="AR596" s="37"/>
    </row>
    <row r="597" spans="1:44" ht="14.25" customHeight="1" x14ac:dyDescent="0.3">
      <c r="A597" s="34"/>
      <c r="B597" s="16"/>
      <c r="C597" s="15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5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37"/>
      <c r="AO597" s="37"/>
      <c r="AP597" s="37"/>
      <c r="AQ597" s="37"/>
      <c r="AR597" s="37"/>
    </row>
    <row r="598" spans="1:44" ht="14.25" customHeight="1" x14ac:dyDescent="0.3">
      <c r="A598" s="34"/>
      <c r="B598" s="16"/>
      <c r="C598" s="15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5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37"/>
      <c r="AO598" s="37"/>
      <c r="AP598" s="37"/>
      <c r="AQ598" s="37"/>
      <c r="AR598" s="37"/>
    </row>
    <row r="599" spans="1:44" ht="14.25" customHeight="1" x14ac:dyDescent="0.3">
      <c r="A599" s="34"/>
      <c r="B599" s="16"/>
      <c r="C599" s="15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5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37"/>
      <c r="AO599" s="37"/>
      <c r="AP599" s="37"/>
      <c r="AQ599" s="37"/>
      <c r="AR599" s="37"/>
    </row>
    <row r="600" spans="1:44" ht="14.25" customHeight="1" x14ac:dyDescent="0.3">
      <c r="A600" s="34"/>
      <c r="B600" s="16"/>
      <c r="C600" s="15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5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37"/>
      <c r="AO600" s="37"/>
      <c r="AP600" s="37"/>
      <c r="AQ600" s="37"/>
      <c r="AR600" s="37"/>
    </row>
    <row r="601" spans="1:44" ht="14.25" customHeight="1" x14ac:dyDescent="0.3">
      <c r="A601" s="34"/>
      <c r="B601" s="16"/>
      <c r="C601" s="15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5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37"/>
      <c r="AO601" s="37"/>
      <c r="AP601" s="37"/>
      <c r="AQ601" s="37"/>
      <c r="AR601" s="37"/>
    </row>
    <row r="602" spans="1:44" ht="14.25" customHeight="1" x14ac:dyDescent="0.3">
      <c r="A602" s="34"/>
      <c r="B602" s="16"/>
      <c r="C602" s="15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5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37"/>
      <c r="AO602" s="37"/>
      <c r="AP602" s="37"/>
      <c r="AQ602" s="37"/>
      <c r="AR602" s="37"/>
    </row>
    <row r="603" spans="1:44" ht="14.25" customHeight="1" x14ac:dyDescent="0.3">
      <c r="A603" s="34"/>
      <c r="B603" s="16"/>
      <c r="C603" s="15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5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37"/>
      <c r="AO603" s="37"/>
      <c r="AP603" s="37"/>
      <c r="AQ603" s="37"/>
      <c r="AR603" s="37"/>
    </row>
    <row r="604" spans="1:44" ht="14.25" customHeight="1" x14ac:dyDescent="0.3">
      <c r="A604" s="34"/>
      <c r="B604" s="16"/>
      <c r="C604" s="15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5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37"/>
      <c r="AO604" s="37"/>
      <c r="AP604" s="37"/>
      <c r="AQ604" s="37"/>
      <c r="AR604" s="37"/>
    </row>
    <row r="605" spans="1:44" ht="14.25" customHeight="1" x14ac:dyDescent="0.3">
      <c r="A605" s="34"/>
      <c r="B605" s="16"/>
      <c r="C605" s="15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5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37"/>
      <c r="AO605" s="37"/>
      <c r="AP605" s="37"/>
      <c r="AQ605" s="37"/>
      <c r="AR605" s="37"/>
    </row>
    <row r="606" spans="1:44" ht="14.25" customHeight="1" x14ac:dyDescent="0.3">
      <c r="A606" s="34"/>
      <c r="B606" s="16"/>
      <c r="C606" s="15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5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37"/>
      <c r="AO606" s="37"/>
      <c r="AP606" s="37"/>
      <c r="AQ606" s="37"/>
      <c r="AR606" s="37"/>
    </row>
    <row r="607" spans="1:44" ht="14.25" customHeight="1" x14ac:dyDescent="0.3">
      <c r="A607" s="34"/>
      <c r="B607" s="16"/>
      <c r="C607" s="15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5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37"/>
      <c r="AO607" s="37"/>
      <c r="AP607" s="37"/>
      <c r="AQ607" s="37"/>
      <c r="AR607" s="37"/>
    </row>
    <row r="608" spans="1:44" ht="14.25" customHeight="1" x14ac:dyDescent="0.3">
      <c r="A608" s="34"/>
      <c r="B608" s="16"/>
      <c r="C608" s="15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5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37"/>
      <c r="AO608" s="37"/>
      <c r="AP608" s="37"/>
      <c r="AQ608" s="37"/>
      <c r="AR608" s="37"/>
    </row>
    <row r="609" spans="1:44" ht="14.25" customHeight="1" x14ac:dyDescent="0.3">
      <c r="A609" s="34"/>
      <c r="B609" s="16"/>
      <c r="C609" s="15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5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37"/>
      <c r="AO609" s="37"/>
      <c r="AP609" s="37"/>
      <c r="AQ609" s="37"/>
      <c r="AR609" s="37"/>
    </row>
    <row r="610" spans="1:44" ht="14.25" customHeight="1" x14ac:dyDescent="0.3">
      <c r="A610" s="34"/>
      <c r="B610" s="16"/>
      <c r="C610" s="15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5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37"/>
      <c r="AO610" s="37"/>
      <c r="AP610" s="37"/>
      <c r="AQ610" s="37"/>
      <c r="AR610" s="37"/>
    </row>
    <row r="611" spans="1:44" ht="14.25" customHeight="1" x14ac:dyDescent="0.3">
      <c r="A611" s="34"/>
      <c r="B611" s="16"/>
      <c r="C611" s="15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5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37"/>
      <c r="AO611" s="37"/>
      <c r="AP611" s="37"/>
      <c r="AQ611" s="37"/>
      <c r="AR611" s="37"/>
    </row>
    <row r="612" spans="1:44" ht="14.25" customHeight="1" x14ac:dyDescent="0.3">
      <c r="A612" s="34"/>
      <c r="B612" s="16"/>
      <c r="C612" s="15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5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37"/>
      <c r="AO612" s="37"/>
      <c r="AP612" s="37"/>
      <c r="AQ612" s="37"/>
      <c r="AR612" s="37"/>
    </row>
    <row r="613" spans="1:44" ht="14.25" customHeight="1" x14ac:dyDescent="0.3">
      <c r="A613" s="34"/>
      <c r="B613" s="16"/>
      <c r="C613" s="15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5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37"/>
      <c r="AO613" s="37"/>
      <c r="AP613" s="37"/>
      <c r="AQ613" s="37"/>
      <c r="AR613" s="37"/>
    </row>
    <row r="614" spans="1:44" ht="14.25" customHeight="1" x14ac:dyDescent="0.3">
      <c r="A614" s="34"/>
      <c r="B614" s="16"/>
      <c r="C614" s="15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5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37"/>
      <c r="AO614" s="37"/>
      <c r="AP614" s="37"/>
      <c r="AQ614" s="37"/>
      <c r="AR614" s="37"/>
    </row>
    <row r="615" spans="1:44" ht="14.25" customHeight="1" x14ac:dyDescent="0.3">
      <c r="A615" s="34"/>
      <c r="B615" s="16"/>
      <c r="C615" s="15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5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37"/>
      <c r="AO615" s="37"/>
      <c r="AP615" s="37"/>
      <c r="AQ615" s="37"/>
      <c r="AR615" s="37"/>
    </row>
    <row r="616" spans="1:44" ht="14.25" customHeight="1" x14ac:dyDescent="0.3">
      <c r="A616" s="34"/>
      <c r="B616" s="16"/>
      <c r="C616" s="15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5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37"/>
      <c r="AO616" s="37"/>
      <c r="AP616" s="37"/>
      <c r="AQ616" s="37"/>
      <c r="AR616" s="37"/>
    </row>
    <row r="617" spans="1:44" ht="14.25" customHeight="1" x14ac:dyDescent="0.3">
      <c r="A617" s="34"/>
      <c r="B617" s="16"/>
      <c r="C617" s="15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5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37"/>
      <c r="AO617" s="37"/>
      <c r="AP617" s="37"/>
      <c r="AQ617" s="37"/>
      <c r="AR617" s="37"/>
    </row>
    <row r="618" spans="1:44" ht="14.25" customHeight="1" x14ac:dyDescent="0.3">
      <c r="A618" s="34"/>
      <c r="B618" s="16"/>
      <c r="C618" s="15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5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37"/>
      <c r="AO618" s="37"/>
      <c r="AP618" s="37"/>
      <c r="AQ618" s="37"/>
      <c r="AR618" s="37"/>
    </row>
    <row r="619" spans="1:44" ht="14.25" customHeight="1" x14ac:dyDescent="0.3">
      <c r="A619" s="34"/>
      <c r="B619" s="16"/>
      <c r="C619" s="15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5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37"/>
      <c r="AO619" s="37"/>
      <c r="AP619" s="37"/>
      <c r="AQ619" s="37"/>
      <c r="AR619" s="37"/>
    </row>
    <row r="620" spans="1:44" ht="14.25" customHeight="1" x14ac:dyDescent="0.3">
      <c r="A620" s="34"/>
      <c r="B620" s="16"/>
      <c r="C620" s="15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5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37"/>
      <c r="AO620" s="37"/>
      <c r="AP620" s="37"/>
      <c r="AQ620" s="37"/>
      <c r="AR620" s="37"/>
    </row>
    <row r="621" spans="1:44" ht="14.25" customHeight="1" x14ac:dyDescent="0.3">
      <c r="A621" s="34"/>
      <c r="B621" s="16"/>
      <c r="C621" s="15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5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37"/>
      <c r="AO621" s="37"/>
      <c r="AP621" s="37"/>
      <c r="AQ621" s="37"/>
      <c r="AR621" s="37"/>
    </row>
    <row r="622" spans="1:44" ht="14.25" customHeight="1" x14ac:dyDescent="0.3">
      <c r="A622" s="34"/>
      <c r="B622" s="16"/>
      <c r="C622" s="15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5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37"/>
      <c r="AO622" s="37"/>
      <c r="AP622" s="37"/>
      <c r="AQ622" s="37"/>
      <c r="AR622" s="37"/>
    </row>
    <row r="623" spans="1:44" ht="14.25" customHeight="1" x14ac:dyDescent="0.3">
      <c r="A623" s="34"/>
      <c r="B623" s="16"/>
      <c r="C623" s="15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5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37"/>
      <c r="AO623" s="37"/>
      <c r="AP623" s="37"/>
      <c r="AQ623" s="37"/>
      <c r="AR623" s="37"/>
    </row>
    <row r="624" spans="1:44" ht="14.25" customHeight="1" x14ac:dyDescent="0.3">
      <c r="A624" s="34"/>
      <c r="B624" s="16"/>
      <c r="C624" s="15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5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37"/>
      <c r="AO624" s="37"/>
      <c r="AP624" s="37"/>
      <c r="AQ624" s="37"/>
      <c r="AR624" s="37"/>
    </row>
    <row r="625" spans="1:44" ht="14.25" customHeight="1" x14ac:dyDescent="0.3">
      <c r="A625" s="34"/>
      <c r="B625" s="16"/>
      <c r="C625" s="15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5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37"/>
      <c r="AO625" s="37"/>
      <c r="AP625" s="37"/>
      <c r="AQ625" s="37"/>
      <c r="AR625" s="37"/>
    </row>
    <row r="626" spans="1:44" ht="14.25" customHeight="1" x14ac:dyDescent="0.3">
      <c r="A626" s="34"/>
      <c r="B626" s="16"/>
      <c r="C626" s="15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5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37"/>
      <c r="AO626" s="37"/>
      <c r="AP626" s="37"/>
      <c r="AQ626" s="37"/>
      <c r="AR626" s="37"/>
    </row>
    <row r="627" spans="1:44" ht="14.25" customHeight="1" x14ac:dyDescent="0.3">
      <c r="A627" s="34"/>
      <c r="B627" s="16"/>
      <c r="C627" s="15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5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37"/>
      <c r="AO627" s="37"/>
      <c r="AP627" s="37"/>
      <c r="AQ627" s="37"/>
      <c r="AR627" s="37"/>
    </row>
    <row r="628" spans="1:44" ht="14.25" customHeight="1" x14ac:dyDescent="0.3">
      <c r="A628" s="34"/>
      <c r="B628" s="16"/>
      <c r="C628" s="15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5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37"/>
      <c r="AO628" s="37"/>
      <c r="AP628" s="37"/>
      <c r="AQ628" s="37"/>
      <c r="AR628" s="37"/>
    </row>
    <row r="629" spans="1:44" ht="14.25" customHeight="1" x14ac:dyDescent="0.3">
      <c r="A629" s="34"/>
      <c r="B629" s="16"/>
      <c r="C629" s="15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5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37"/>
      <c r="AO629" s="37"/>
      <c r="AP629" s="37"/>
      <c r="AQ629" s="37"/>
      <c r="AR629" s="37"/>
    </row>
    <row r="630" spans="1:44" ht="14.25" customHeight="1" x14ac:dyDescent="0.3">
      <c r="A630" s="34"/>
      <c r="B630" s="16"/>
      <c r="C630" s="15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5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37"/>
      <c r="AO630" s="37"/>
      <c r="AP630" s="37"/>
      <c r="AQ630" s="37"/>
      <c r="AR630" s="37"/>
    </row>
    <row r="631" spans="1:44" ht="14.25" customHeight="1" x14ac:dyDescent="0.3">
      <c r="A631" s="34"/>
      <c r="B631" s="16"/>
      <c r="C631" s="15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5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37"/>
      <c r="AO631" s="37"/>
      <c r="AP631" s="37"/>
      <c r="AQ631" s="37"/>
      <c r="AR631" s="37"/>
    </row>
    <row r="632" spans="1:44" ht="14.25" customHeight="1" x14ac:dyDescent="0.3">
      <c r="A632" s="34"/>
      <c r="B632" s="16"/>
      <c r="C632" s="15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5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37"/>
      <c r="AO632" s="37"/>
      <c r="AP632" s="37"/>
      <c r="AQ632" s="37"/>
      <c r="AR632" s="37"/>
    </row>
    <row r="633" spans="1:44" ht="14.25" customHeight="1" x14ac:dyDescent="0.3">
      <c r="A633" s="34"/>
      <c r="B633" s="16"/>
      <c r="C633" s="15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5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37"/>
      <c r="AO633" s="37"/>
      <c r="AP633" s="37"/>
      <c r="AQ633" s="37"/>
      <c r="AR633" s="37"/>
    </row>
    <row r="634" spans="1:44" ht="14.25" customHeight="1" x14ac:dyDescent="0.3">
      <c r="A634" s="34"/>
      <c r="B634" s="16"/>
      <c r="C634" s="15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5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37"/>
      <c r="AO634" s="37"/>
      <c r="AP634" s="37"/>
      <c r="AQ634" s="37"/>
      <c r="AR634" s="37"/>
    </row>
    <row r="635" spans="1:44" ht="14.25" customHeight="1" x14ac:dyDescent="0.3">
      <c r="A635" s="34"/>
      <c r="B635" s="16"/>
      <c r="C635" s="15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5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37"/>
      <c r="AO635" s="37"/>
      <c r="AP635" s="37"/>
      <c r="AQ635" s="37"/>
      <c r="AR635" s="37"/>
    </row>
    <row r="636" spans="1:44" ht="14.25" customHeight="1" x14ac:dyDescent="0.3">
      <c r="A636" s="34"/>
      <c r="B636" s="16"/>
      <c r="C636" s="15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5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37"/>
      <c r="AO636" s="37"/>
      <c r="AP636" s="37"/>
      <c r="AQ636" s="37"/>
      <c r="AR636" s="37"/>
    </row>
    <row r="637" spans="1:44" ht="14.25" customHeight="1" x14ac:dyDescent="0.3">
      <c r="A637" s="34"/>
      <c r="B637" s="16"/>
      <c r="C637" s="15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5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37"/>
      <c r="AO637" s="37"/>
      <c r="AP637" s="37"/>
      <c r="AQ637" s="37"/>
      <c r="AR637" s="37"/>
    </row>
    <row r="638" spans="1:44" ht="14.25" customHeight="1" x14ac:dyDescent="0.3">
      <c r="A638" s="34"/>
      <c r="B638" s="16"/>
      <c r="C638" s="15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5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37"/>
      <c r="AO638" s="37"/>
      <c r="AP638" s="37"/>
      <c r="AQ638" s="37"/>
      <c r="AR638" s="37"/>
    </row>
    <row r="639" spans="1:44" ht="14.25" customHeight="1" x14ac:dyDescent="0.3">
      <c r="A639" s="34"/>
      <c r="B639" s="16"/>
      <c r="C639" s="15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5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37"/>
      <c r="AO639" s="37"/>
      <c r="AP639" s="37"/>
      <c r="AQ639" s="37"/>
      <c r="AR639" s="37"/>
    </row>
    <row r="640" spans="1:44" ht="14.25" customHeight="1" x14ac:dyDescent="0.3">
      <c r="A640" s="34"/>
      <c r="B640" s="16"/>
      <c r="C640" s="15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5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37"/>
      <c r="AO640" s="37"/>
      <c r="AP640" s="37"/>
      <c r="AQ640" s="37"/>
      <c r="AR640" s="37"/>
    </row>
    <row r="641" spans="1:44" ht="14.25" customHeight="1" x14ac:dyDescent="0.3">
      <c r="A641" s="34"/>
      <c r="B641" s="16"/>
      <c r="C641" s="15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5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37"/>
      <c r="AO641" s="37"/>
      <c r="AP641" s="37"/>
      <c r="AQ641" s="37"/>
      <c r="AR641" s="37"/>
    </row>
    <row r="642" spans="1:44" ht="14.25" customHeight="1" x14ac:dyDescent="0.3">
      <c r="A642" s="34"/>
      <c r="B642" s="16"/>
      <c r="C642" s="15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5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37"/>
      <c r="AO642" s="37"/>
      <c r="AP642" s="37"/>
      <c r="AQ642" s="37"/>
      <c r="AR642" s="37"/>
    </row>
    <row r="643" spans="1:44" ht="14.25" customHeight="1" x14ac:dyDescent="0.3">
      <c r="A643" s="34"/>
      <c r="B643" s="16"/>
      <c r="C643" s="15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5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37"/>
      <c r="AO643" s="37"/>
      <c r="AP643" s="37"/>
      <c r="AQ643" s="37"/>
      <c r="AR643" s="37"/>
    </row>
    <row r="644" spans="1:44" ht="14.25" customHeight="1" x14ac:dyDescent="0.3">
      <c r="A644" s="34"/>
      <c r="B644" s="16"/>
      <c r="C644" s="15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5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37"/>
      <c r="AO644" s="37"/>
      <c r="AP644" s="37"/>
      <c r="AQ644" s="37"/>
      <c r="AR644" s="37"/>
    </row>
    <row r="645" spans="1:44" ht="14.25" customHeight="1" x14ac:dyDescent="0.3">
      <c r="A645" s="34"/>
      <c r="B645" s="16"/>
      <c r="C645" s="15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5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37"/>
      <c r="AO645" s="37"/>
      <c r="AP645" s="37"/>
      <c r="AQ645" s="37"/>
      <c r="AR645" s="37"/>
    </row>
    <row r="646" spans="1:44" ht="14.25" customHeight="1" x14ac:dyDescent="0.3">
      <c r="A646" s="34"/>
      <c r="B646" s="16"/>
      <c r="C646" s="15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5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37"/>
      <c r="AO646" s="37"/>
      <c r="AP646" s="37"/>
      <c r="AQ646" s="37"/>
      <c r="AR646" s="37"/>
    </row>
    <row r="647" spans="1:44" ht="14.25" customHeight="1" x14ac:dyDescent="0.3">
      <c r="A647" s="34"/>
      <c r="B647" s="16"/>
      <c r="C647" s="15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5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37"/>
      <c r="AO647" s="37"/>
      <c r="AP647" s="37"/>
      <c r="AQ647" s="37"/>
      <c r="AR647" s="37"/>
    </row>
    <row r="648" spans="1:44" ht="14.25" customHeight="1" x14ac:dyDescent="0.3">
      <c r="A648" s="34"/>
      <c r="B648" s="16"/>
      <c r="C648" s="15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5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37"/>
      <c r="AO648" s="37"/>
      <c r="AP648" s="37"/>
      <c r="AQ648" s="37"/>
      <c r="AR648" s="37"/>
    </row>
    <row r="649" spans="1:44" ht="14.25" customHeight="1" x14ac:dyDescent="0.3">
      <c r="A649" s="34"/>
      <c r="B649" s="16"/>
      <c r="C649" s="15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5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37"/>
      <c r="AO649" s="37"/>
      <c r="AP649" s="37"/>
      <c r="AQ649" s="37"/>
      <c r="AR649" s="37"/>
    </row>
    <row r="650" spans="1:44" ht="14.25" customHeight="1" x14ac:dyDescent="0.3">
      <c r="A650" s="34"/>
      <c r="B650" s="16"/>
      <c r="C650" s="15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5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37"/>
      <c r="AO650" s="37"/>
      <c r="AP650" s="37"/>
      <c r="AQ650" s="37"/>
      <c r="AR650" s="37"/>
    </row>
    <row r="651" spans="1:44" ht="14.25" customHeight="1" x14ac:dyDescent="0.3">
      <c r="A651" s="34"/>
      <c r="B651" s="16"/>
      <c r="C651" s="15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5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37"/>
      <c r="AO651" s="37"/>
      <c r="AP651" s="37"/>
      <c r="AQ651" s="37"/>
      <c r="AR651" s="37"/>
    </row>
    <row r="652" spans="1:44" ht="14.25" customHeight="1" x14ac:dyDescent="0.3">
      <c r="A652" s="34"/>
      <c r="B652" s="16"/>
      <c r="C652" s="15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5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37"/>
      <c r="AO652" s="37"/>
      <c r="AP652" s="37"/>
      <c r="AQ652" s="37"/>
      <c r="AR652" s="37"/>
    </row>
    <row r="653" spans="1:44" ht="14.25" customHeight="1" x14ac:dyDescent="0.3">
      <c r="A653" s="34"/>
      <c r="B653" s="16"/>
      <c r="C653" s="15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5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37"/>
      <c r="AO653" s="37"/>
      <c r="AP653" s="37"/>
      <c r="AQ653" s="37"/>
      <c r="AR653" s="37"/>
    </row>
    <row r="654" spans="1:44" ht="14.25" customHeight="1" x14ac:dyDescent="0.3">
      <c r="A654" s="34"/>
      <c r="B654" s="16"/>
      <c r="C654" s="15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5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37"/>
      <c r="AO654" s="37"/>
      <c r="AP654" s="37"/>
      <c r="AQ654" s="37"/>
      <c r="AR654" s="37"/>
    </row>
    <row r="655" spans="1:44" ht="14.25" customHeight="1" x14ac:dyDescent="0.3">
      <c r="A655" s="34"/>
      <c r="B655" s="16"/>
      <c r="C655" s="15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5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37"/>
      <c r="AO655" s="37"/>
      <c r="AP655" s="37"/>
      <c r="AQ655" s="37"/>
      <c r="AR655" s="37"/>
    </row>
    <row r="656" spans="1:44" ht="14.25" customHeight="1" x14ac:dyDescent="0.3">
      <c r="A656" s="34"/>
      <c r="B656" s="16"/>
      <c r="C656" s="15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5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37"/>
      <c r="AO656" s="37"/>
      <c r="AP656" s="37"/>
      <c r="AQ656" s="37"/>
      <c r="AR656" s="37"/>
    </row>
    <row r="657" spans="1:44" ht="14.25" customHeight="1" x14ac:dyDescent="0.3">
      <c r="A657" s="34"/>
      <c r="B657" s="16"/>
      <c r="C657" s="15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5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37"/>
      <c r="AO657" s="37"/>
      <c r="AP657" s="37"/>
      <c r="AQ657" s="37"/>
      <c r="AR657" s="37"/>
    </row>
    <row r="658" spans="1:44" ht="14.25" customHeight="1" x14ac:dyDescent="0.3">
      <c r="A658" s="34"/>
      <c r="B658" s="16"/>
      <c r="C658" s="15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5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37"/>
      <c r="AO658" s="37"/>
      <c r="AP658" s="37"/>
      <c r="AQ658" s="37"/>
      <c r="AR658" s="37"/>
    </row>
    <row r="659" spans="1:44" ht="14.25" customHeight="1" x14ac:dyDescent="0.3">
      <c r="A659" s="34"/>
      <c r="B659" s="16"/>
      <c r="C659" s="15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5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37"/>
      <c r="AO659" s="37"/>
      <c r="AP659" s="37"/>
      <c r="AQ659" s="37"/>
      <c r="AR659" s="37"/>
    </row>
    <row r="660" spans="1:44" ht="14.25" customHeight="1" x14ac:dyDescent="0.3">
      <c r="A660" s="34"/>
      <c r="B660" s="16"/>
      <c r="C660" s="15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5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37"/>
      <c r="AO660" s="37"/>
      <c r="AP660" s="37"/>
      <c r="AQ660" s="37"/>
      <c r="AR660" s="37"/>
    </row>
    <row r="661" spans="1:44" ht="14.25" customHeight="1" x14ac:dyDescent="0.3">
      <c r="A661" s="34"/>
      <c r="B661" s="16"/>
      <c r="C661" s="15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5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37"/>
      <c r="AO661" s="37"/>
      <c r="AP661" s="37"/>
      <c r="AQ661" s="37"/>
      <c r="AR661" s="37"/>
    </row>
    <row r="662" spans="1:44" ht="14.25" customHeight="1" x14ac:dyDescent="0.3">
      <c r="A662" s="34"/>
      <c r="B662" s="16"/>
      <c r="C662" s="15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5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37"/>
      <c r="AO662" s="37"/>
      <c r="AP662" s="37"/>
      <c r="AQ662" s="37"/>
      <c r="AR662" s="37"/>
    </row>
    <row r="663" spans="1:44" ht="14.25" customHeight="1" x14ac:dyDescent="0.3">
      <c r="A663" s="34"/>
      <c r="B663" s="16"/>
      <c r="C663" s="15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5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37"/>
      <c r="AO663" s="37"/>
      <c r="AP663" s="37"/>
      <c r="AQ663" s="37"/>
      <c r="AR663" s="37"/>
    </row>
    <row r="664" spans="1:44" ht="14.25" customHeight="1" x14ac:dyDescent="0.3">
      <c r="A664" s="34"/>
      <c r="B664" s="16"/>
      <c r="C664" s="15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5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37"/>
      <c r="AO664" s="37"/>
      <c r="AP664" s="37"/>
      <c r="AQ664" s="37"/>
      <c r="AR664" s="37"/>
    </row>
    <row r="665" spans="1:44" ht="14.25" customHeight="1" x14ac:dyDescent="0.3">
      <c r="A665" s="34"/>
      <c r="B665" s="16"/>
      <c r="C665" s="15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5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37"/>
      <c r="AO665" s="37"/>
      <c r="AP665" s="37"/>
      <c r="AQ665" s="37"/>
      <c r="AR665" s="37"/>
    </row>
    <row r="666" spans="1:44" ht="14.25" customHeight="1" x14ac:dyDescent="0.3">
      <c r="A666" s="34"/>
      <c r="B666" s="16"/>
      <c r="C666" s="15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5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37"/>
      <c r="AO666" s="37"/>
      <c r="AP666" s="37"/>
      <c r="AQ666" s="37"/>
      <c r="AR666" s="37"/>
    </row>
    <row r="667" spans="1:44" ht="14.25" customHeight="1" x14ac:dyDescent="0.3">
      <c r="A667" s="34"/>
      <c r="B667" s="16"/>
      <c r="C667" s="15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5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37"/>
      <c r="AO667" s="37"/>
      <c r="AP667" s="37"/>
      <c r="AQ667" s="37"/>
      <c r="AR667" s="37"/>
    </row>
    <row r="668" spans="1:44" ht="14.25" customHeight="1" x14ac:dyDescent="0.3">
      <c r="A668" s="34"/>
      <c r="B668" s="16"/>
      <c r="C668" s="15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5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37"/>
      <c r="AO668" s="37"/>
      <c r="AP668" s="37"/>
      <c r="AQ668" s="37"/>
      <c r="AR668" s="37"/>
    </row>
    <row r="669" spans="1:44" ht="14.25" customHeight="1" x14ac:dyDescent="0.3">
      <c r="A669" s="34"/>
      <c r="B669" s="16"/>
      <c r="C669" s="15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5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37"/>
      <c r="AO669" s="37"/>
      <c r="AP669" s="37"/>
      <c r="AQ669" s="37"/>
      <c r="AR669" s="37"/>
    </row>
    <row r="670" spans="1:44" ht="14.25" customHeight="1" x14ac:dyDescent="0.3">
      <c r="A670" s="34"/>
      <c r="B670" s="16"/>
      <c r="C670" s="15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5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37"/>
      <c r="AO670" s="37"/>
      <c r="AP670" s="37"/>
      <c r="AQ670" s="37"/>
      <c r="AR670" s="37"/>
    </row>
    <row r="671" spans="1:44" ht="14.25" customHeight="1" x14ac:dyDescent="0.3">
      <c r="A671" s="34"/>
      <c r="B671" s="16"/>
      <c r="C671" s="15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5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37"/>
      <c r="AO671" s="37"/>
      <c r="AP671" s="37"/>
      <c r="AQ671" s="37"/>
      <c r="AR671" s="37"/>
    </row>
    <row r="672" spans="1:44" ht="14.25" customHeight="1" x14ac:dyDescent="0.3">
      <c r="A672" s="34"/>
      <c r="B672" s="16"/>
      <c r="C672" s="15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5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37"/>
      <c r="AO672" s="37"/>
      <c r="AP672" s="37"/>
      <c r="AQ672" s="37"/>
      <c r="AR672" s="37"/>
    </row>
    <row r="673" spans="1:44" ht="14.25" customHeight="1" x14ac:dyDescent="0.3">
      <c r="A673" s="34"/>
      <c r="B673" s="16"/>
      <c r="C673" s="15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5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37"/>
      <c r="AO673" s="37"/>
      <c r="AP673" s="37"/>
      <c r="AQ673" s="37"/>
      <c r="AR673" s="37"/>
    </row>
    <row r="674" spans="1:44" ht="14.25" customHeight="1" x14ac:dyDescent="0.3">
      <c r="A674" s="34"/>
      <c r="B674" s="16"/>
      <c r="C674" s="15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5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37"/>
      <c r="AO674" s="37"/>
      <c r="AP674" s="37"/>
      <c r="AQ674" s="37"/>
      <c r="AR674" s="37"/>
    </row>
    <row r="675" spans="1:44" ht="14.25" customHeight="1" x14ac:dyDescent="0.3">
      <c r="A675" s="34"/>
      <c r="B675" s="16"/>
      <c r="C675" s="15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5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37"/>
      <c r="AO675" s="37"/>
      <c r="AP675" s="37"/>
      <c r="AQ675" s="37"/>
      <c r="AR675" s="37"/>
    </row>
    <row r="676" spans="1:44" ht="14.25" customHeight="1" x14ac:dyDescent="0.3">
      <c r="A676" s="34"/>
      <c r="B676" s="16"/>
      <c r="C676" s="15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5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37"/>
      <c r="AO676" s="37"/>
      <c r="AP676" s="37"/>
      <c r="AQ676" s="37"/>
      <c r="AR676" s="37"/>
    </row>
    <row r="677" spans="1:44" ht="14.25" customHeight="1" x14ac:dyDescent="0.3">
      <c r="A677" s="34"/>
      <c r="B677" s="16"/>
      <c r="C677" s="15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5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37"/>
      <c r="AO677" s="37"/>
      <c r="AP677" s="37"/>
      <c r="AQ677" s="37"/>
      <c r="AR677" s="37"/>
    </row>
    <row r="678" spans="1:44" ht="14.25" customHeight="1" x14ac:dyDescent="0.3">
      <c r="A678" s="34"/>
      <c r="B678" s="16"/>
      <c r="C678" s="15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5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37"/>
      <c r="AO678" s="37"/>
      <c r="AP678" s="37"/>
      <c r="AQ678" s="37"/>
      <c r="AR678" s="37"/>
    </row>
    <row r="679" spans="1:44" ht="14.25" customHeight="1" x14ac:dyDescent="0.3">
      <c r="A679" s="34"/>
      <c r="B679" s="16"/>
      <c r="C679" s="15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5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37"/>
      <c r="AO679" s="37"/>
      <c r="AP679" s="37"/>
      <c r="AQ679" s="37"/>
      <c r="AR679" s="37"/>
    </row>
    <row r="680" spans="1:44" ht="14.25" customHeight="1" x14ac:dyDescent="0.3">
      <c r="A680" s="34"/>
      <c r="B680" s="16"/>
      <c r="C680" s="15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5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37"/>
      <c r="AO680" s="37"/>
      <c r="AP680" s="37"/>
      <c r="AQ680" s="37"/>
      <c r="AR680" s="37"/>
    </row>
    <row r="681" spans="1:44" ht="14.25" customHeight="1" x14ac:dyDescent="0.3">
      <c r="A681" s="34"/>
      <c r="B681" s="16"/>
      <c r="C681" s="15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5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37"/>
      <c r="AO681" s="37"/>
      <c r="AP681" s="37"/>
      <c r="AQ681" s="37"/>
      <c r="AR681" s="37"/>
    </row>
    <row r="682" spans="1:44" ht="14.25" customHeight="1" x14ac:dyDescent="0.3">
      <c r="A682" s="34"/>
      <c r="B682" s="16"/>
      <c r="C682" s="15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5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37"/>
      <c r="AO682" s="37"/>
      <c r="AP682" s="37"/>
      <c r="AQ682" s="37"/>
      <c r="AR682" s="37"/>
    </row>
    <row r="683" spans="1:44" ht="14.25" customHeight="1" x14ac:dyDescent="0.3">
      <c r="A683" s="34"/>
      <c r="B683" s="16"/>
      <c r="C683" s="15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5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37"/>
      <c r="AO683" s="37"/>
      <c r="AP683" s="37"/>
      <c r="AQ683" s="37"/>
      <c r="AR683" s="37"/>
    </row>
    <row r="684" spans="1:44" ht="14.25" customHeight="1" x14ac:dyDescent="0.3">
      <c r="A684" s="34"/>
      <c r="B684" s="16"/>
      <c r="C684" s="15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5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37"/>
      <c r="AO684" s="37"/>
      <c r="AP684" s="37"/>
      <c r="AQ684" s="37"/>
      <c r="AR684" s="37"/>
    </row>
    <row r="685" spans="1:44" ht="14.25" customHeight="1" x14ac:dyDescent="0.3">
      <c r="A685" s="34"/>
      <c r="B685" s="16"/>
      <c r="C685" s="15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5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37"/>
      <c r="AO685" s="37"/>
      <c r="AP685" s="37"/>
      <c r="AQ685" s="37"/>
      <c r="AR685" s="37"/>
    </row>
    <row r="686" spans="1:44" ht="14.25" customHeight="1" x14ac:dyDescent="0.3">
      <c r="A686" s="34"/>
      <c r="B686" s="16"/>
      <c r="C686" s="15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5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37"/>
      <c r="AO686" s="37"/>
      <c r="AP686" s="37"/>
      <c r="AQ686" s="37"/>
      <c r="AR686" s="37"/>
    </row>
    <row r="687" spans="1:44" ht="14.25" customHeight="1" x14ac:dyDescent="0.3">
      <c r="A687" s="34"/>
      <c r="B687" s="16"/>
      <c r="C687" s="15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5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37"/>
      <c r="AO687" s="37"/>
      <c r="AP687" s="37"/>
      <c r="AQ687" s="37"/>
      <c r="AR687" s="37"/>
    </row>
    <row r="688" spans="1:44" ht="14.25" customHeight="1" x14ac:dyDescent="0.3">
      <c r="A688" s="34"/>
      <c r="B688" s="16"/>
      <c r="C688" s="15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5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37"/>
      <c r="AO688" s="37"/>
      <c r="AP688" s="37"/>
      <c r="AQ688" s="37"/>
      <c r="AR688" s="37"/>
    </row>
    <row r="689" spans="1:44" ht="14.25" customHeight="1" x14ac:dyDescent="0.3">
      <c r="A689" s="34"/>
      <c r="B689" s="16"/>
      <c r="C689" s="15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5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37"/>
      <c r="AO689" s="37"/>
      <c r="AP689" s="37"/>
      <c r="AQ689" s="37"/>
      <c r="AR689" s="37"/>
    </row>
    <row r="690" spans="1:44" ht="14.25" customHeight="1" x14ac:dyDescent="0.3">
      <c r="A690" s="34"/>
      <c r="B690" s="16"/>
      <c r="C690" s="15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5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37"/>
      <c r="AO690" s="37"/>
      <c r="AP690" s="37"/>
      <c r="AQ690" s="37"/>
      <c r="AR690" s="37"/>
    </row>
    <row r="691" spans="1:44" ht="14.25" customHeight="1" x14ac:dyDescent="0.3">
      <c r="A691" s="34"/>
      <c r="B691" s="16"/>
      <c r="C691" s="15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5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37"/>
      <c r="AO691" s="37"/>
      <c r="AP691" s="37"/>
      <c r="AQ691" s="37"/>
      <c r="AR691" s="37"/>
    </row>
    <row r="692" spans="1:44" ht="14.25" customHeight="1" x14ac:dyDescent="0.3">
      <c r="A692" s="34"/>
      <c r="B692" s="16"/>
      <c r="C692" s="15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5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37"/>
      <c r="AO692" s="37"/>
      <c r="AP692" s="37"/>
      <c r="AQ692" s="37"/>
      <c r="AR692" s="37"/>
    </row>
    <row r="693" spans="1:44" ht="14.25" customHeight="1" x14ac:dyDescent="0.3">
      <c r="A693" s="34"/>
      <c r="B693" s="16"/>
      <c r="C693" s="15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5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37"/>
      <c r="AO693" s="37"/>
      <c r="AP693" s="37"/>
      <c r="AQ693" s="37"/>
      <c r="AR693" s="37"/>
    </row>
    <row r="694" spans="1:44" ht="14.25" customHeight="1" x14ac:dyDescent="0.3">
      <c r="A694" s="34"/>
      <c r="B694" s="16"/>
      <c r="C694" s="15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5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37"/>
      <c r="AO694" s="37"/>
      <c r="AP694" s="37"/>
      <c r="AQ694" s="37"/>
      <c r="AR694" s="37"/>
    </row>
    <row r="695" spans="1:44" ht="14.25" customHeight="1" x14ac:dyDescent="0.3">
      <c r="A695" s="34"/>
      <c r="B695" s="16"/>
      <c r="C695" s="15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5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37"/>
      <c r="AO695" s="37"/>
      <c r="AP695" s="37"/>
      <c r="AQ695" s="37"/>
      <c r="AR695" s="37"/>
    </row>
    <row r="696" spans="1:44" ht="14.25" customHeight="1" x14ac:dyDescent="0.3">
      <c r="A696" s="34"/>
      <c r="B696" s="16"/>
      <c r="C696" s="15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5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37"/>
      <c r="AO696" s="37"/>
      <c r="AP696" s="37"/>
      <c r="AQ696" s="37"/>
      <c r="AR696" s="37"/>
    </row>
    <row r="697" spans="1:44" ht="14.25" customHeight="1" x14ac:dyDescent="0.3">
      <c r="A697" s="34"/>
      <c r="B697" s="16"/>
      <c r="C697" s="15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5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37"/>
      <c r="AO697" s="37"/>
      <c r="AP697" s="37"/>
      <c r="AQ697" s="37"/>
      <c r="AR697" s="37"/>
    </row>
    <row r="698" spans="1:44" ht="14.25" customHeight="1" x14ac:dyDescent="0.3">
      <c r="A698" s="34"/>
      <c r="B698" s="16"/>
      <c r="C698" s="15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5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37"/>
      <c r="AO698" s="37"/>
      <c r="AP698" s="37"/>
      <c r="AQ698" s="37"/>
      <c r="AR698" s="37"/>
    </row>
    <row r="699" spans="1:44" ht="14.25" customHeight="1" x14ac:dyDescent="0.3">
      <c r="A699" s="34"/>
      <c r="B699" s="16"/>
      <c r="C699" s="15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5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37"/>
      <c r="AO699" s="37"/>
      <c r="AP699" s="37"/>
      <c r="AQ699" s="37"/>
      <c r="AR699" s="37"/>
    </row>
    <row r="700" spans="1:44" ht="14.25" customHeight="1" x14ac:dyDescent="0.3">
      <c r="A700" s="34"/>
      <c r="B700" s="16"/>
      <c r="C700" s="15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5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37"/>
      <c r="AO700" s="37"/>
      <c r="AP700" s="37"/>
      <c r="AQ700" s="37"/>
      <c r="AR700" s="37"/>
    </row>
    <row r="701" spans="1:44" ht="14.25" customHeight="1" x14ac:dyDescent="0.3">
      <c r="A701" s="34"/>
      <c r="B701" s="16"/>
      <c r="C701" s="15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5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37"/>
      <c r="AO701" s="37"/>
      <c r="AP701" s="37"/>
      <c r="AQ701" s="37"/>
      <c r="AR701" s="37"/>
    </row>
    <row r="702" spans="1:44" ht="14.25" customHeight="1" x14ac:dyDescent="0.3">
      <c r="A702" s="34"/>
      <c r="B702" s="16"/>
      <c r="C702" s="15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5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37"/>
      <c r="AO702" s="37"/>
      <c r="AP702" s="37"/>
      <c r="AQ702" s="37"/>
      <c r="AR702" s="37"/>
    </row>
    <row r="703" spans="1:44" ht="14.25" customHeight="1" x14ac:dyDescent="0.3">
      <c r="A703" s="34"/>
      <c r="B703" s="16"/>
      <c r="C703" s="15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5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37"/>
      <c r="AO703" s="37"/>
      <c r="AP703" s="37"/>
      <c r="AQ703" s="37"/>
      <c r="AR703" s="37"/>
    </row>
    <row r="704" spans="1:44" ht="14.25" customHeight="1" x14ac:dyDescent="0.3">
      <c r="A704" s="34"/>
      <c r="B704" s="16"/>
      <c r="C704" s="15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5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37"/>
      <c r="AO704" s="37"/>
      <c r="AP704" s="37"/>
      <c r="AQ704" s="37"/>
      <c r="AR704" s="37"/>
    </row>
    <row r="705" spans="1:44" ht="14.25" customHeight="1" x14ac:dyDescent="0.3">
      <c r="A705" s="34"/>
      <c r="B705" s="16"/>
      <c r="C705" s="15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5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37"/>
      <c r="AO705" s="37"/>
      <c r="AP705" s="37"/>
      <c r="AQ705" s="37"/>
      <c r="AR705" s="37"/>
    </row>
    <row r="706" spans="1:44" ht="14.25" customHeight="1" x14ac:dyDescent="0.3">
      <c r="A706" s="34"/>
      <c r="B706" s="16"/>
      <c r="C706" s="15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5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37"/>
      <c r="AO706" s="37"/>
      <c r="AP706" s="37"/>
      <c r="AQ706" s="37"/>
      <c r="AR706" s="37"/>
    </row>
    <row r="707" spans="1:44" ht="14.25" customHeight="1" x14ac:dyDescent="0.3">
      <c r="A707" s="34"/>
      <c r="B707" s="16"/>
      <c r="C707" s="15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5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37"/>
      <c r="AO707" s="37"/>
      <c r="AP707" s="37"/>
      <c r="AQ707" s="37"/>
      <c r="AR707" s="37"/>
    </row>
    <row r="708" spans="1:44" ht="14.25" customHeight="1" x14ac:dyDescent="0.3">
      <c r="A708" s="34"/>
      <c r="B708" s="16"/>
      <c r="C708" s="15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5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37"/>
      <c r="AO708" s="37"/>
      <c r="AP708" s="37"/>
      <c r="AQ708" s="37"/>
      <c r="AR708" s="37"/>
    </row>
    <row r="709" spans="1:44" ht="14.25" customHeight="1" x14ac:dyDescent="0.3">
      <c r="A709" s="34"/>
      <c r="B709" s="16"/>
      <c r="C709" s="15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5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37"/>
      <c r="AO709" s="37"/>
      <c r="AP709" s="37"/>
      <c r="AQ709" s="37"/>
      <c r="AR709" s="37"/>
    </row>
    <row r="710" spans="1:44" ht="14.25" customHeight="1" x14ac:dyDescent="0.3">
      <c r="A710" s="34"/>
      <c r="B710" s="16"/>
      <c r="C710" s="15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5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37"/>
      <c r="AO710" s="37"/>
      <c r="AP710" s="37"/>
      <c r="AQ710" s="37"/>
      <c r="AR710" s="37"/>
    </row>
    <row r="711" spans="1:44" ht="14.25" customHeight="1" x14ac:dyDescent="0.3">
      <c r="A711" s="34"/>
      <c r="B711" s="16"/>
      <c r="C711" s="15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5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37"/>
      <c r="AO711" s="37"/>
      <c r="AP711" s="37"/>
      <c r="AQ711" s="37"/>
      <c r="AR711" s="37"/>
    </row>
    <row r="712" spans="1:44" ht="14.25" customHeight="1" x14ac:dyDescent="0.3">
      <c r="A712" s="34"/>
      <c r="B712" s="16"/>
      <c r="C712" s="15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5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37"/>
      <c r="AO712" s="37"/>
      <c r="AP712" s="37"/>
      <c r="AQ712" s="37"/>
      <c r="AR712" s="37"/>
    </row>
    <row r="713" spans="1:44" ht="14.25" customHeight="1" x14ac:dyDescent="0.3">
      <c r="A713" s="34"/>
      <c r="B713" s="16"/>
      <c r="C713" s="15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5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37"/>
      <c r="AO713" s="37"/>
      <c r="AP713" s="37"/>
      <c r="AQ713" s="37"/>
      <c r="AR713" s="37"/>
    </row>
    <row r="714" spans="1:44" ht="14.25" customHeight="1" x14ac:dyDescent="0.3">
      <c r="A714" s="34"/>
      <c r="B714" s="16"/>
      <c r="C714" s="15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5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37"/>
      <c r="AO714" s="37"/>
      <c r="AP714" s="37"/>
      <c r="AQ714" s="37"/>
      <c r="AR714" s="37"/>
    </row>
    <row r="715" spans="1:44" ht="14.25" customHeight="1" x14ac:dyDescent="0.3">
      <c r="A715" s="34"/>
      <c r="B715" s="16"/>
      <c r="C715" s="15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5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37"/>
      <c r="AO715" s="37"/>
      <c r="AP715" s="37"/>
      <c r="AQ715" s="37"/>
      <c r="AR715" s="37"/>
    </row>
    <row r="716" spans="1:44" ht="14.25" customHeight="1" x14ac:dyDescent="0.3">
      <c r="A716" s="34"/>
      <c r="B716" s="16"/>
      <c r="C716" s="15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5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37"/>
      <c r="AO716" s="37"/>
      <c r="AP716" s="37"/>
      <c r="AQ716" s="37"/>
      <c r="AR716" s="37"/>
    </row>
    <row r="717" spans="1:44" ht="14.25" customHeight="1" x14ac:dyDescent="0.3">
      <c r="A717" s="34"/>
      <c r="B717" s="16"/>
      <c r="C717" s="15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5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37"/>
      <c r="AO717" s="37"/>
      <c r="AP717" s="37"/>
      <c r="AQ717" s="37"/>
      <c r="AR717" s="37"/>
    </row>
    <row r="718" spans="1:44" ht="14.25" customHeight="1" x14ac:dyDescent="0.3">
      <c r="A718" s="34"/>
      <c r="B718" s="16"/>
      <c r="C718" s="15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5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37"/>
      <c r="AO718" s="37"/>
      <c r="AP718" s="37"/>
      <c r="AQ718" s="37"/>
      <c r="AR718" s="37"/>
    </row>
    <row r="719" spans="1:44" ht="14.25" customHeight="1" x14ac:dyDescent="0.3">
      <c r="A719" s="34"/>
      <c r="B719" s="16"/>
      <c r="C719" s="15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5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37"/>
      <c r="AO719" s="37"/>
      <c r="AP719" s="37"/>
      <c r="AQ719" s="37"/>
      <c r="AR719" s="37"/>
    </row>
    <row r="720" spans="1:44" ht="14.25" customHeight="1" x14ac:dyDescent="0.3">
      <c r="A720" s="34"/>
      <c r="B720" s="16"/>
      <c r="C720" s="15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5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37"/>
      <c r="AO720" s="37"/>
      <c r="AP720" s="37"/>
      <c r="AQ720" s="37"/>
      <c r="AR720" s="37"/>
    </row>
    <row r="721" spans="1:44" ht="14.25" customHeight="1" x14ac:dyDescent="0.3">
      <c r="A721" s="34"/>
      <c r="B721" s="16"/>
      <c r="C721" s="15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5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37"/>
      <c r="AO721" s="37"/>
      <c r="AP721" s="37"/>
      <c r="AQ721" s="37"/>
      <c r="AR721" s="37"/>
    </row>
    <row r="722" spans="1:44" ht="14.25" customHeight="1" x14ac:dyDescent="0.3">
      <c r="A722" s="34"/>
      <c r="B722" s="16"/>
      <c r="C722" s="15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5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37"/>
      <c r="AO722" s="37"/>
      <c r="AP722" s="37"/>
      <c r="AQ722" s="37"/>
      <c r="AR722" s="37"/>
    </row>
    <row r="723" spans="1:44" ht="14.25" customHeight="1" x14ac:dyDescent="0.3">
      <c r="A723" s="34"/>
      <c r="B723" s="16"/>
      <c r="C723" s="15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5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37"/>
      <c r="AO723" s="37"/>
      <c r="AP723" s="37"/>
      <c r="AQ723" s="37"/>
      <c r="AR723" s="37"/>
    </row>
    <row r="724" spans="1:44" ht="14.25" customHeight="1" x14ac:dyDescent="0.3">
      <c r="A724" s="34"/>
      <c r="B724" s="16"/>
      <c r="C724" s="15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5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37"/>
      <c r="AO724" s="37"/>
      <c r="AP724" s="37"/>
      <c r="AQ724" s="37"/>
      <c r="AR724" s="37"/>
    </row>
    <row r="725" spans="1:44" ht="14.25" customHeight="1" x14ac:dyDescent="0.3">
      <c r="A725" s="34"/>
      <c r="B725" s="16"/>
      <c r="C725" s="15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5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37"/>
      <c r="AO725" s="37"/>
      <c r="AP725" s="37"/>
      <c r="AQ725" s="37"/>
      <c r="AR725" s="37"/>
    </row>
    <row r="726" spans="1:44" ht="14.25" customHeight="1" x14ac:dyDescent="0.3">
      <c r="A726" s="34"/>
      <c r="B726" s="16"/>
      <c r="C726" s="15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5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37"/>
      <c r="AO726" s="37"/>
      <c r="AP726" s="37"/>
      <c r="AQ726" s="37"/>
      <c r="AR726" s="37"/>
    </row>
    <row r="727" spans="1:44" ht="14.25" customHeight="1" x14ac:dyDescent="0.3">
      <c r="A727" s="34"/>
      <c r="B727" s="16"/>
      <c r="C727" s="15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5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37"/>
      <c r="AO727" s="37"/>
      <c r="AP727" s="37"/>
      <c r="AQ727" s="37"/>
      <c r="AR727" s="37"/>
    </row>
    <row r="728" spans="1:44" ht="14.25" customHeight="1" x14ac:dyDescent="0.3">
      <c r="A728" s="34"/>
      <c r="B728" s="16"/>
      <c r="C728" s="15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5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37"/>
      <c r="AO728" s="37"/>
      <c r="AP728" s="37"/>
      <c r="AQ728" s="37"/>
      <c r="AR728" s="37"/>
    </row>
    <row r="729" spans="1:44" ht="14.25" customHeight="1" x14ac:dyDescent="0.3">
      <c r="A729" s="34"/>
      <c r="B729" s="16"/>
      <c r="C729" s="15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5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37"/>
      <c r="AO729" s="37"/>
      <c r="AP729" s="37"/>
      <c r="AQ729" s="37"/>
      <c r="AR729" s="37"/>
    </row>
    <row r="730" spans="1:44" ht="14.25" customHeight="1" x14ac:dyDescent="0.3">
      <c r="A730" s="34"/>
      <c r="B730" s="16"/>
      <c r="C730" s="15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5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37"/>
      <c r="AO730" s="37"/>
      <c r="AP730" s="37"/>
      <c r="AQ730" s="37"/>
      <c r="AR730" s="37"/>
    </row>
    <row r="731" spans="1:44" ht="14.25" customHeight="1" x14ac:dyDescent="0.3">
      <c r="A731" s="34"/>
      <c r="B731" s="16"/>
      <c r="C731" s="15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5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37"/>
      <c r="AO731" s="37"/>
      <c r="AP731" s="37"/>
      <c r="AQ731" s="37"/>
      <c r="AR731" s="37"/>
    </row>
    <row r="732" spans="1:44" ht="14.25" customHeight="1" x14ac:dyDescent="0.3">
      <c r="A732" s="34"/>
      <c r="B732" s="16"/>
      <c r="C732" s="15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5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37"/>
      <c r="AO732" s="37"/>
      <c r="AP732" s="37"/>
      <c r="AQ732" s="37"/>
      <c r="AR732" s="37"/>
    </row>
    <row r="733" spans="1:44" ht="14.25" customHeight="1" x14ac:dyDescent="0.3">
      <c r="A733" s="34"/>
      <c r="B733" s="16"/>
      <c r="C733" s="15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5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37"/>
      <c r="AO733" s="37"/>
      <c r="AP733" s="37"/>
      <c r="AQ733" s="37"/>
      <c r="AR733" s="37"/>
    </row>
    <row r="734" spans="1:44" ht="14.25" customHeight="1" x14ac:dyDescent="0.3">
      <c r="A734" s="34"/>
      <c r="B734" s="16"/>
      <c r="C734" s="15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5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37"/>
      <c r="AO734" s="37"/>
      <c r="AP734" s="37"/>
      <c r="AQ734" s="37"/>
      <c r="AR734" s="37"/>
    </row>
    <row r="735" spans="1:44" ht="14.25" customHeight="1" x14ac:dyDescent="0.3">
      <c r="A735" s="34"/>
      <c r="B735" s="16"/>
      <c r="C735" s="15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5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37"/>
      <c r="AO735" s="37"/>
      <c r="AP735" s="37"/>
      <c r="AQ735" s="37"/>
      <c r="AR735" s="37"/>
    </row>
    <row r="736" spans="1:44" ht="14.25" customHeight="1" x14ac:dyDescent="0.3">
      <c r="A736" s="34"/>
      <c r="B736" s="16"/>
      <c r="C736" s="15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5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37"/>
      <c r="AO736" s="37"/>
      <c r="AP736" s="37"/>
      <c r="AQ736" s="37"/>
      <c r="AR736" s="37"/>
    </row>
    <row r="737" spans="1:44" ht="14.25" customHeight="1" x14ac:dyDescent="0.3">
      <c r="A737" s="34"/>
      <c r="B737" s="16"/>
      <c r="C737" s="15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5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37"/>
      <c r="AO737" s="37"/>
      <c r="AP737" s="37"/>
      <c r="AQ737" s="37"/>
      <c r="AR737" s="37"/>
    </row>
    <row r="738" spans="1:44" ht="14.25" customHeight="1" x14ac:dyDescent="0.3">
      <c r="A738" s="34"/>
      <c r="B738" s="16"/>
      <c r="C738" s="15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5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37"/>
      <c r="AO738" s="37"/>
      <c r="AP738" s="37"/>
      <c r="AQ738" s="37"/>
      <c r="AR738" s="37"/>
    </row>
    <row r="739" spans="1:44" ht="14.25" customHeight="1" x14ac:dyDescent="0.3">
      <c r="A739" s="34"/>
      <c r="B739" s="16"/>
      <c r="C739" s="15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5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37"/>
      <c r="AO739" s="37"/>
      <c r="AP739" s="37"/>
      <c r="AQ739" s="37"/>
      <c r="AR739" s="37"/>
    </row>
    <row r="740" spans="1:44" ht="14.25" customHeight="1" x14ac:dyDescent="0.3">
      <c r="A740" s="34"/>
      <c r="B740" s="16"/>
      <c r="C740" s="15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5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37"/>
      <c r="AO740" s="37"/>
      <c r="AP740" s="37"/>
      <c r="AQ740" s="37"/>
      <c r="AR740" s="37"/>
    </row>
    <row r="741" spans="1:44" ht="14.25" customHeight="1" x14ac:dyDescent="0.3">
      <c r="A741" s="34"/>
      <c r="B741" s="16"/>
      <c r="C741" s="15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5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37"/>
      <c r="AO741" s="37"/>
      <c r="AP741" s="37"/>
      <c r="AQ741" s="37"/>
      <c r="AR741" s="37"/>
    </row>
    <row r="742" spans="1:44" ht="14.25" customHeight="1" x14ac:dyDescent="0.3">
      <c r="A742" s="34"/>
      <c r="B742" s="16"/>
      <c r="C742" s="15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5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37"/>
      <c r="AO742" s="37"/>
      <c r="AP742" s="37"/>
      <c r="AQ742" s="37"/>
      <c r="AR742" s="37"/>
    </row>
    <row r="743" spans="1:44" ht="14.25" customHeight="1" x14ac:dyDescent="0.3">
      <c r="A743" s="34"/>
      <c r="B743" s="16"/>
      <c r="C743" s="15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5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37"/>
      <c r="AO743" s="37"/>
      <c r="AP743" s="37"/>
      <c r="AQ743" s="37"/>
      <c r="AR743" s="37"/>
    </row>
    <row r="744" spans="1:44" ht="14.25" customHeight="1" x14ac:dyDescent="0.3">
      <c r="A744" s="34"/>
      <c r="B744" s="16"/>
      <c r="C744" s="15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5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37"/>
      <c r="AO744" s="37"/>
      <c r="AP744" s="37"/>
      <c r="AQ744" s="37"/>
      <c r="AR744" s="37"/>
    </row>
    <row r="745" spans="1:44" ht="14.25" customHeight="1" x14ac:dyDescent="0.3">
      <c r="A745" s="34"/>
      <c r="B745" s="16"/>
      <c r="C745" s="15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5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37"/>
      <c r="AO745" s="37"/>
      <c r="AP745" s="37"/>
      <c r="AQ745" s="37"/>
      <c r="AR745" s="37"/>
    </row>
    <row r="746" spans="1:44" ht="14.25" customHeight="1" x14ac:dyDescent="0.3">
      <c r="A746" s="34"/>
      <c r="B746" s="16"/>
      <c r="C746" s="15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5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37"/>
      <c r="AO746" s="37"/>
      <c r="AP746" s="37"/>
      <c r="AQ746" s="37"/>
      <c r="AR746" s="37"/>
    </row>
    <row r="747" spans="1:44" ht="14.25" customHeight="1" x14ac:dyDescent="0.3">
      <c r="A747" s="34"/>
      <c r="B747" s="16"/>
      <c r="C747" s="15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5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37"/>
      <c r="AO747" s="37"/>
      <c r="AP747" s="37"/>
      <c r="AQ747" s="37"/>
      <c r="AR747" s="37"/>
    </row>
    <row r="748" spans="1:44" ht="14.25" customHeight="1" x14ac:dyDescent="0.3">
      <c r="A748" s="34"/>
      <c r="B748" s="16"/>
      <c r="C748" s="15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5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37"/>
      <c r="AO748" s="37"/>
      <c r="AP748" s="37"/>
      <c r="AQ748" s="37"/>
      <c r="AR748" s="37"/>
    </row>
    <row r="749" spans="1:44" ht="14.25" customHeight="1" x14ac:dyDescent="0.3">
      <c r="A749" s="34"/>
      <c r="B749" s="16"/>
      <c r="C749" s="15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5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37"/>
      <c r="AO749" s="37"/>
      <c r="AP749" s="37"/>
      <c r="AQ749" s="37"/>
      <c r="AR749" s="37"/>
    </row>
    <row r="750" spans="1:44" ht="14.25" customHeight="1" x14ac:dyDescent="0.3">
      <c r="A750" s="34"/>
      <c r="B750" s="16"/>
      <c r="C750" s="15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5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37"/>
      <c r="AO750" s="37"/>
      <c r="AP750" s="37"/>
      <c r="AQ750" s="37"/>
      <c r="AR750" s="37"/>
    </row>
    <row r="751" spans="1:44" ht="14.25" customHeight="1" x14ac:dyDescent="0.3">
      <c r="A751" s="34"/>
      <c r="B751" s="16"/>
      <c r="C751" s="15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5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37"/>
      <c r="AO751" s="37"/>
      <c r="AP751" s="37"/>
      <c r="AQ751" s="37"/>
      <c r="AR751" s="37"/>
    </row>
    <row r="752" spans="1:44" ht="14.25" customHeight="1" x14ac:dyDescent="0.3">
      <c r="A752" s="34"/>
      <c r="B752" s="16"/>
      <c r="C752" s="15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5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37"/>
      <c r="AO752" s="37"/>
      <c r="AP752" s="37"/>
      <c r="AQ752" s="37"/>
      <c r="AR752" s="37"/>
    </row>
    <row r="753" spans="1:44" ht="14.25" customHeight="1" x14ac:dyDescent="0.3">
      <c r="A753" s="34"/>
      <c r="B753" s="16"/>
      <c r="C753" s="15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5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37"/>
      <c r="AO753" s="37"/>
      <c r="AP753" s="37"/>
      <c r="AQ753" s="37"/>
      <c r="AR753" s="37"/>
    </row>
    <row r="754" spans="1:44" ht="14.25" customHeight="1" x14ac:dyDescent="0.3">
      <c r="A754" s="34"/>
      <c r="B754" s="16"/>
      <c r="C754" s="15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5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37"/>
      <c r="AO754" s="37"/>
      <c r="AP754" s="37"/>
      <c r="AQ754" s="37"/>
      <c r="AR754" s="37"/>
    </row>
    <row r="755" spans="1:44" ht="14.25" customHeight="1" x14ac:dyDescent="0.3">
      <c r="A755" s="34"/>
      <c r="B755" s="16"/>
      <c r="C755" s="15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5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37"/>
      <c r="AO755" s="37"/>
      <c r="AP755" s="37"/>
      <c r="AQ755" s="37"/>
      <c r="AR755" s="37"/>
    </row>
    <row r="756" spans="1:44" ht="14.25" customHeight="1" x14ac:dyDescent="0.3">
      <c r="A756" s="34"/>
      <c r="B756" s="16"/>
      <c r="C756" s="15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5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37"/>
      <c r="AO756" s="37"/>
      <c r="AP756" s="37"/>
      <c r="AQ756" s="37"/>
      <c r="AR756" s="37"/>
    </row>
    <row r="757" spans="1:44" ht="14.25" customHeight="1" x14ac:dyDescent="0.3">
      <c r="A757" s="34"/>
      <c r="B757" s="16"/>
      <c r="C757" s="15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5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37"/>
      <c r="AO757" s="37"/>
      <c r="AP757" s="37"/>
      <c r="AQ757" s="37"/>
      <c r="AR757" s="37"/>
    </row>
    <row r="758" spans="1:44" ht="14.25" customHeight="1" x14ac:dyDescent="0.3">
      <c r="A758" s="34"/>
      <c r="B758" s="16"/>
      <c r="C758" s="15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5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37"/>
      <c r="AO758" s="37"/>
      <c r="AP758" s="37"/>
      <c r="AQ758" s="37"/>
      <c r="AR758" s="37"/>
    </row>
    <row r="759" spans="1:44" ht="14.25" customHeight="1" x14ac:dyDescent="0.3">
      <c r="A759" s="34"/>
      <c r="B759" s="16"/>
      <c r="C759" s="15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5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37"/>
      <c r="AO759" s="37"/>
      <c r="AP759" s="37"/>
      <c r="AQ759" s="37"/>
      <c r="AR759" s="37"/>
    </row>
    <row r="760" spans="1:44" ht="14.25" customHeight="1" x14ac:dyDescent="0.3">
      <c r="A760" s="34"/>
      <c r="B760" s="16"/>
      <c r="C760" s="15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5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37"/>
      <c r="AO760" s="37"/>
      <c r="AP760" s="37"/>
      <c r="AQ760" s="37"/>
      <c r="AR760" s="37"/>
    </row>
    <row r="761" spans="1:44" ht="14.25" customHeight="1" x14ac:dyDescent="0.3">
      <c r="A761" s="34"/>
      <c r="B761" s="16"/>
      <c r="C761" s="15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5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37"/>
      <c r="AO761" s="37"/>
      <c r="AP761" s="37"/>
      <c r="AQ761" s="37"/>
      <c r="AR761" s="37"/>
    </row>
    <row r="762" spans="1:44" ht="14.25" customHeight="1" x14ac:dyDescent="0.3">
      <c r="A762" s="34"/>
      <c r="B762" s="16"/>
      <c r="C762" s="15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5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37"/>
      <c r="AO762" s="37"/>
      <c r="AP762" s="37"/>
      <c r="AQ762" s="37"/>
      <c r="AR762" s="37"/>
    </row>
    <row r="763" spans="1:44" ht="14.25" customHeight="1" x14ac:dyDescent="0.3">
      <c r="A763" s="34"/>
      <c r="B763" s="16"/>
      <c r="C763" s="15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5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37"/>
      <c r="AO763" s="37"/>
      <c r="AP763" s="37"/>
      <c r="AQ763" s="37"/>
      <c r="AR763" s="37"/>
    </row>
    <row r="764" spans="1:44" ht="14.25" customHeight="1" x14ac:dyDescent="0.3">
      <c r="A764" s="34"/>
      <c r="B764" s="16"/>
      <c r="C764" s="15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5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37"/>
      <c r="AO764" s="37"/>
      <c r="AP764" s="37"/>
      <c r="AQ764" s="37"/>
      <c r="AR764" s="37"/>
    </row>
    <row r="765" spans="1:44" ht="14.25" customHeight="1" x14ac:dyDescent="0.3">
      <c r="A765" s="34"/>
      <c r="B765" s="16"/>
      <c r="C765" s="15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5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37"/>
      <c r="AO765" s="37"/>
      <c r="AP765" s="37"/>
      <c r="AQ765" s="37"/>
      <c r="AR765" s="37"/>
    </row>
    <row r="766" spans="1:44" ht="14.25" customHeight="1" x14ac:dyDescent="0.3">
      <c r="A766" s="34"/>
      <c r="B766" s="16"/>
      <c r="C766" s="15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5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37"/>
      <c r="AO766" s="37"/>
      <c r="AP766" s="37"/>
      <c r="AQ766" s="37"/>
      <c r="AR766" s="37"/>
    </row>
    <row r="767" spans="1:44" ht="14.25" customHeight="1" x14ac:dyDescent="0.3">
      <c r="A767" s="34"/>
      <c r="B767" s="16"/>
      <c r="C767" s="15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5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37"/>
      <c r="AO767" s="37"/>
      <c r="AP767" s="37"/>
      <c r="AQ767" s="37"/>
      <c r="AR767" s="37"/>
    </row>
    <row r="768" spans="1:44" ht="14.25" customHeight="1" x14ac:dyDescent="0.3">
      <c r="A768" s="34"/>
      <c r="B768" s="16"/>
      <c r="C768" s="15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5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37"/>
      <c r="AO768" s="37"/>
      <c r="AP768" s="37"/>
      <c r="AQ768" s="37"/>
      <c r="AR768" s="37"/>
    </row>
    <row r="769" spans="1:44" ht="14.25" customHeight="1" x14ac:dyDescent="0.3">
      <c r="A769" s="34"/>
      <c r="B769" s="16"/>
      <c r="C769" s="15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5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37"/>
      <c r="AO769" s="37"/>
      <c r="AP769" s="37"/>
      <c r="AQ769" s="37"/>
      <c r="AR769" s="37"/>
    </row>
    <row r="770" spans="1:44" ht="14.25" customHeight="1" x14ac:dyDescent="0.3">
      <c r="A770" s="34"/>
      <c r="B770" s="16"/>
      <c r="C770" s="15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5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37"/>
      <c r="AO770" s="37"/>
      <c r="AP770" s="37"/>
      <c r="AQ770" s="37"/>
      <c r="AR770" s="37"/>
    </row>
    <row r="771" spans="1:44" ht="14.25" customHeight="1" x14ac:dyDescent="0.3">
      <c r="A771" s="34"/>
      <c r="B771" s="16"/>
      <c r="C771" s="15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5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37"/>
      <c r="AO771" s="37"/>
      <c r="AP771" s="37"/>
      <c r="AQ771" s="37"/>
      <c r="AR771" s="37"/>
    </row>
    <row r="772" spans="1:44" ht="14.25" customHeight="1" x14ac:dyDescent="0.3">
      <c r="A772" s="34"/>
      <c r="B772" s="16"/>
      <c r="C772" s="15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5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37"/>
      <c r="AO772" s="37"/>
      <c r="AP772" s="37"/>
      <c r="AQ772" s="37"/>
      <c r="AR772" s="37"/>
    </row>
    <row r="773" spans="1:44" ht="14.25" customHeight="1" x14ac:dyDescent="0.3">
      <c r="A773" s="34"/>
      <c r="B773" s="16"/>
      <c r="C773" s="15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5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37"/>
      <c r="AO773" s="37"/>
      <c r="AP773" s="37"/>
      <c r="AQ773" s="37"/>
      <c r="AR773" s="37"/>
    </row>
    <row r="774" spans="1:44" ht="14.25" customHeight="1" x14ac:dyDescent="0.3">
      <c r="A774" s="34"/>
      <c r="B774" s="16"/>
      <c r="C774" s="15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5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37"/>
      <c r="AO774" s="37"/>
      <c r="AP774" s="37"/>
      <c r="AQ774" s="37"/>
      <c r="AR774" s="37"/>
    </row>
    <row r="775" spans="1:44" ht="14.25" customHeight="1" x14ac:dyDescent="0.3">
      <c r="A775" s="34"/>
      <c r="B775" s="16"/>
      <c r="C775" s="15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5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37"/>
      <c r="AO775" s="37"/>
      <c r="AP775" s="37"/>
      <c r="AQ775" s="37"/>
      <c r="AR775" s="37"/>
    </row>
    <row r="776" spans="1:44" ht="14.25" customHeight="1" x14ac:dyDescent="0.3">
      <c r="A776" s="34"/>
      <c r="B776" s="16"/>
      <c r="C776" s="15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5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37"/>
      <c r="AO776" s="37"/>
      <c r="AP776" s="37"/>
      <c r="AQ776" s="37"/>
      <c r="AR776" s="37"/>
    </row>
    <row r="777" spans="1:44" ht="14.25" customHeight="1" x14ac:dyDescent="0.3">
      <c r="A777" s="34"/>
      <c r="B777" s="16"/>
      <c r="C777" s="15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5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37"/>
      <c r="AO777" s="37"/>
      <c r="AP777" s="37"/>
      <c r="AQ777" s="37"/>
      <c r="AR777" s="37"/>
    </row>
    <row r="778" spans="1:44" ht="14.25" customHeight="1" x14ac:dyDescent="0.3">
      <c r="A778" s="34"/>
      <c r="B778" s="16"/>
      <c r="C778" s="15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5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37"/>
      <c r="AO778" s="37"/>
      <c r="AP778" s="37"/>
      <c r="AQ778" s="37"/>
      <c r="AR778" s="37"/>
    </row>
    <row r="779" spans="1:44" ht="14.25" customHeight="1" x14ac:dyDescent="0.3">
      <c r="A779" s="34"/>
      <c r="B779" s="16"/>
      <c r="C779" s="15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5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37"/>
      <c r="AO779" s="37"/>
      <c r="AP779" s="37"/>
      <c r="AQ779" s="37"/>
      <c r="AR779" s="37"/>
    </row>
    <row r="780" spans="1:44" ht="14.25" customHeight="1" x14ac:dyDescent="0.3">
      <c r="A780" s="34"/>
      <c r="B780" s="16"/>
      <c r="C780" s="15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5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37"/>
      <c r="AO780" s="37"/>
      <c r="AP780" s="37"/>
      <c r="AQ780" s="37"/>
      <c r="AR780" s="37"/>
    </row>
    <row r="781" spans="1:44" ht="14.25" customHeight="1" x14ac:dyDescent="0.3">
      <c r="A781" s="34"/>
      <c r="B781" s="16"/>
      <c r="C781" s="15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5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37"/>
      <c r="AO781" s="37"/>
      <c r="AP781" s="37"/>
      <c r="AQ781" s="37"/>
      <c r="AR781" s="37"/>
    </row>
    <row r="782" spans="1:44" ht="14.25" customHeight="1" x14ac:dyDescent="0.3">
      <c r="A782" s="34"/>
      <c r="B782" s="16"/>
      <c r="C782" s="15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5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37"/>
      <c r="AO782" s="37"/>
      <c r="AP782" s="37"/>
      <c r="AQ782" s="37"/>
      <c r="AR782" s="37"/>
    </row>
    <row r="783" spans="1:44" ht="14.25" customHeight="1" x14ac:dyDescent="0.3">
      <c r="A783" s="34"/>
      <c r="B783" s="16"/>
      <c r="C783" s="15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5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37"/>
      <c r="AO783" s="37"/>
      <c r="AP783" s="37"/>
      <c r="AQ783" s="37"/>
      <c r="AR783" s="37"/>
    </row>
    <row r="784" spans="1:44" ht="14.25" customHeight="1" x14ac:dyDescent="0.3">
      <c r="A784" s="34"/>
      <c r="B784" s="16"/>
      <c r="C784" s="15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5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37"/>
      <c r="AO784" s="37"/>
      <c r="AP784" s="37"/>
      <c r="AQ784" s="37"/>
      <c r="AR784" s="37"/>
    </row>
    <row r="785" spans="1:44" ht="14.25" customHeight="1" x14ac:dyDescent="0.3">
      <c r="A785" s="34"/>
      <c r="B785" s="16"/>
      <c r="C785" s="15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5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37"/>
      <c r="AO785" s="37"/>
      <c r="AP785" s="37"/>
      <c r="AQ785" s="37"/>
      <c r="AR785" s="37"/>
    </row>
    <row r="786" spans="1:44" ht="14.25" customHeight="1" x14ac:dyDescent="0.3">
      <c r="A786" s="34"/>
      <c r="B786" s="16"/>
      <c r="C786" s="15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5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37"/>
      <c r="AO786" s="37"/>
      <c r="AP786" s="37"/>
      <c r="AQ786" s="37"/>
      <c r="AR786" s="37"/>
    </row>
    <row r="787" spans="1:44" ht="14.25" customHeight="1" x14ac:dyDescent="0.3">
      <c r="A787" s="34"/>
      <c r="B787" s="16"/>
      <c r="C787" s="15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5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37"/>
      <c r="AO787" s="37"/>
      <c r="AP787" s="37"/>
      <c r="AQ787" s="37"/>
      <c r="AR787" s="37"/>
    </row>
    <row r="788" spans="1:44" ht="14.25" customHeight="1" x14ac:dyDescent="0.3">
      <c r="A788" s="34"/>
      <c r="B788" s="16"/>
      <c r="C788" s="15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5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37"/>
      <c r="AO788" s="37"/>
      <c r="AP788" s="37"/>
      <c r="AQ788" s="37"/>
      <c r="AR788" s="37"/>
    </row>
    <row r="789" spans="1:44" ht="14.25" customHeight="1" x14ac:dyDescent="0.3">
      <c r="A789" s="34"/>
      <c r="B789" s="16"/>
      <c r="C789" s="15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5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37"/>
      <c r="AO789" s="37"/>
      <c r="AP789" s="37"/>
      <c r="AQ789" s="37"/>
      <c r="AR789" s="37"/>
    </row>
    <row r="790" spans="1:44" ht="14.25" customHeight="1" x14ac:dyDescent="0.3">
      <c r="A790" s="34"/>
      <c r="B790" s="16"/>
      <c r="C790" s="15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5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37"/>
      <c r="AO790" s="37"/>
      <c r="AP790" s="37"/>
      <c r="AQ790" s="37"/>
      <c r="AR790" s="37"/>
    </row>
    <row r="791" spans="1:44" ht="14.25" customHeight="1" x14ac:dyDescent="0.3">
      <c r="A791" s="34"/>
      <c r="B791" s="16"/>
      <c r="C791" s="15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5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37"/>
      <c r="AO791" s="37"/>
      <c r="AP791" s="37"/>
      <c r="AQ791" s="37"/>
      <c r="AR791" s="37"/>
    </row>
    <row r="792" spans="1:44" ht="14.25" customHeight="1" x14ac:dyDescent="0.3">
      <c r="A792" s="34"/>
      <c r="B792" s="16"/>
      <c r="C792" s="15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5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37"/>
      <c r="AO792" s="37"/>
      <c r="AP792" s="37"/>
      <c r="AQ792" s="37"/>
      <c r="AR792" s="37"/>
    </row>
    <row r="793" spans="1:44" ht="14.25" customHeight="1" x14ac:dyDescent="0.3">
      <c r="A793" s="34"/>
      <c r="B793" s="16"/>
      <c r="C793" s="15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5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37"/>
      <c r="AO793" s="37"/>
      <c r="AP793" s="37"/>
      <c r="AQ793" s="37"/>
      <c r="AR793" s="37"/>
    </row>
    <row r="794" spans="1:44" ht="14.25" customHeight="1" x14ac:dyDescent="0.3">
      <c r="A794" s="34"/>
      <c r="B794" s="16"/>
      <c r="C794" s="15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5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37"/>
      <c r="AO794" s="37"/>
      <c r="AP794" s="37"/>
      <c r="AQ794" s="37"/>
      <c r="AR794" s="37"/>
    </row>
    <row r="795" spans="1:44" ht="14.25" customHeight="1" x14ac:dyDescent="0.3">
      <c r="A795" s="34"/>
      <c r="B795" s="16"/>
      <c r="C795" s="15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5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37"/>
      <c r="AO795" s="37"/>
      <c r="AP795" s="37"/>
      <c r="AQ795" s="37"/>
      <c r="AR795" s="37"/>
    </row>
    <row r="796" spans="1:44" ht="14.25" customHeight="1" x14ac:dyDescent="0.3">
      <c r="A796" s="34"/>
      <c r="B796" s="16"/>
      <c r="C796" s="15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5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37"/>
      <c r="AO796" s="37"/>
      <c r="AP796" s="37"/>
      <c r="AQ796" s="37"/>
      <c r="AR796" s="37"/>
    </row>
    <row r="797" spans="1:44" ht="14.25" customHeight="1" x14ac:dyDescent="0.3">
      <c r="A797" s="34"/>
      <c r="B797" s="16"/>
      <c r="C797" s="15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5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37"/>
      <c r="AO797" s="37"/>
      <c r="AP797" s="37"/>
      <c r="AQ797" s="37"/>
      <c r="AR797" s="37"/>
    </row>
    <row r="798" spans="1:44" ht="14.25" customHeight="1" x14ac:dyDescent="0.3">
      <c r="A798" s="34"/>
      <c r="B798" s="16"/>
      <c r="C798" s="15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5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37"/>
      <c r="AO798" s="37"/>
      <c r="AP798" s="37"/>
      <c r="AQ798" s="37"/>
      <c r="AR798" s="37"/>
    </row>
    <row r="799" spans="1:44" ht="14.25" customHeight="1" x14ac:dyDescent="0.3">
      <c r="A799" s="34"/>
      <c r="B799" s="16"/>
      <c r="C799" s="15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5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37"/>
      <c r="AO799" s="37"/>
      <c r="AP799" s="37"/>
      <c r="AQ799" s="37"/>
      <c r="AR799" s="37"/>
    </row>
    <row r="800" spans="1:44" ht="14.25" customHeight="1" x14ac:dyDescent="0.3">
      <c r="A800" s="34"/>
      <c r="B800" s="16"/>
      <c r="C800" s="15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5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37"/>
      <c r="AO800" s="37"/>
      <c r="AP800" s="37"/>
      <c r="AQ800" s="37"/>
      <c r="AR800" s="37"/>
    </row>
    <row r="801" spans="1:44" ht="14.25" customHeight="1" x14ac:dyDescent="0.3">
      <c r="A801" s="34"/>
      <c r="B801" s="16"/>
      <c r="C801" s="15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5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37"/>
      <c r="AO801" s="37"/>
      <c r="AP801" s="37"/>
      <c r="AQ801" s="37"/>
      <c r="AR801" s="37"/>
    </row>
    <row r="802" spans="1:44" ht="14.25" customHeight="1" x14ac:dyDescent="0.3">
      <c r="A802" s="34"/>
      <c r="B802" s="16"/>
      <c r="C802" s="15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5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37"/>
      <c r="AO802" s="37"/>
      <c r="AP802" s="37"/>
      <c r="AQ802" s="37"/>
      <c r="AR802" s="37"/>
    </row>
    <row r="803" spans="1:44" ht="14.25" customHeight="1" x14ac:dyDescent="0.3">
      <c r="A803" s="34"/>
      <c r="B803" s="16"/>
      <c r="C803" s="15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5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37"/>
      <c r="AO803" s="37"/>
      <c r="AP803" s="37"/>
      <c r="AQ803" s="37"/>
      <c r="AR803" s="37"/>
    </row>
    <row r="804" spans="1:44" ht="14.25" customHeight="1" x14ac:dyDescent="0.3">
      <c r="A804" s="34"/>
      <c r="B804" s="16"/>
      <c r="C804" s="15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5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37"/>
      <c r="AO804" s="37"/>
      <c r="AP804" s="37"/>
      <c r="AQ804" s="37"/>
      <c r="AR804" s="37"/>
    </row>
    <row r="805" spans="1:44" ht="14.25" customHeight="1" x14ac:dyDescent="0.3">
      <c r="A805" s="34"/>
      <c r="B805" s="16"/>
      <c r="C805" s="15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5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37"/>
      <c r="AO805" s="37"/>
      <c r="AP805" s="37"/>
      <c r="AQ805" s="37"/>
      <c r="AR805" s="37"/>
    </row>
    <row r="806" spans="1:44" ht="14.25" customHeight="1" x14ac:dyDescent="0.3">
      <c r="A806" s="34"/>
      <c r="B806" s="16"/>
      <c r="C806" s="15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5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37"/>
      <c r="AO806" s="37"/>
      <c r="AP806" s="37"/>
      <c r="AQ806" s="37"/>
      <c r="AR806" s="37"/>
    </row>
    <row r="807" spans="1:44" ht="14.25" customHeight="1" x14ac:dyDescent="0.3">
      <c r="A807" s="34"/>
      <c r="B807" s="16"/>
      <c r="C807" s="15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5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37"/>
      <c r="AO807" s="37"/>
      <c r="AP807" s="37"/>
      <c r="AQ807" s="37"/>
      <c r="AR807" s="37"/>
    </row>
    <row r="808" spans="1:44" ht="14.25" customHeight="1" x14ac:dyDescent="0.3">
      <c r="A808" s="34"/>
      <c r="B808" s="16"/>
      <c r="C808" s="15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5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37"/>
      <c r="AO808" s="37"/>
      <c r="AP808" s="37"/>
      <c r="AQ808" s="37"/>
      <c r="AR808" s="37"/>
    </row>
    <row r="809" spans="1:44" ht="14.25" customHeight="1" x14ac:dyDescent="0.3">
      <c r="A809" s="34"/>
      <c r="B809" s="16"/>
      <c r="C809" s="15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5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37"/>
      <c r="AO809" s="37"/>
      <c r="AP809" s="37"/>
      <c r="AQ809" s="37"/>
      <c r="AR809" s="37"/>
    </row>
    <row r="810" spans="1:44" ht="14.25" customHeight="1" x14ac:dyDescent="0.3">
      <c r="A810" s="34"/>
      <c r="B810" s="16"/>
      <c r="C810" s="15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5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37"/>
      <c r="AO810" s="37"/>
      <c r="AP810" s="37"/>
      <c r="AQ810" s="37"/>
      <c r="AR810" s="37"/>
    </row>
    <row r="811" spans="1:44" ht="14.25" customHeight="1" x14ac:dyDescent="0.3">
      <c r="A811" s="34"/>
      <c r="B811" s="16"/>
      <c r="C811" s="15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5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37"/>
      <c r="AO811" s="37"/>
      <c r="AP811" s="37"/>
      <c r="AQ811" s="37"/>
      <c r="AR811" s="37"/>
    </row>
    <row r="812" spans="1:44" ht="14.25" customHeight="1" x14ac:dyDescent="0.3">
      <c r="A812" s="34"/>
      <c r="B812" s="16"/>
      <c r="C812" s="15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5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37"/>
      <c r="AO812" s="37"/>
      <c r="AP812" s="37"/>
      <c r="AQ812" s="37"/>
      <c r="AR812" s="37"/>
    </row>
    <row r="813" spans="1:44" ht="14.25" customHeight="1" x14ac:dyDescent="0.3">
      <c r="A813" s="34"/>
      <c r="B813" s="16"/>
      <c r="C813" s="15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5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37"/>
      <c r="AO813" s="37"/>
      <c r="AP813" s="37"/>
      <c r="AQ813" s="37"/>
      <c r="AR813" s="37"/>
    </row>
    <row r="814" spans="1:44" ht="14.25" customHeight="1" x14ac:dyDescent="0.3">
      <c r="A814" s="34"/>
      <c r="B814" s="16"/>
      <c r="C814" s="15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5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37"/>
      <c r="AO814" s="37"/>
      <c r="AP814" s="37"/>
      <c r="AQ814" s="37"/>
      <c r="AR814" s="37"/>
    </row>
    <row r="815" spans="1:44" ht="14.25" customHeight="1" x14ac:dyDescent="0.3">
      <c r="A815" s="34"/>
      <c r="B815" s="16"/>
      <c r="C815" s="15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5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37"/>
      <c r="AO815" s="37"/>
      <c r="AP815" s="37"/>
      <c r="AQ815" s="37"/>
      <c r="AR815" s="37"/>
    </row>
    <row r="816" spans="1:44" ht="14.25" customHeight="1" x14ac:dyDescent="0.3">
      <c r="A816" s="34"/>
      <c r="B816" s="16"/>
      <c r="C816" s="15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5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37"/>
      <c r="AO816" s="37"/>
      <c r="AP816" s="37"/>
      <c r="AQ816" s="37"/>
      <c r="AR816" s="37"/>
    </row>
    <row r="817" spans="1:44" ht="14.25" customHeight="1" x14ac:dyDescent="0.3">
      <c r="A817" s="34"/>
      <c r="B817" s="16"/>
      <c r="C817" s="15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5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37"/>
      <c r="AO817" s="37"/>
      <c r="AP817" s="37"/>
      <c r="AQ817" s="37"/>
      <c r="AR817" s="37"/>
    </row>
    <row r="818" spans="1:44" ht="14.25" customHeight="1" x14ac:dyDescent="0.3">
      <c r="A818" s="34"/>
      <c r="B818" s="16"/>
      <c r="C818" s="15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5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37"/>
      <c r="AO818" s="37"/>
      <c r="AP818" s="37"/>
      <c r="AQ818" s="37"/>
      <c r="AR818" s="37"/>
    </row>
    <row r="819" spans="1:44" ht="14.25" customHeight="1" x14ac:dyDescent="0.3">
      <c r="A819" s="34"/>
      <c r="B819" s="16"/>
      <c r="C819" s="15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5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37"/>
      <c r="AO819" s="37"/>
      <c r="AP819" s="37"/>
      <c r="AQ819" s="37"/>
      <c r="AR819" s="37"/>
    </row>
    <row r="820" spans="1:44" ht="14.25" customHeight="1" x14ac:dyDescent="0.3">
      <c r="A820" s="34"/>
      <c r="B820" s="16"/>
      <c r="C820" s="15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5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37"/>
      <c r="AO820" s="37"/>
      <c r="AP820" s="37"/>
      <c r="AQ820" s="37"/>
      <c r="AR820" s="37"/>
    </row>
    <row r="821" spans="1:44" ht="14.25" customHeight="1" x14ac:dyDescent="0.3">
      <c r="A821" s="34"/>
      <c r="B821" s="16"/>
      <c r="C821" s="15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5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37"/>
      <c r="AO821" s="37"/>
      <c r="AP821" s="37"/>
      <c r="AQ821" s="37"/>
      <c r="AR821" s="37"/>
    </row>
    <row r="822" spans="1:44" ht="14.25" customHeight="1" x14ac:dyDescent="0.3">
      <c r="A822" s="34"/>
      <c r="B822" s="16"/>
      <c r="C822" s="15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5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37"/>
      <c r="AO822" s="37"/>
      <c r="AP822" s="37"/>
      <c r="AQ822" s="37"/>
      <c r="AR822" s="37"/>
    </row>
    <row r="823" spans="1:44" ht="14.25" customHeight="1" x14ac:dyDescent="0.3">
      <c r="A823" s="34"/>
      <c r="B823" s="16"/>
      <c r="C823" s="15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5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37"/>
      <c r="AO823" s="37"/>
      <c r="AP823" s="37"/>
      <c r="AQ823" s="37"/>
      <c r="AR823" s="37"/>
    </row>
    <row r="824" spans="1:44" ht="14.25" customHeight="1" x14ac:dyDescent="0.3">
      <c r="A824" s="34"/>
      <c r="B824" s="16"/>
      <c r="C824" s="15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5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37"/>
      <c r="AO824" s="37"/>
      <c r="AP824" s="37"/>
      <c r="AQ824" s="37"/>
      <c r="AR824" s="37"/>
    </row>
    <row r="825" spans="1:44" ht="14.25" customHeight="1" x14ac:dyDescent="0.3">
      <c r="A825" s="34"/>
      <c r="B825" s="16"/>
      <c r="C825" s="15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5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37"/>
      <c r="AO825" s="37"/>
      <c r="AP825" s="37"/>
      <c r="AQ825" s="37"/>
      <c r="AR825" s="37"/>
    </row>
    <row r="826" spans="1:44" ht="14.25" customHeight="1" x14ac:dyDescent="0.3">
      <c r="A826" s="34"/>
      <c r="B826" s="16"/>
      <c r="C826" s="15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5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37"/>
      <c r="AO826" s="37"/>
      <c r="AP826" s="37"/>
      <c r="AQ826" s="37"/>
      <c r="AR826" s="37"/>
    </row>
    <row r="827" spans="1:44" ht="14.25" customHeight="1" x14ac:dyDescent="0.3">
      <c r="A827" s="34"/>
      <c r="B827" s="16"/>
      <c r="C827" s="15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5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37"/>
      <c r="AO827" s="37"/>
      <c r="AP827" s="37"/>
      <c r="AQ827" s="37"/>
      <c r="AR827" s="37"/>
    </row>
    <row r="828" spans="1:44" ht="14.25" customHeight="1" x14ac:dyDescent="0.3">
      <c r="A828" s="34"/>
      <c r="B828" s="16"/>
      <c r="C828" s="15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5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37"/>
      <c r="AO828" s="37"/>
      <c r="AP828" s="37"/>
      <c r="AQ828" s="37"/>
      <c r="AR828" s="37"/>
    </row>
    <row r="829" spans="1:44" ht="14.25" customHeight="1" x14ac:dyDescent="0.3">
      <c r="A829" s="34"/>
      <c r="B829" s="16"/>
      <c r="C829" s="15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5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37"/>
      <c r="AO829" s="37"/>
      <c r="AP829" s="37"/>
      <c r="AQ829" s="37"/>
      <c r="AR829" s="37"/>
    </row>
    <row r="830" spans="1:44" ht="14.25" customHeight="1" x14ac:dyDescent="0.3">
      <c r="A830" s="34"/>
      <c r="B830" s="16"/>
      <c r="C830" s="15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5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37"/>
      <c r="AO830" s="37"/>
      <c r="AP830" s="37"/>
      <c r="AQ830" s="37"/>
      <c r="AR830" s="37"/>
    </row>
    <row r="831" spans="1:44" ht="14.25" customHeight="1" x14ac:dyDescent="0.3">
      <c r="A831" s="34"/>
      <c r="B831" s="16"/>
      <c r="C831" s="15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5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37"/>
      <c r="AO831" s="37"/>
      <c r="AP831" s="37"/>
      <c r="AQ831" s="37"/>
      <c r="AR831" s="37"/>
    </row>
    <row r="832" spans="1:44" ht="14.25" customHeight="1" x14ac:dyDescent="0.3">
      <c r="A832" s="34"/>
      <c r="B832" s="16"/>
      <c r="C832" s="15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5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37"/>
      <c r="AO832" s="37"/>
      <c r="AP832" s="37"/>
      <c r="AQ832" s="37"/>
      <c r="AR832" s="37"/>
    </row>
    <row r="833" spans="1:44" ht="14.25" customHeight="1" x14ac:dyDescent="0.3">
      <c r="A833" s="34"/>
      <c r="B833" s="16"/>
      <c r="C833" s="15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5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37"/>
      <c r="AO833" s="37"/>
      <c r="AP833" s="37"/>
      <c r="AQ833" s="37"/>
      <c r="AR833" s="37"/>
    </row>
    <row r="834" spans="1:44" ht="14.25" customHeight="1" x14ac:dyDescent="0.3">
      <c r="A834" s="34"/>
      <c r="B834" s="16"/>
      <c r="C834" s="15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5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37"/>
      <c r="AO834" s="37"/>
      <c r="AP834" s="37"/>
      <c r="AQ834" s="37"/>
      <c r="AR834" s="37"/>
    </row>
    <row r="835" spans="1:44" ht="14.25" customHeight="1" x14ac:dyDescent="0.3">
      <c r="A835" s="34"/>
      <c r="B835" s="16"/>
      <c r="C835" s="15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5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37"/>
      <c r="AO835" s="37"/>
      <c r="AP835" s="37"/>
      <c r="AQ835" s="37"/>
      <c r="AR835" s="37"/>
    </row>
    <row r="836" spans="1:44" ht="14.25" customHeight="1" x14ac:dyDescent="0.3">
      <c r="A836" s="34"/>
      <c r="B836" s="16"/>
      <c r="C836" s="15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5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37"/>
      <c r="AO836" s="37"/>
      <c r="AP836" s="37"/>
      <c r="AQ836" s="37"/>
      <c r="AR836" s="37"/>
    </row>
    <row r="837" spans="1:44" ht="14.25" customHeight="1" x14ac:dyDescent="0.3">
      <c r="A837" s="34"/>
      <c r="B837" s="16"/>
      <c r="C837" s="15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5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37"/>
      <c r="AO837" s="37"/>
      <c r="AP837" s="37"/>
      <c r="AQ837" s="37"/>
      <c r="AR837" s="37"/>
    </row>
    <row r="838" spans="1:44" ht="14.25" customHeight="1" x14ac:dyDescent="0.3">
      <c r="A838" s="34"/>
      <c r="B838" s="16"/>
      <c r="C838" s="15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5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37"/>
      <c r="AO838" s="37"/>
      <c r="AP838" s="37"/>
      <c r="AQ838" s="37"/>
      <c r="AR838" s="37"/>
    </row>
    <row r="839" spans="1:44" ht="14.25" customHeight="1" x14ac:dyDescent="0.3">
      <c r="A839" s="34"/>
      <c r="B839" s="16"/>
      <c r="C839" s="15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5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37"/>
      <c r="AO839" s="37"/>
      <c r="AP839" s="37"/>
      <c r="AQ839" s="37"/>
      <c r="AR839" s="37"/>
    </row>
    <row r="840" spans="1:44" ht="14.25" customHeight="1" x14ac:dyDescent="0.3">
      <c r="A840" s="34"/>
      <c r="B840" s="16"/>
      <c r="C840" s="15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5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37"/>
      <c r="AO840" s="37"/>
      <c r="AP840" s="37"/>
      <c r="AQ840" s="37"/>
      <c r="AR840" s="37"/>
    </row>
    <row r="841" spans="1:44" ht="14.25" customHeight="1" x14ac:dyDescent="0.3">
      <c r="A841" s="34"/>
      <c r="B841" s="16"/>
      <c r="C841" s="15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5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37"/>
      <c r="AO841" s="37"/>
      <c r="AP841" s="37"/>
      <c r="AQ841" s="37"/>
      <c r="AR841" s="37"/>
    </row>
    <row r="842" spans="1:44" ht="14.25" customHeight="1" x14ac:dyDescent="0.3">
      <c r="A842" s="34"/>
      <c r="B842" s="16"/>
      <c r="C842" s="15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5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37"/>
      <c r="AO842" s="37"/>
      <c r="AP842" s="37"/>
      <c r="AQ842" s="37"/>
      <c r="AR842" s="37"/>
    </row>
    <row r="843" spans="1:44" ht="14.25" customHeight="1" x14ac:dyDescent="0.3">
      <c r="A843" s="34"/>
      <c r="B843" s="16"/>
      <c r="C843" s="15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5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37"/>
      <c r="AO843" s="37"/>
      <c r="AP843" s="37"/>
      <c r="AQ843" s="37"/>
      <c r="AR843" s="37"/>
    </row>
    <row r="844" spans="1:44" ht="14.25" customHeight="1" x14ac:dyDescent="0.3">
      <c r="A844" s="34"/>
      <c r="B844" s="16"/>
      <c r="C844" s="15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5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37"/>
      <c r="AO844" s="37"/>
      <c r="AP844" s="37"/>
      <c r="AQ844" s="37"/>
      <c r="AR844" s="37"/>
    </row>
    <row r="845" spans="1:44" ht="14.25" customHeight="1" x14ac:dyDescent="0.3">
      <c r="A845" s="34"/>
      <c r="B845" s="16"/>
      <c r="C845" s="15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5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37"/>
      <c r="AO845" s="37"/>
      <c r="AP845" s="37"/>
      <c r="AQ845" s="37"/>
      <c r="AR845" s="37"/>
    </row>
    <row r="846" spans="1:44" ht="14.25" customHeight="1" x14ac:dyDescent="0.3">
      <c r="A846" s="34"/>
      <c r="B846" s="16"/>
      <c r="C846" s="15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5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37"/>
      <c r="AO846" s="37"/>
      <c r="AP846" s="37"/>
      <c r="AQ846" s="37"/>
      <c r="AR846" s="37"/>
    </row>
    <row r="847" spans="1:44" ht="14.25" customHeight="1" x14ac:dyDescent="0.3">
      <c r="A847" s="34"/>
      <c r="B847" s="16"/>
      <c r="C847" s="15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5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37"/>
      <c r="AO847" s="37"/>
      <c r="AP847" s="37"/>
      <c r="AQ847" s="37"/>
      <c r="AR847" s="37"/>
    </row>
    <row r="848" spans="1:44" ht="14.25" customHeight="1" x14ac:dyDescent="0.3">
      <c r="A848" s="34"/>
      <c r="B848" s="16"/>
      <c r="C848" s="15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5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37"/>
      <c r="AO848" s="37"/>
      <c r="AP848" s="37"/>
      <c r="AQ848" s="37"/>
      <c r="AR848" s="37"/>
    </row>
    <row r="849" spans="1:44" ht="14.25" customHeight="1" x14ac:dyDescent="0.3">
      <c r="A849" s="34"/>
      <c r="B849" s="16"/>
      <c r="C849" s="15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5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37"/>
      <c r="AO849" s="37"/>
      <c r="AP849" s="37"/>
      <c r="AQ849" s="37"/>
      <c r="AR849" s="37"/>
    </row>
    <row r="850" spans="1:44" ht="14.25" customHeight="1" x14ac:dyDescent="0.3">
      <c r="A850" s="34"/>
      <c r="B850" s="16"/>
      <c r="C850" s="15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5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37"/>
      <c r="AO850" s="37"/>
      <c r="AP850" s="37"/>
      <c r="AQ850" s="37"/>
      <c r="AR850" s="37"/>
    </row>
    <row r="851" spans="1:44" ht="14.25" customHeight="1" x14ac:dyDescent="0.3">
      <c r="A851" s="34"/>
      <c r="B851" s="16"/>
      <c r="C851" s="15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5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37"/>
      <c r="AO851" s="37"/>
      <c r="AP851" s="37"/>
      <c r="AQ851" s="37"/>
      <c r="AR851" s="37"/>
    </row>
    <row r="852" spans="1:44" ht="14.25" customHeight="1" x14ac:dyDescent="0.3">
      <c r="A852" s="34"/>
      <c r="B852" s="16"/>
      <c r="C852" s="15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5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37"/>
      <c r="AO852" s="37"/>
      <c r="AP852" s="37"/>
      <c r="AQ852" s="37"/>
      <c r="AR852" s="37"/>
    </row>
    <row r="853" spans="1:44" ht="14.25" customHeight="1" x14ac:dyDescent="0.3">
      <c r="A853" s="34"/>
      <c r="B853" s="16"/>
      <c r="C853" s="15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5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37"/>
      <c r="AO853" s="37"/>
      <c r="AP853" s="37"/>
      <c r="AQ853" s="37"/>
      <c r="AR853" s="37"/>
    </row>
    <row r="854" spans="1:44" ht="14.25" customHeight="1" x14ac:dyDescent="0.3">
      <c r="A854" s="34"/>
      <c r="B854" s="16"/>
      <c r="C854" s="15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5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37"/>
      <c r="AO854" s="37"/>
      <c r="AP854" s="37"/>
      <c r="AQ854" s="37"/>
      <c r="AR854" s="37"/>
    </row>
    <row r="855" spans="1:44" ht="14.25" customHeight="1" x14ac:dyDescent="0.3">
      <c r="A855" s="34"/>
      <c r="B855" s="16"/>
      <c r="C855" s="15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5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37"/>
      <c r="AO855" s="37"/>
      <c r="AP855" s="37"/>
      <c r="AQ855" s="37"/>
      <c r="AR855" s="37"/>
    </row>
    <row r="856" spans="1:44" ht="14.25" customHeight="1" x14ac:dyDescent="0.3">
      <c r="A856" s="34"/>
      <c r="B856" s="16"/>
      <c r="C856" s="15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5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37"/>
      <c r="AO856" s="37"/>
      <c r="AP856" s="37"/>
      <c r="AQ856" s="37"/>
      <c r="AR856" s="37"/>
    </row>
    <row r="857" spans="1:44" ht="14.25" customHeight="1" x14ac:dyDescent="0.3">
      <c r="A857" s="34"/>
      <c r="B857" s="16"/>
      <c r="C857" s="15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5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37"/>
      <c r="AO857" s="37"/>
      <c r="AP857" s="37"/>
      <c r="AQ857" s="37"/>
      <c r="AR857" s="37"/>
    </row>
    <row r="858" spans="1:44" ht="14.25" customHeight="1" x14ac:dyDescent="0.3">
      <c r="A858" s="34"/>
      <c r="B858" s="16"/>
      <c r="C858" s="15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5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37"/>
      <c r="AO858" s="37"/>
      <c r="AP858" s="37"/>
      <c r="AQ858" s="37"/>
      <c r="AR858" s="37"/>
    </row>
    <row r="859" spans="1:44" ht="14.25" customHeight="1" x14ac:dyDescent="0.3">
      <c r="A859" s="34"/>
      <c r="B859" s="16"/>
      <c r="C859" s="15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5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37"/>
      <c r="AO859" s="37"/>
      <c r="AP859" s="37"/>
      <c r="AQ859" s="37"/>
      <c r="AR859" s="37"/>
    </row>
    <row r="860" spans="1:44" ht="14.25" customHeight="1" x14ac:dyDescent="0.3">
      <c r="A860" s="34"/>
      <c r="B860" s="16"/>
      <c r="C860" s="15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5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37"/>
      <c r="AO860" s="37"/>
      <c r="AP860" s="37"/>
      <c r="AQ860" s="37"/>
      <c r="AR860" s="37"/>
    </row>
    <row r="861" spans="1:44" ht="14.25" customHeight="1" x14ac:dyDescent="0.3">
      <c r="A861" s="34"/>
      <c r="B861" s="16"/>
      <c r="C861" s="15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5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37"/>
      <c r="AO861" s="37"/>
      <c r="AP861" s="37"/>
      <c r="AQ861" s="37"/>
      <c r="AR861" s="37"/>
    </row>
    <row r="862" spans="1:44" ht="14.25" customHeight="1" x14ac:dyDescent="0.3">
      <c r="A862" s="34"/>
      <c r="B862" s="16"/>
      <c r="C862" s="15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5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37"/>
      <c r="AO862" s="37"/>
      <c r="AP862" s="37"/>
      <c r="AQ862" s="37"/>
      <c r="AR862" s="37"/>
    </row>
    <row r="863" spans="1:44" ht="14.25" customHeight="1" x14ac:dyDescent="0.3">
      <c r="A863" s="34"/>
      <c r="B863" s="16"/>
      <c r="C863" s="15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5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37"/>
      <c r="AO863" s="37"/>
      <c r="AP863" s="37"/>
      <c r="AQ863" s="37"/>
      <c r="AR863" s="37"/>
    </row>
    <row r="864" spans="1:44" ht="14.25" customHeight="1" x14ac:dyDescent="0.3">
      <c r="A864" s="34"/>
      <c r="B864" s="16"/>
      <c r="C864" s="15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5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37"/>
      <c r="AO864" s="37"/>
      <c r="AP864" s="37"/>
      <c r="AQ864" s="37"/>
      <c r="AR864" s="37"/>
    </row>
    <row r="865" spans="1:44" ht="14.25" customHeight="1" x14ac:dyDescent="0.3">
      <c r="A865" s="34"/>
      <c r="B865" s="16"/>
      <c r="C865" s="15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5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37"/>
      <c r="AO865" s="37"/>
      <c r="AP865" s="37"/>
      <c r="AQ865" s="37"/>
      <c r="AR865" s="37"/>
    </row>
    <row r="866" spans="1:44" ht="14.25" customHeight="1" x14ac:dyDescent="0.3">
      <c r="A866" s="34"/>
      <c r="B866" s="16"/>
      <c r="C866" s="15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5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37"/>
      <c r="AO866" s="37"/>
      <c r="AP866" s="37"/>
      <c r="AQ866" s="37"/>
      <c r="AR866" s="37"/>
    </row>
    <row r="867" spans="1:44" ht="14.25" customHeight="1" x14ac:dyDescent="0.3">
      <c r="A867" s="34"/>
      <c r="B867" s="16"/>
      <c r="C867" s="15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5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37"/>
      <c r="AO867" s="37"/>
      <c r="AP867" s="37"/>
      <c r="AQ867" s="37"/>
      <c r="AR867" s="37"/>
    </row>
    <row r="868" spans="1:44" ht="14.25" customHeight="1" x14ac:dyDescent="0.3">
      <c r="A868" s="34"/>
      <c r="B868" s="16"/>
      <c r="C868" s="15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5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37"/>
      <c r="AO868" s="37"/>
      <c r="AP868" s="37"/>
      <c r="AQ868" s="37"/>
      <c r="AR868" s="37"/>
    </row>
    <row r="869" spans="1:44" ht="14.25" customHeight="1" x14ac:dyDescent="0.3">
      <c r="A869" s="34"/>
      <c r="B869" s="16"/>
      <c r="C869" s="15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5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37"/>
      <c r="AO869" s="37"/>
      <c r="AP869" s="37"/>
      <c r="AQ869" s="37"/>
      <c r="AR869" s="37"/>
    </row>
    <row r="870" spans="1:44" ht="14.25" customHeight="1" x14ac:dyDescent="0.3">
      <c r="A870" s="34"/>
      <c r="B870" s="16"/>
      <c r="C870" s="15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5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37"/>
      <c r="AO870" s="37"/>
      <c r="AP870" s="37"/>
      <c r="AQ870" s="37"/>
      <c r="AR870" s="37"/>
    </row>
    <row r="871" spans="1:44" ht="14.25" customHeight="1" x14ac:dyDescent="0.3">
      <c r="A871" s="34"/>
      <c r="B871" s="16"/>
      <c r="C871" s="15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5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37"/>
      <c r="AO871" s="37"/>
      <c r="AP871" s="37"/>
      <c r="AQ871" s="37"/>
      <c r="AR871" s="37"/>
    </row>
    <row r="872" spans="1:44" ht="14.25" customHeight="1" x14ac:dyDescent="0.3">
      <c r="A872" s="34"/>
      <c r="B872" s="16"/>
      <c r="C872" s="15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5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37"/>
      <c r="AO872" s="37"/>
      <c r="AP872" s="37"/>
      <c r="AQ872" s="37"/>
      <c r="AR872" s="37"/>
    </row>
    <row r="873" spans="1:44" ht="14.25" customHeight="1" x14ac:dyDescent="0.3">
      <c r="A873" s="34"/>
      <c r="B873" s="16"/>
      <c r="C873" s="15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5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37"/>
      <c r="AO873" s="37"/>
      <c r="AP873" s="37"/>
      <c r="AQ873" s="37"/>
      <c r="AR873" s="37"/>
    </row>
    <row r="874" spans="1:44" ht="14.25" customHeight="1" x14ac:dyDescent="0.3">
      <c r="A874" s="34"/>
      <c r="B874" s="16"/>
      <c r="C874" s="15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5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37"/>
      <c r="AO874" s="37"/>
      <c r="AP874" s="37"/>
      <c r="AQ874" s="37"/>
      <c r="AR874" s="37"/>
    </row>
    <row r="875" spans="1:44" ht="14.25" customHeight="1" x14ac:dyDescent="0.3">
      <c r="A875" s="34"/>
      <c r="B875" s="16"/>
      <c r="C875" s="15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5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37"/>
      <c r="AO875" s="37"/>
      <c r="AP875" s="37"/>
      <c r="AQ875" s="37"/>
      <c r="AR875" s="37"/>
    </row>
    <row r="876" spans="1:44" ht="14.25" customHeight="1" x14ac:dyDescent="0.3">
      <c r="A876" s="34"/>
      <c r="B876" s="16"/>
      <c r="C876" s="15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5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37"/>
      <c r="AO876" s="37"/>
      <c r="AP876" s="37"/>
      <c r="AQ876" s="37"/>
      <c r="AR876" s="37"/>
    </row>
    <row r="877" spans="1:44" ht="14.25" customHeight="1" x14ac:dyDescent="0.3">
      <c r="A877" s="34"/>
      <c r="B877" s="16"/>
      <c r="C877" s="15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5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37"/>
      <c r="AO877" s="37"/>
      <c r="AP877" s="37"/>
      <c r="AQ877" s="37"/>
      <c r="AR877" s="37"/>
    </row>
    <row r="878" spans="1:44" ht="14.25" customHeight="1" x14ac:dyDescent="0.3">
      <c r="A878" s="34"/>
      <c r="B878" s="16"/>
      <c r="C878" s="15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5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37"/>
      <c r="AO878" s="37"/>
      <c r="AP878" s="37"/>
      <c r="AQ878" s="37"/>
      <c r="AR878" s="37"/>
    </row>
    <row r="879" spans="1:44" ht="14.25" customHeight="1" x14ac:dyDescent="0.3">
      <c r="A879" s="34"/>
      <c r="B879" s="16"/>
      <c r="C879" s="15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5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37"/>
      <c r="AO879" s="37"/>
      <c r="AP879" s="37"/>
      <c r="AQ879" s="37"/>
      <c r="AR879" s="37"/>
    </row>
    <row r="880" spans="1:44" ht="14.25" customHeight="1" x14ac:dyDescent="0.3">
      <c r="A880" s="34"/>
      <c r="B880" s="16"/>
      <c r="C880" s="15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5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37"/>
      <c r="AO880" s="37"/>
      <c r="AP880" s="37"/>
      <c r="AQ880" s="37"/>
      <c r="AR880" s="37"/>
    </row>
    <row r="881" spans="1:44" ht="14.25" customHeight="1" x14ac:dyDescent="0.3">
      <c r="A881" s="34"/>
      <c r="B881" s="16"/>
      <c r="C881" s="15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5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37"/>
      <c r="AO881" s="37"/>
      <c r="AP881" s="37"/>
      <c r="AQ881" s="37"/>
      <c r="AR881" s="37"/>
    </row>
    <row r="882" spans="1:44" ht="14.25" customHeight="1" x14ac:dyDescent="0.3">
      <c r="A882" s="34"/>
      <c r="B882" s="16"/>
      <c r="C882" s="15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5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37"/>
      <c r="AO882" s="37"/>
      <c r="AP882" s="37"/>
      <c r="AQ882" s="37"/>
      <c r="AR882" s="37"/>
    </row>
    <row r="883" spans="1:44" ht="14.25" customHeight="1" x14ac:dyDescent="0.3">
      <c r="A883" s="34"/>
      <c r="B883" s="16"/>
      <c r="C883" s="15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5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37"/>
      <c r="AO883" s="37"/>
      <c r="AP883" s="37"/>
      <c r="AQ883" s="37"/>
      <c r="AR883" s="37"/>
    </row>
    <row r="884" spans="1:44" ht="14.25" customHeight="1" x14ac:dyDescent="0.3">
      <c r="A884" s="34"/>
      <c r="B884" s="16"/>
      <c r="C884" s="15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5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37"/>
      <c r="AO884" s="37"/>
      <c r="AP884" s="37"/>
      <c r="AQ884" s="37"/>
      <c r="AR884" s="37"/>
    </row>
    <row r="885" spans="1:44" ht="14.25" customHeight="1" x14ac:dyDescent="0.3">
      <c r="A885" s="34"/>
      <c r="B885" s="16"/>
      <c r="C885" s="15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5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37"/>
      <c r="AO885" s="37"/>
      <c r="AP885" s="37"/>
      <c r="AQ885" s="37"/>
      <c r="AR885" s="37"/>
    </row>
    <row r="886" spans="1:44" ht="14.25" customHeight="1" x14ac:dyDescent="0.3">
      <c r="A886" s="34"/>
      <c r="B886" s="16"/>
      <c r="C886" s="15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5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37"/>
      <c r="AO886" s="37"/>
      <c r="AP886" s="37"/>
      <c r="AQ886" s="37"/>
      <c r="AR886" s="37"/>
    </row>
    <row r="887" spans="1:44" ht="14.25" customHeight="1" x14ac:dyDescent="0.3">
      <c r="A887" s="34"/>
      <c r="B887" s="16"/>
      <c r="C887" s="15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5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37"/>
      <c r="AO887" s="37"/>
      <c r="AP887" s="37"/>
      <c r="AQ887" s="37"/>
      <c r="AR887" s="37"/>
    </row>
    <row r="888" spans="1:44" ht="14.25" customHeight="1" x14ac:dyDescent="0.3">
      <c r="A888" s="34"/>
      <c r="B888" s="16"/>
      <c r="C888" s="15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5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37"/>
      <c r="AO888" s="37"/>
      <c r="AP888" s="37"/>
      <c r="AQ888" s="37"/>
      <c r="AR888" s="37"/>
    </row>
    <row r="889" spans="1:44" ht="14.25" customHeight="1" x14ac:dyDescent="0.3">
      <c r="A889" s="34"/>
      <c r="B889" s="16"/>
      <c r="C889" s="15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5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37"/>
      <c r="AO889" s="37"/>
      <c r="AP889" s="37"/>
      <c r="AQ889" s="37"/>
      <c r="AR889" s="37"/>
    </row>
    <row r="890" spans="1:44" ht="14.25" customHeight="1" x14ac:dyDescent="0.3">
      <c r="A890" s="34"/>
      <c r="B890" s="16"/>
      <c r="C890" s="15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5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37"/>
      <c r="AO890" s="37"/>
      <c r="AP890" s="37"/>
      <c r="AQ890" s="37"/>
      <c r="AR890" s="37"/>
    </row>
    <row r="891" spans="1:44" ht="14.25" customHeight="1" x14ac:dyDescent="0.3">
      <c r="A891" s="34"/>
      <c r="B891" s="16"/>
      <c r="C891" s="15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5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37"/>
      <c r="AO891" s="37"/>
      <c r="AP891" s="37"/>
      <c r="AQ891" s="37"/>
      <c r="AR891" s="37"/>
    </row>
    <row r="892" spans="1:44" ht="14.25" customHeight="1" x14ac:dyDescent="0.3">
      <c r="A892" s="34"/>
      <c r="B892" s="16"/>
      <c r="C892" s="15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5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37"/>
      <c r="AO892" s="37"/>
      <c r="AP892" s="37"/>
      <c r="AQ892" s="37"/>
      <c r="AR892" s="37"/>
    </row>
    <row r="893" spans="1:44" ht="14.25" customHeight="1" x14ac:dyDescent="0.3">
      <c r="A893" s="34"/>
      <c r="B893" s="16"/>
      <c r="C893" s="15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5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37"/>
      <c r="AO893" s="37"/>
      <c r="AP893" s="37"/>
      <c r="AQ893" s="37"/>
      <c r="AR893" s="37"/>
    </row>
    <row r="894" spans="1:44" ht="14.25" customHeight="1" x14ac:dyDescent="0.3">
      <c r="A894" s="34"/>
      <c r="B894" s="16"/>
      <c r="C894" s="15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5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37"/>
      <c r="AO894" s="37"/>
      <c r="AP894" s="37"/>
      <c r="AQ894" s="37"/>
      <c r="AR894" s="37"/>
    </row>
    <row r="895" spans="1:44" ht="14.25" customHeight="1" x14ac:dyDescent="0.3">
      <c r="A895" s="34"/>
      <c r="B895" s="16"/>
      <c r="C895" s="15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5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37"/>
      <c r="AO895" s="37"/>
      <c r="AP895" s="37"/>
      <c r="AQ895" s="37"/>
      <c r="AR895" s="37"/>
    </row>
    <row r="896" spans="1:44" ht="14.25" customHeight="1" x14ac:dyDescent="0.3">
      <c r="A896" s="34"/>
      <c r="B896" s="16"/>
      <c r="C896" s="15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5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37"/>
      <c r="AO896" s="37"/>
      <c r="AP896" s="37"/>
      <c r="AQ896" s="37"/>
      <c r="AR896" s="37"/>
    </row>
    <row r="897" spans="1:44" ht="14.25" customHeight="1" x14ac:dyDescent="0.3">
      <c r="A897" s="34"/>
      <c r="B897" s="16"/>
      <c r="C897" s="15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5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37"/>
      <c r="AO897" s="37"/>
      <c r="AP897" s="37"/>
      <c r="AQ897" s="37"/>
      <c r="AR897" s="37"/>
    </row>
    <row r="898" spans="1:44" ht="14.25" customHeight="1" x14ac:dyDescent="0.3">
      <c r="A898" s="34"/>
      <c r="B898" s="16"/>
      <c r="C898" s="15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5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37"/>
      <c r="AO898" s="37"/>
      <c r="AP898" s="37"/>
      <c r="AQ898" s="37"/>
      <c r="AR898" s="37"/>
    </row>
    <row r="899" spans="1:44" ht="14.25" customHeight="1" x14ac:dyDescent="0.3">
      <c r="A899" s="34"/>
      <c r="B899" s="16"/>
      <c r="C899" s="15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5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37"/>
      <c r="AO899" s="37"/>
      <c r="AP899" s="37"/>
      <c r="AQ899" s="37"/>
      <c r="AR899" s="37"/>
    </row>
    <row r="900" spans="1:44" ht="14.25" customHeight="1" x14ac:dyDescent="0.3">
      <c r="A900" s="34"/>
      <c r="B900" s="16"/>
      <c r="C900" s="15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5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37"/>
      <c r="AO900" s="37"/>
      <c r="AP900" s="37"/>
      <c r="AQ900" s="37"/>
      <c r="AR900" s="37"/>
    </row>
    <row r="901" spans="1:44" ht="14.25" customHeight="1" x14ac:dyDescent="0.3">
      <c r="A901" s="34"/>
      <c r="B901" s="16"/>
      <c r="C901" s="15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5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37"/>
      <c r="AO901" s="37"/>
      <c r="AP901" s="37"/>
      <c r="AQ901" s="37"/>
      <c r="AR901" s="37"/>
    </row>
    <row r="902" spans="1:44" ht="14.25" customHeight="1" x14ac:dyDescent="0.3">
      <c r="A902" s="34"/>
      <c r="B902" s="16"/>
      <c r="C902" s="15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5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37"/>
      <c r="AO902" s="37"/>
      <c r="AP902" s="37"/>
      <c r="AQ902" s="37"/>
      <c r="AR902" s="37"/>
    </row>
    <row r="903" spans="1:44" ht="14.25" customHeight="1" x14ac:dyDescent="0.3">
      <c r="A903" s="34"/>
      <c r="B903" s="16"/>
      <c r="C903" s="15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5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37"/>
      <c r="AO903" s="37"/>
      <c r="AP903" s="37"/>
      <c r="AQ903" s="37"/>
      <c r="AR903" s="37"/>
    </row>
    <row r="904" spans="1:44" ht="14.25" customHeight="1" x14ac:dyDescent="0.3">
      <c r="A904" s="34"/>
      <c r="B904" s="16"/>
      <c r="C904" s="15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5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37"/>
      <c r="AO904" s="37"/>
      <c r="AP904" s="37"/>
      <c r="AQ904" s="37"/>
      <c r="AR904" s="37"/>
    </row>
    <row r="905" spans="1:44" ht="14.25" customHeight="1" x14ac:dyDescent="0.3">
      <c r="A905" s="34"/>
      <c r="B905" s="16"/>
      <c r="C905" s="15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5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37"/>
      <c r="AO905" s="37"/>
      <c r="AP905" s="37"/>
      <c r="AQ905" s="37"/>
      <c r="AR905" s="37"/>
    </row>
    <row r="906" spans="1:44" ht="14.25" customHeight="1" x14ac:dyDescent="0.3">
      <c r="A906" s="34"/>
      <c r="B906" s="16"/>
      <c r="C906" s="15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5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37"/>
      <c r="AO906" s="37"/>
      <c r="AP906" s="37"/>
      <c r="AQ906" s="37"/>
      <c r="AR906" s="37"/>
    </row>
    <row r="907" spans="1:44" ht="14.25" customHeight="1" x14ac:dyDescent="0.3">
      <c r="A907" s="34"/>
      <c r="B907" s="16"/>
      <c r="C907" s="15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5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37"/>
      <c r="AO907" s="37"/>
      <c r="AP907" s="37"/>
      <c r="AQ907" s="37"/>
      <c r="AR907" s="37"/>
    </row>
    <row r="908" spans="1:44" ht="14.25" customHeight="1" x14ac:dyDescent="0.3">
      <c r="A908" s="34"/>
      <c r="B908" s="16"/>
      <c r="C908" s="15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5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37"/>
      <c r="AO908" s="37"/>
      <c r="AP908" s="37"/>
      <c r="AQ908" s="37"/>
      <c r="AR908" s="37"/>
    </row>
    <row r="909" spans="1:44" ht="14.25" customHeight="1" x14ac:dyDescent="0.3">
      <c r="A909" s="34"/>
      <c r="B909" s="16"/>
      <c r="C909" s="15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5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37"/>
      <c r="AO909" s="37"/>
      <c r="AP909" s="37"/>
      <c r="AQ909" s="37"/>
      <c r="AR909" s="37"/>
    </row>
    <row r="910" spans="1:44" ht="14.25" customHeight="1" x14ac:dyDescent="0.3">
      <c r="A910" s="34"/>
      <c r="B910" s="16"/>
      <c r="C910" s="15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5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37"/>
      <c r="AO910" s="37"/>
      <c r="AP910" s="37"/>
      <c r="AQ910" s="37"/>
      <c r="AR910" s="37"/>
    </row>
    <row r="911" spans="1:44" ht="14.25" customHeight="1" x14ac:dyDescent="0.3">
      <c r="A911" s="34"/>
      <c r="B911" s="16"/>
      <c r="C911" s="15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5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37"/>
      <c r="AO911" s="37"/>
      <c r="AP911" s="37"/>
      <c r="AQ911" s="37"/>
      <c r="AR911" s="37"/>
    </row>
    <row r="912" spans="1:44" ht="14.25" customHeight="1" x14ac:dyDescent="0.3">
      <c r="A912" s="34"/>
      <c r="B912" s="16"/>
      <c r="C912" s="15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5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37"/>
      <c r="AO912" s="37"/>
      <c r="AP912" s="37"/>
      <c r="AQ912" s="37"/>
      <c r="AR912" s="37"/>
    </row>
    <row r="913" spans="1:44" ht="14.25" customHeight="1" x14ac:dyDescent="0.3">
      <c r="A913" s="34"/>
      <c r="B913" s="16"/>
      <c r="C913" s="15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5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37"/>
      <c r="AO913" s="37"/>
      <c r="AP913" s="37"/>
      <c r="AQ913" s="37"/>
      <c r="AR913" s="37"/>
    </row>
    <row r="914" spans="1:44" ht="14.25" customHeight="1" x14ac:dyDescent="0.3">
      <c r="A914" s="34"/>
      <c r="B914" s="16"/>
      <c r="C914" s="15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5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37"/>
      <c r="AO914" s="37"/>
      <c r="AP914" s="37"/>
      <c r="AQ914" s="37"/>
      <c r="AR914" s="37"/>
    </row>
    <row r="915" spans="1:44" ht="14.25" customHeight="1" x14ac:dyDescent="0.3">
      <c r="A915" s="34"/>
      <c r="B915" s="16"/>
      <c r="C915" s="15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5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37"/>
      <c r="AO915" s="37"/>
      <c r="AP915" s="37"/>
      <c r="AQ915" s="37"/>
      <c r="AR915" s="37"/>
    </row>
    <row r="916" spans="1:44" ht="14.25" customHeight="1" x14ac:dyDescent="0.3">
      <c r="A916" s="34"/>
      <c r="B916" s="16"/>
      <c r="C916" s="15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5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37"/>
      <c r="AO916" s="37"/>
      <c r="AP916" s="37"/>
      <c r="AQ916" s="37"/>
      <c r="AR916" s="37"/>
    </row>
    <row r="917" spans="1:44" ht="14.25" customHeight="1" x14ac:dyDescent="0.3">
      <c r="A917" s="34"/>
      <c r="B917" s="16"/>
      <c r="C917" s="15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5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37"/>
      <c r="AO917" s="37"/>
      <c r="AP917" s="37"/>
      <c r="AQ917" s="37"/>
      <c r="AR917" s="37"/>
    </row>
    <row r="918" spans="1:44" ht="14.25" customHeight="1" x14ac:dyDescent="0.3">
      <c r="A918" s="34"/>
      <c r="B918" s="16"/>
      <c r="C918" s="15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5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37"/>
      <c r="AO918" s="37"/>
      <c r="AP918" s="37"/>
      <c r="AQ918" s="37"/>
      <c r="AR918" s="37"/>
    </row>
    <row r="919" spans="1:44" ht="14.25" customHeight="1" x14ac:dyDescent="0.3">
      <c r="A919" s="34"/>
      <c r="B919" s="16"/>
      <c r="C919" s="15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5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37"/>
      <c r="AO919" s="37"/>
      <c r="AP919" s="37"/>
      <c r="AQ919" s="37"/>
      <c r="AR919" s="37"/>
    </row>
    <row r="920" spans="1:44" ht="14.25" customHeight="1" x14ac:dyDescent="0.3">
      <c r="A920" s="34"/>
      <c r="B920" s="16"/>
      <c r="C920" s="15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5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37"/>
      <c r="AO920" s="37"/>
      <c r="AP920" s="37"/>
      <c r="AQ920" s="37"/>
      <c r="AR920" s="37"/>
    </row>
    <row r="921" spans="1:44" ht="14.25" customHeight="1" x14ac:dyDescent="0.3">
      <c r="A921" s="34"/>
      <c r="B921" s="16"/>
      <c r="C921" s="15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5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37"/>
      <c r="AO921" s="37"/>
      <c r="AP921" s="37"/>
      <c r="AQ921" s="37"/>
      <c r="AR921" s="37"/>
    </row>
    <row r="922" spans="1:44" ht="14.25" customHeight="1" x14ac:dyDescent="0.3">
      <c r="A922" s="34"/>
      <c r="B922" s="16"/>
      <c r="C922" s="15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5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37"/>
      <c r="AO922" s="37"/>
      <c r="AP922" s="37"/>
      <c r="AQ922" s="37"/>
      <c r="AR922" s="37"/>
    </row>
    <row r="923" spans="1:44" ht="14.25" customHeight="1" x14ac:dyDescent="0.3">
      <c r="A923" s="34"/>
      <c r="B923" s="16"/>
      <c r="C923" s="15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5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37"/>
      <c r="AO923" s="37"/>
      <c r="AP923" s="37"/>
      <c r="AQ923" s="37"/>
      <c r="AR923" s="37"/>
    </row>
    <row r="924" spans="1:44" ht="14.25" customHeight="1" x14ac:dyDescent="0.3">
      <c r="A924" s="34"/>
      <c r="B924" s="16"/>
      <c r="C924" s="15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5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37"/>
      <c r="AO924" s="37"/>
      <c r="AP924" s="37"/>
      <c r="AQ924" s="37"/>
      <c r="AR924" s="37"/>
    </row>
    <row r="925" spans="1:44" ht="14.25" customHeight="1" x14ac:dyDescent="0.3">
      <c r="A925" s="34"/>
      <c r="B925" s="16"/>
      <c r="C925" s="15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5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37"/>
      <c r="AO925" s="37"/>
      <c r="AP925" s="37"/>
      <c r="AQ925" s="37"/>
      <c r="AR925" s="37"/>
    </row>
    <row r="926" spans="1:44" ht="14.25" customHeight="1" x14ac:dyDescent="0.3">
      <c r="A926" s="34"/>
      <c r="B926" s="16"/>
      <c r="C926" s="15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5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37"/>
      <c r="AO926" s="37"/>
      <c r="AP926" s="37"/>
      <c r="AQ926" s="37"/>
      <c r="AR926" s="37"/>
    </row>
    <row r="927" spans="1:44" ht="14.25" customHeight="1" x14ac:dyDescent="0.3">
      <c r="A927" s="34"/>
      <c r="B927" s="16"/>
      <c r="C927" s="15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5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37"/>
      <c r="AO927" s="37"/>
      <c r="AP927" s="37"/>
      <c r="AQ927" s="37"/>
      <c r="AR927" s="37"/>
    </row>
    <row r="928" spans="1:44" ht="14.25" customHeight="1" x14ac:dyDescent="0.3">
      <c r="A928" s="34"/>
      <c r="B928" s="16"/>
      <c r="C928" s="15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5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37"/>
      <c r="AO928" s="37"/>
      <c r="AP928" s="37"/>
      <c r="AQ928" s="37"/>
      <c r="AR928" s="37"/>
    </row>
    <row r="929" spans="1:44" ht="14.25" customHeight="1" x14ac:dyDescent="0.3">
      <c r="A929" s="34"/>
      <c r="B929" s="16"/>
      <c r="C929" s="15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5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37"/>
      <c r="AO929" s="37"/>
      <c r="AP929" s="37"/>
      <c r="AQ929" s="37"/>
      <c r="AR929" s="37"/>
    </row>
    <row r="930" spans="1:44" ht="14.25" customHeight="1" x14ac:dyDescent="0.3">
      <c r="A930" s="34"/>
      <c r="B930" s="16"/>
      <c r="C930" s="15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5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37"/>
      <c r="AO930" s="37"/>
      <c r="AP930" s="37"/>
      <c r="AQ930" s="37"/>
      <c r="AR930" s="37"/>
    </row>
    <row r="931" spans="1:44" ht="14.25" customHeight="1" x14ac:dyDescent="0.3">
      <c r="A931" s="34"/>
      <c r="B931" s="16"/>
      <c r="C931" s="15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5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37"/>
      <c r="AO931" s="37"/>
      <c r="AP931" s="37"/>
      <c r="AQ931" s="37"/>
      <c r="AR931" s="37"/>
    </row>
    <row r="932" spans="1:44" ht="14.25" customHeight="1" x14ac:dyDescent="0.3">
      <c r="A932" s="34"/>
      <c r="B932" s="16"/>
      <c r="C932" s="15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5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37"/>
      <c r="AO932" s="37"/>
      <c r="AP932" s="37"/>
      <c r="AQ932" s="37"/>
      <c r="AR932" s="37"/>
    </row>
    <row r="933" spans="1:44" ht="14.25" customHeight="1" x14ac:dyDescent="0.3">
      <c r="A933" s="34"/>
      <c r="B933" s="16"/>
      <c r="C933" s="15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5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37"/>
      <c r="AO933" s="37"/>
      <c r="AP933" s="37"/>
      <c r="AQ933" s="37"/>
      <c r="AR933" s="37"/>
    </row>
    <row r="934" spans="1:44" ht="14.25" customHeight="1" x14ac:dyDescent="0.3">
      <c r="A934" s="34"/>
      <c r="B934" s="16"/>
      <c r="C934" s="15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5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37"/>
      <c r="AO934" s="37"/>
      <c r="AP934" s="37"/>
      <c r="AQ934" s="37"/>
      <c r="AR934" s="37"/>
    </row>
    <row r="935" spans="1:44" ht="14.25" customHeight="1" x14ac:dyDescent="0.3">
      <c r="A935" s="34"/>
      <c r="B935" s="16"/>
      <c r="C935" s="15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5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37"/>
      <c r="AO935" s="37"/>
      <c r="AP935" s="37"/>
      <c r="AQ935" s="37"/>
      <c r="AR935" s="37"/>
    </row>
    <row r="936" spans="1:44" ht="14.25" customHeight="1" x14ac:dyDescent="0.3">
      <c r="A936" s="34"/>
      <c r="B936" s="16"/>
      <c r="C936" s="15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5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37"/>
      <c r="AO936" s="37"/>
      <c r="AP936" s="37"/>
      <c r="AQ936" s="37"/>
      <c r="AR936" s="37"/>
    </row>
    <row r="937" spans="1:44" ht="14.25" customHeight="1" x14ac:dyDescent="0.3">
      <c r="A937" s="34"/>
      <c r="B937" s="16"/>
      <c r="C937" s="15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5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37"/>
      <c r="AO937" s="37"/>
      <c r="AP937" s="37"/>
      <c r="AQ937" s="37"/>
      <c r="AR937" s="37"/>
    </row>
    <row r="938" spans="1:44" ht="14.25" customHeight="1" x14ac:dyDescent="0.3">
      <c r="A938" s="34"/>
      <c r="B938" s="16"/>
      <c r="C938" s="15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5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37"/>
      <c r="AO938" s="37"/>
      <c r="AP938" s="37"/>
      <c r="AQ938" s="37"/>
      <c r="AR938" s="37"/>
    </row>
    <row r="939" spans="1:44" ht="14.25" customHeight="1" x14ac:dyDescent="0.3">
      <c r="A939" s="34"/>
      <c r="B939" s="16"/>
      <c r="C939" s="15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5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37"/>
      <c r="AO939" s="37"/>
      <c r="AP939" s="37"/>
      <c r="AQ939" s="37"/>
      <c r="AR939" s="37"/>
    </row>
    <row r="940" spans="1:44" ht="14.25" customHeight="1" x14ac:dyDescent="0.3">
      <c r="A940" s="34"/>
      <c r="B940" s="16"/>
      <c r="C940" s="15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5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37"/>
      <c r="AO940" s="37"/>
      <c r="AP940" s="37"/>
      <c r="AQ940" s="37"/>
      <c r="AR940" s="37"/>
    </row>
    <row r="941" spans="1:44" ht="14.25" customHeight="1" x14ac:dyDescent="0.3">
      <c r="A941" s="34"/>
      <c r="B941" s="16"/>
      <c r="C941" s="15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5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37"/>
      <c r="AO941" s="37"/>
      <c r="AP941" s="37"/>
      <c r="AQ941" s="37"/>
      <c r="AR941" s="37"/>
    </row>
    <row r="942" spans="1:44" ht="14.25" customHeight="1" x14ac:dyDescent="0.3">
      <c r="A942" s="34"/>
      <c r="B942" s="16"/>
      <c r="C942" s="15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5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37"/>
      <c r="AO942" s="37"/>
      <c r="AP942" s="37"/>
      <c r="AQ942" s="37"/>
      <c r="AR942" s="37"/>
    </row>
    <row r="943" spans="1:44" ht="14.25" customHeight="1" x14ac:dyDescent="0.3">
      <c r="A943" s="34"/>
      <c r="B943" s="16"/>
      <c r="C943" s="15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5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37"/>
      <c r="AO943" s="37"/>
      <c r="AP943" s="37"/>
      <c r="AQ943" s="37"/>
      <c r="AR943" s="37"/>
    </row>
    <row r="944" spans="1:44" ht="14.25" customHeight="1" x14ac:dyDescent="0.3">
      <c r="A944" s="34"/>
      <c r="B944" s="16"/>
      <c r="C944" s="15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5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37"/>
      <c r="AO944" s="37"/>
      <c r="AP944" s="37"/>
      <c r="AQ944" s="37"/>
      <c r="AR944" s="37"/>
    </row>
    <row r="945" spans="1:44" ht="14.25" customHeight="1" x14ac:dyDescent="0.3">
      <c r="A945" s="34"/>
      <c r="B945" s="16"/>
      <c r="C945" s="15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5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37"/>
      <c r="AO945" s="37"/>
      <c r="AP945" s="37"/>
      <c r="AQ945" s="37"/>
      <c r="AR945" s="37"/>
    </row>
    <row r="946" spans="1:44" ht="14.25" customHeight="1" x14ac:dyDescent="0.3">
      <c r="A946" s="34"/>
      <c r="B946" s="16"/>
      <c r="C946" s="15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5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37"/>
      <c r="AO946" s="37"/>
      <c r="AP946" s="37"/>
      <c r="AQ946" s="37"/>
      <c r="AR946" s="37"/>
    </row>
    <row r="947" spans="1:44" ht="14.25" customHeight="1" x14ac:dyDescent="0.3">
      <c r="A947" s="34"/>
      <c r="B947" s="16"/>
      <c r="C947" s="15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5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37"/>
      <c r="AO947" s="37"/>
      <c r="AP947" s="37"/>
      <c r="AQ947" s="37"/>
      <c r="AR947" s="37"/>
    </row>
    <row r="948" spans="1:44" ht="14.25" customHeight="1" x14ac:dyDescent="0.3">
      <c r="A948" s="34"/>
      <c r="B948" s="16"/>
      <c r="C948" s="15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5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37"/>
      <c r="AO948" s="37"/>
      <c r="AP948" s="37"/>
      <c r="AQ948" s="37"/>
      <c r="AR948" s="37"/>
    </row>
    <row r="949" spans="1:44" ht="14.25" customHeight="1" x14ac:dyDescent="0.3">
      <c r="A949" s="34"/>
      <c r="B949" s="16"/>
      <c r="C949" s="15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5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37"/>
      <c r="AO949" s="37"/>
      <c r="AP949" s="37"/>
      <c r="AQ949" s="37"/>
      <c r="AR949" s="37"/>
    </row>
    <row r="950" spans="1:44" ht="14.25" customHeight="1" x14ac:dyDescent="0.3">
      <c r="A950" s="34"/>
      <c r="B950" s="16"/>
      <c r="C950" s="15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5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37"/>
      <c r="AO950" s="37"/>
      <c r="AP950" s="37"/>
      <c r="AQ950" s="37"/>
      <c r="AR950" s="37"/>
    </row>
    <row r="951" spans="1:44" ht="14.25" customHeight="1" x14ac:dyDescent="0.3">
      <c r="A951" s="34"/>
      <c r="B951" s="16"/>
      <c r="C951" s="15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5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37"/>
      <c r="AO951" s="37"/>
      <c r="AP951" s="37"/>
      <c r="AQ951" s="37"/>
      <c r="AR951" s="37"/>
    </row>
    <row r="952" spans="1:44" ht="14.25" customHeight="1" x14ac:dyDescent="0.3">
      <c r="A952" s="34"/>
      <c r="B952" s="16"/>
      <c r="C952" s="15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5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37"/>
      <c r="AO952" s="37"/>
      <c r="AP952" s="37"/>
      <c r="AQ952" s="37"/>
      <c r="AR952" s="37"/>
    </row>
    <row r="953" spans="1:44" ht="14.25" customHeight="1" x14ac:dyDescent="0.3">
      <c r="A953" s="34"/>
      <c r="B953" s="16"/>
      <c r="C953" s="15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5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37"/>
      <c r="AO953" s="37"/>
      <c r="AP953" s="37"/>
      <c r="AQ953" s="37"/>
      <c r="AR953" s="37"/>
    </row>
    <row r="954" spans="1:44" ht="14.25" customHeight="1" x14ac:dyDescent="0.3">
      <c r="A954" s="34"/>
      <c r="B954" s="16"/>
      <c r="C954" s="15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5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37"/>
      <c r="AO954" s="37"/>
      <c r="AP954" s="37"/>
      <c r="AQ954" s="37"/>
      <c r="AR954" s="37"/>
    </row>
    <row r="955" spans="1:44" ht="14.25" customHeight="1" x14ac:dyDescent="0.3">
      <c r="A955" s="34"/>
      <c r="B955" s="16"/>
      <c r="C955" s="15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5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37"/>
      <c r="AO955" s="37"/>
      <c r="AP955" s="37"/>
      <c r="AQ955" s="37"/>
      <c r="AR955" s="37"/>
    </row>
    <row r="956" spans="1:44" ht="14.25" customHeight="1" x14ac:dyDescent="0.3">
      <c r="A956" s="34"/>
      <c r="B956" s="16"/>
      <c r="C956" s="15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5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37"/>
      <c r="AO956" s="37"/>
      <c r="AP956" s="37"/>
      <c r="AQ956" s="37"/>
      <c r="AR956" s="37"/>
    </row>
    <row r="957" spans="1:44" ht="14.25" customHeight="1" x14ac:dyDescent="0.3">
      <c r="A957" s="34"/>
      <c r="B957" s="16"/>
      <c r="C957" s="15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5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37"/>
      <c r="AO957" s="37"/>
      <c r="AP957" s="37"/>
      <c r="AQ957" s="37"/>
      <c r="AR957" s="37"/>
    </row>
    <row r="958" spans="1:44" ht="14.25" customHeight="1" x14ac:dyDescent="0.3">
      <c r="A958" s="34"/>
      <c r="B958" s="16"/>
      <c r="C958" s="15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5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37"/>
      <c r="AO958" s="37"/>
      <c r="AP958" s="37"/>
      <c r="AQ958" s="37"/>
      <c r="AR958" s="37"/>
    </row>
    <row r="959" spans="1:44" ht="14.25" customHeight="1" x14ac:dyDescent="0.3">
      <c r="A959" s="34"/>
      <c r="B959" s="16"/>
      <c r="C959" s="15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5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37"/>
      <c r="AO959" s="37"/>
      <c r="AP959" s="37"/>
      <c r="AQ959" s="37"/>
      <c r="AR959" s="37"/>
    </row>
    <row r="960" spans="1:44" ht="14.25" customHeight="1" x14ac:dyDescent="0.3">
      <c r="A960" s="34"/>
      <c r="B960" s="16"/>
      <c r="C960" s="15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5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37"/>
      <c r="AO960" s="37"/>
      <c r="AP960" s="37"/>
      <c r="AQ960" s="37"/>
      <c r="AR960" s="37"/>
    </row>
    <row r="961" spans="1:44" ht="14.25" customHeight="1" x14ac:dyDescent="0.3">
      <c r="A961" s="34"/>
      <c r="B961" s="16"/>
      <c r="C961" s="15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5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37"/>
      <c r="AO961" s="37"/>
      <c r="AP961" s="37"/>
      <c r="AQ961" s="37"/>
      <c r="AR961" s="37"/>
    </row>
    <row r="962" spans="1:44" ht="14.25" customHeight="1" x14ac:dyDescent="0.3">
      <c r="A962" s="34"/>
      <c r="B962" s="16"/>
      <c r="C962" s="15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5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37"/>
      <c r="AO962" s="37"/>
      <c r="AP962" s="37"/>
      <c r="AQ962" s="37"/>
      <c r="AR962" s="37"/>
    </row>
    <row r="963" spans="1:44" ht="14.25" customHeight="1" x14ac:dyDescent="0.3">
      <c r="A963" s="34"/>
      <c r="B963" s="16"/>
      <c r="C963" s="15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5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37"/>
      <c r="AO963" s="37"/>
      <c r="AP963" s="37"/>
      <c r="AQ963" s="37"/>
      <c r="AR963" s="37"/>
    </row>
    <row r="964" spans="1:44" ht="14.25" customHeight="1" x14ac:dyDescent="0.3">
      <c r="A964" s="34"/>
      <c r="B964" s="16"/>
      <c r="C964" s="15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5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37"/>
      <c r="AO964" s="37"/>
      <c r="AP964" s="37"/>
      <c r="AQ964" s="37"/>
      <c r="AR964" s="37"/>
    </row>
    <row r="965" spans="1:44" ht="14.25" customHeight="1" x14ac:dyDescent="0.3">
      <c r="A965" s="34"/>
      <c r="B965" s="16"/>
      <c r="C965" s="15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5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37"/>
      <c r="AO965" s="37"/>
      <c r="AP965" s="37"/>
      <c r="AQ965" s="37"/>
      <c r="AR965" s="37"/>
    </row>
    <row r="966" spans="1:44" ht="14.25" customHeight="1" x14ac:dyDescent="0.3">
      <c r="A966" s="34"/>
      <c r="B966" s="16"/>
      <c r="C966" s="15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5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37"/>
      <c r="AO966" s="37"/>
      <c r="AP966" s="37"/>
      <c r="AQ966" s="37"/>
      <c r="AR966" s="37"/>
    </row>
    <row r="967" spans="1:44" ht="14.25" customHeight="1" x14ac:dyDescent="0.3">
      <c r="A967" s="34"/>
      <c r="B967" s="16"/>
      <c r="C967" s="15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5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37"/>
      <c r="AO967" s="37"/>
      <c r="AP967" s="37"/>
      <c r="AQ967" s="37"/>
      <c r="AR967" s="37"/>
    </row>
    <row r="968" spans="1:44" ht="14.25" customHeight="1" x14ac:dyDescent="0.3">
      <c r="A968" s="34"/>
      <c r="B968" s="16"/>
      <c r="C968" s="15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5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37"/>
      <c r="AO968" s="37"/>
      <c r="AP968" s="37"/>
      <c r="AQ968" s="37"/>
      <c r="AR968" s="37"/>
    </row>
    <row r="969" spans="1:44" ht="14.25" customHeight="1" x14ac:dyDescent="0.3">
      <c r="A969" s="34"/>
      <c r="B969" s="16"/>
      <c r="C969" s="15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5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37"/>
      <c r="AO969" s="37"/>
      <c r="AP969" s="37"/>
      <c r="AQ969" s="37"/>
      <c r="AR969" s="37"/>
    </row>
    <row r="970" spans="1:44" ht="14.25" customHeight="1" x14ac:dyDescent="0.3">
      <c r="A970" s="34"/>
      <c r="B970" s="16"/>
      <c r="C970" s="15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5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37"/>
      <c r="AO970" s="37"/>
      <c r="AP970" s="37"/>
      <c r="AQ970" s="37"/>
      <c r="AR970" s="37"/>
    </row>
    <row r="971" spans="1:44" ht="14.25" customHeight="1" x14ac:dyDescent="0.3">
      <c r="A971" s="34"/>
      <c r="B971" s="16"/>
      <c r="C971" s="15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5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37"/>
      <c r="AO971" s="37"/>
      <c r="AP971" s="37"/>
      <c r="AQ971" s="37"/>
      <c r="AR971" s="37"/>
    </row>
    <row r="972" spans="1:44" ht="14.25" customHeight="1" x14ac:dyDescent="0.3">
      <c r="A972" s="34"/>
      <c r="B972" s="16"/>
      <c r="C972" s="15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5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37"/>
      <c r="AO972" s="37"/>
      <c r="AP972" s="37"/>
      <c r="AQ972" s="37"/>
      <c r="AR972" s="37"/>
    </row>
    <row r="973" spans="1:44" ht="14.25" customHeight="1" x14ac:dyDescent="0.3">
      <c r="A973" s="34"/>
      <c r="B973" s="16"/>
      <c r="C973" s="15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5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37"/>
      <c r="AO973" s="37"/>
      <c r="AP973" s="37"/>
      <c r="AQ973" s="37"/>
      <c r="AR973" s="37"/>
    </row>
    <row r="974" spans="1:44" ht="14.25" customHeight="1" x14ac:dyDescent="0.3">
      <c r="A974" s="34"/>
      <c r="B974" s="16"/>
      <c r="C974" s="15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5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37"/>
      <c r="AO974" s="37"/>
      <c r="AP974" s="37"/>
      <c r="AQ974" s="37"/>
      <c r="AR974" s="37"/>
    </row>
    <row r="975" spans="1:44" ht="14.25" customHeight="1" x14ac:dyDescent="0.3">
      <c r="A975" s="34"/>
      <c r="B975" s="16"/>
      <c r="C975" s="15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5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37"/>
      <c r="AO975" s="37"/>
      <c r="AP975" s="37"/>
      <c r="AQ975" s="37"/>
      <c r="AR975" s="37"/>
    </row>
    <row r="976" spans="1:44" ht="14.25" customHeight="1" x14ac:dyDescent="0.3">
      <c r="A976" s="34"/>
      <c r="B976" s="16"/>
      <c r="C976" s="15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5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37"/>
      <c r="AO976" s="37"/>
      <c r="AP976" s="37"/>
      <c r="AQ976" s="37"/>
      <c r="AR976" s="37"/>
    </row>
    <row r="977" spans="1:44" ht="14.25" customHeight="1" x14ac:dyDescent="0.3">
      <c r="A977" s="34"/>
      <c r="B977" s="16"/>
      <c r="C977" s="15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5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37"/>
      <c r="AO977" s="37"/>
      <c r="AP977" s="37"/>
      <c r="AQ977" s="37"/>
      <c r="AR977" s="37"/>
    </row>
    <row r="978" spans="1:44" ht="14.25" customHeight="1" x14ac:dyDescent="0.3">
      <c r="A978" s="34"/>
      <c r="B978" s="16"/>
      <c r="C978" s="15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5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37"/>
      <c r="AO978" s="37"/>
      <c r="AP978" s="37"/>
      <c r="AQ978" s="37"/>
      <c r="AR978" s="37"/>
    </row>
    <row r="979" spans="1:44" ht="14.25" customHeight="1" x14ac:dyDescent="0.3">
      <c r="A979" s="34"/>
      <c r="B979" s="16"/>
      <c r="C979" s="15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5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37"/>
      <c r="AO979" s="37"/>
      <c r="AP979" s="37"/>
      <c r="AQ979" s="37"/>
      <c r="AR979" s="37"/>
    </row>
    <row r="980" spans="1:44" ht="14.25" customHeight="1" x14ac:dyDescent="0.3">
      <c r="A980" s="34"/>
      <c r="B980" s="16"/>
      <c r="C980" s="15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5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37"/>
      <c r="AO980" s="37"/>
      <c r="AP980" s="37"/>
      <c r="AQ980" s="37"/>
      <c r="AR980" s="37"/>
    </row>
    <row r="981" spans="1:44" ht="14.25" customHeight="1" x14ac:dyDescent="0.3">
      <c r="A981" s="34"/>
      <c r="B981" s="16"/>
      <c r="C981" s="15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5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37"/>
      <c r="AO981" s="37"/>
      <c r="AP981" s="37"/>
      <c r="AQ981" s="37"/>
      <c r="AR981" s="37"/>
    </row>
    <row r="982" spans="1:44" ht="14.25" customHeight="1" x14ac:dyDescent="0.3">
      <c r="A982" s="34"/>
      <c r="B982" s="16"/>
      <c r="C982" s="15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5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37"/>
      <c r="AO982" s="37"/>
      <c r="AP982" s="37"/>
      <c r="AQ982" s="37"/>
      <c r="AR982" s="37"/>
    </row>
    <row r="983" spans="1:44" ht="14.25" customHeight="1" x14ac:dyDescent="0.3">
      <c r="A983" s="34"/>
      <c r="B983" s="16"/>
      <c r="C983" s="15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5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37"/>
      <c r="AO983" s="37"/>
      <c r="AP983" s="37"/>
      <c r="AQ983" s="37"/>
      <c r="AR983" s="37"/>
    </row>
    <row r="984" spans="1:44" ht="14.25" customHeight="1" x14ac:dyDescent="0.3">
      <c r="A984" s="34"/>
      <c r="B984" s="16"/>
      <c r="C984" s="15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5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37"/>
      <c r="AO984" s="37"/>
      <c r="AP984" s="37"/>
      <c r="AQ984" s="37"/>
      <c r="AR984" s="37"/>
    </row>
    <row r="985" spans="1:44" ht="14.25" customHeight="1" x14ac:dyDescent="0.3">
      <c r="A985" s="34"/>
      <c r="B985" s="16"/>
      <c r="C985" s="15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5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37"/>
      <c r="AO985" s="37"/>
      <c r="AP985" s="37"/>
      <c r="AQ985" s="37"/>
      <c r="AR985" s="37"/>
    </row>
    <row r="986" spans="1:44" ht="14.25" customHeight="1" x14ac:dyDescent="0.3">
      <c r="A986" s="34"/>
      <c r="B986" s="16"/>
      <c r="C986" s="15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5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37"/>
      <c r="AO986" s="37"/>
      <c r="AP986" s="37"/>
      <c r="AQ986" s="37"/>
      <c r="AR986" s="37"/>
    </row>
    <row r="987" spans="1:44" ht="14.25" customHeight="1" x14ac:dyDescent="0.3">
      <c r="A987" s="34"/>
      <c r="B987" s="16"/>
      <c r="C987" s="15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5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37"/>
      <c r="AO987" s="37"/>
      <c r="AP987" s="37"/>
      <c r="AQ987" s="37"/>
      <c r="AR987" s="37"/>
    </row>
    <row r="988" spans="1:44" ht="14.25" customHeight="1" x14ac:dyDescent="0.3">
      <c r="A988" s="34"/>
      <c r="B988" s="16"/>
      <c r="C988" s="15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5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37"/>
      <c r="AO988" s="37"/>
      <c r="AP988" s="37"/>
      <c r="AQ988" s="37"/>
      <c r="AR988" s="37"/>
    </row>
    <row r="989" spans="1:44" ht="14.25" customHeight="1" x14ac:dyDescent="0.3">
      <c r="A989" s="34"/>
      <c r="B989" s="16"/>
      <c r="C989" s="15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5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37"/>
      <c r="AO989" s="37"/>
      <c r="AP989" s="37"/>
      <c r="AQ989" s="37"/>
      <c r="AR989" s="37"/>
    </row>
    <row r="990" spans="1:44" ht="14.25" customHeight="1" x14ac:dyDescent="0.3">
      <c r="A990" s="34"/>
      <c r="B990" s="16"/>
      <c r="C990" s="15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5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37"/>
      <c r="AO990" s="37"/>
      <c r="AP990" s="37"/>
      <c r="AQ990" s="37"/>
      <c r="AR990" s="37"/>
    </row>
    <row r="991" spans="1:44" ht="14.25" customHeight="1" x14ac:dyDescent="0.3">
      <c r="A991" s="34"/>
      <c r="B991" s="16"/>
      <c r="C991" s="15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5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37"/>
      <c r="AO991" s="37"/>
      <c r="AP991" s="37"/>
      <c r="AQ991" s="37"/>
      <c r="AR991" s="37"/>
    </row>
    <row r="992" spans="1:44" ht="14.25" customHeight="1" x14ac:dyDescent="0.3">
      <c r="A992" s="34"/>
      <c r="B992" s="16"/>
      <c r="C992" s="15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5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37"/>
      <c r="AO992" s="37"/>
      <c r="AP992" s="37"/>
      <c r="AQ992" s="37"/>
      <c r="AR992" s="37"/>
    </row>
    <row r="993" spans="1:44" ht="14.25" customHeight="1" x14ac:dyDescent="0.3">
      <c r="A993" s="34"/>
      <c r="B993" s="16"/>
      <c r="C993" s="15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5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37"/>
      <c r="AO993" s="37"/>
      <c r="AP993" s="37"/>
      <c r="AQ993" s="37"/>
      <c r="AR993" s="37"/>
    </row>
    <row r="994" spans="1:44" ht="14.25" customHeight="1" x14ac:dyDescent="0.3">
      <c r="A994" s="34"/>
      <c r="B994" s="16"/>
      <c r="C994" s="15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5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37"/>
      <c r="AO994" s="37"/>
      <c r="AP994" s="37"/>
      <c r="AQ994" s="37"/>
      <c r="AR994" s="37"/>
    </row>
    <row r="995" spans="1:44" ht="14.25" customHeight="1" x14ac:dyDescent="0.3">
      <c r="A995" s="34"/>
      <c r="B995" s="16"/>
      <c r="C995" s="15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5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37"/>
      <c r="AO995" s="37"/>
      <c r="AP995" s="37"/>
      <c r="AQ995" s="37"/>
      <c r="AR995" s="37"/>
    </row>
    <row r="996" spans="1:44" ht="14.25" customHeight="1" x14ac:dyDescent="0.3">
      <c r="A996" s="34"/>
      <c r="B996" s="16"/>
      <c r="C996" s="15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5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37"/>
      <c r="AO996" s="37"/>
      <c r="AP996" s="37"/>
      <c r="AQ996" s="37"/>
      <c r="AR996" s="37"/>
    </row>
    <row r="997" spans="1:44" ht="14.25" customHeight="1" x14ac:dyDescent="0.3">
      <c r="A997" s="34"/>
      <c r="B997" s="16"/>
      <c r="C997" s="15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5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37"/>
      <c r="AO997" s="37"/>
      <c r="AP997" s="37"/>
      <c r="AQ997" s="37"/>
      <c r="AR997" s="37"/>
    </row>
    <row r="998" spans="1:44" ht="14.25" customHeight="1" x14ac:dyDescent="0.3">
      <c r="A998" s="34"/>
      <c r="B998" s="16"/>
      <c r="C998" s="15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5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37"/>
      <c r="AO998" s="37"/>
      <c r="AP998" s="37"/>
      <c r="AQ998" s="37"/>
      <c r="AR998" s="37"/>
    </row>
    <row r="999" spans="1:44" ht="14.25" customHeight="1" x14ac:dyDescent="0.3">
      <c r="A999" s="34"/>
      <c r="B999" s="16"/>
      <c r="C999" s="15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5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37"/>
      <c r="AO999" s="37"/>
      <c r="AP999" s="37"/>
      <c r="AQ999" s="37"/>
      <c r="AR999" s="37"/>
    </row>
    <row r="1000" spans="1:44" ht="14.25" customHeight="1" x14ac:dyDescent="0.3">
      <c r="A1000" s="34"/>
      <c r="B1000" s="16"/>
      <c r="C1000" s="15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5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37"/>
      <c r="AO1000" s="37"/>
      <c r="AP1000" s="37"/>
      <c r="AQ1000" s="37"/>
      <c r="AR1000" s="37"/>
    </row>
  </sheetData>
  <mergeCells count="57">
    <mergeCell ref="U7:V7"/>
    <mergeCell ref="W7:X7"/>
    <mergeCell ref="AA8:AB8"/>
    <mergeCell ref="AD8:AE8"/>
    <mergeCell ref="AF6:AG7"/>
    <mergeCell ref="AF8:AG8"/>
    <mergeCell ref="AD6:AE7"/>
    <mergeCell ref="AC7:AC8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  <mergeCell ref="AG83:AO83"/>
    <mergeCell ref="AG84:AO84"/>
    <mergeCell ref="AG87:AO87"/>
    <mergeCell ref="AG88:AO88"/>
    <mergeCell ref="AN6:AN8"/>
    <mergeCell ref="AO6:AO8"/>
    <mergeCell ref="AH6:AI7"/>
    <mergeCell ref="AJ6:AJ8"/>
    <mergeCell ref="AK6:AK8"/>
    <mergeCell ref="AL6:AL8"/>
    <mergeCell ref="AM6:AM8"/>
    <mergeCell ref="AH8:AI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O1"/>
    <mergeCell ref="E2:M2"/>
    <mergeCell ref="P2:Q2"/>
    <mergeCell ref="R2:AC2"/>
    <mergeCell ref="E3:M3"/>
    <mergeCell ref="R3:Z3"/>
  </mergeCells>
  <conditionalFormatting sqref="D9:D79 F9:F79 H9:H79 J9:K79 M9:M79 O9:O79 Q9:Q79 S9:T79 V9:V79 X9:X79 Z9:Z79 AB9:AC79 AE9:AE79 AG9:AG79 AI9:AN79">
    <cfRule type="cellIs" dxfId="26" priority="1" operator="greaterThan">
      <formula>3</formula>
    </cfRule>
  </conditionalFormatting>
  <conditionalFormatting sqref="D9:D79 F9:F79 H9:H79 J9:K79 M9:M79 O9:O79 Q9:Q79 S9:T79 V9:V79 X9:X79 Z9:Z79 AB9:AC79 AE9:AE79 AG9:AG79 AI9:AN79">
    <cfRule type="cellIs" dxfId="25" priority="2" operator="greaterThan">
      <formula>3</formula>
    </cfRule>
  </conditionalFormatting>
  <conditionalFormatting sqref="AO9:AO79">
    <cfRule type="cellIs" dxfId="24" priority="3" operator="greaterThan">
      <formula>3</formula>
    </cfRule>
  </conditionalFormatting>
  <conditionalFormatting sqref="AO9:AO79">
    <cfRule type="cellIs" dxfId="23" priority="4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Z1001"/>
  <sheetViews>
    <sheetView workbookViewId="0">
      <pane ySplit="6" topLeftCell="A7" activePane="bottomLeft" state="frozen"/>
      <selection pane="bottomLeft" activeCell="I11" sqref="I11"/>
    </sheetView>
  </sheetViews>
  <sheetFormatPr defaultColWidth="14.44140625" defaultRowHeight="15" customHeight="1" x14ac:dyDescent="0.3"/>
  <cols>
    <col min="1" max="1" width="8.88671875" customWidth="1"/>
    <col min="2" max="2" width="43.33203125" customWidth="1"/>
    <col min="3" max="5" width="7.33203125" customWidth="1"/>
    <col min="6" max="6" width="6.33203125" customWidth="1"/>
    <col min="7" max="7" width="9.33203125" customWidth="1"/>
    <col min="8" max="26" width="8" customWidth="1"/>
  </cols>
  <sheetData>
    <row r="1" spans="1:26" ht="15" customHeight="1" x14ac:dyDescent="0.3">
      <c r="A1" s="62" t="s">
        <v>46</v>
      </c>
      <c r="B1" s="63" t="str">
        <f>IF(Settings!$B$7&lt;&gt;0,Settings!$B$7,"")</f>
        <v/>
      </c>
      <c r="C1" s="64"/>
      <c r="D1" s="62" t="s">
        <v>21</v>
      </c>
      <c r="E1" s="309" t="str">
        <f>IF(Settings!$H$1&lt;&gt;0,Settings!$H$1,"")</f>
        <v/>
      </c>
      <c r="F1" s="274"/>
      <c r="G1" s="63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1:26" ht="15" customHeight="1" x14ac:dyDescent="0.3">
      <c r="A2" s="62" t="s">
        <v>4</v>
      </c>
      <c r="B2" s="63" t="str">
        <f>IF(Settings!$H$2&lt;&gt;0,Settings!$H$2,"")</f>
        <v/>
      </c>
      <c r="C2" s="64"/>
      <c r="D2" s="62" t="s">
        <v>5</v>
      </c>
      <c r="E2" s="310" t="str">
        <f>IF(Settings!$H$3&lt;&gt;0,Settings!$H$3,"")</f>
        <v/>
      </c>
      <c r="F2" s="234"/>
      <c r="G2" s="65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26" ht="15" customHeight="1" x14ac:dyDescent="0.3">
      <c r="A3" s="62" t="s">
        <v>26</v>
      </c>
      <c r="B3" s="63" t="str">
        <f>IF(Settings!$B$4&lt;&gt;0,Settings!$B$4,"")</f>
        <v/>
      </c>
      <c r="C3" s="64"/>
      <c r="D3" s="62" t="s">
        <v>25</v>
      </c>
      <c r="E3" s="66" t="str">
        <f>IF(Settings!$B$6&lt;&gt;0,Settings!$B$6,"")</f>
        <v/>
      </c>
      <c r="F3" s="66"/>
      <c r="G3" s="66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26" ht="15" customHeight="1" x14ac:dyDescent="0.3">
      <c r="A4" s="62" t="s">
        <v>47</v>
      </c>
      <c r="B4" s="311" t="str">
        <f>IF(Settings!$B$7&lt;&gt;0,Settings!$B$7,"")</f>
        <v/>
      </c>
      <c r="C4" s="312"/>
      <c r="D4" s="312"/>
      <c r="E4" s="312"/>
      <c r="F4" s="312"/>
      <c r="G4" s="312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</row>
    <row r="5" spans="1:26" ht="15" customHeight="1" x14ac:dyDescent="0.3">
      <c r="A5" s="313" t="s">
        <v>48</v>
      </c>
      <c r="B5" s="241"/>
      <c r="C5" s="241"/>
      <c r="D5" s="241"/>
      <c r="E5" s="241"/>
      <c r="F5" s="241"/>
      <c r="G5" s="241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26" ht="15" customHeight="1" x14ac:dyDescent="0.3">
      <c r="A6" s="68" t="s">
        <v>32</v>
      </c>
      <c r="B6" s="68" t="s">
        <v>34</v>
      </c>
      <c r="C6" s="68" t="s">
        <v>38</v>
      </c>
      <c r="D6" s="68" t="s">
        <v>39</v>
      </c>
      <c r="E6" s="68" t="s">
        <v>49</v>
      </c>
      <c r="F6" s="68" t="s">
        <v>41</v>
      </c>
      <c r="G6" s="68" t="s">
        <v>50</v>
      </c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ht="15" customHeight="1" x14ac:dyDescent="0.3">
      <c r="A7" s="69"/>
      <c r="B7" s="70"/>
      <c r="C7" s="71" t="str">
        <f>IF(Prelim!AJ10&lt;&gt;"",Prelim!AJ10,"")</f>
        <v/>
      </c>
      <c r="D7" s="72" t="str">
        <f>IF(Midterm!AL10&lt;&gt;"",Midterm!AL10,"")</f>
        <v/>
      </c>
      <c r="E7" s="72" t="str">
        <f>IF(SemiFinal!AM10&lt;&gt;"",SemiFinal!AM10,"")</f>
        <v/>
      </c>
      <c r="F7" s="72" t="str">
        <f>IF(Final!AN10&lt;&gt;"",IF(Final!AN10&lt;=3.05,Final!AN10,5),"")</f>
        <v/>
      </c>
      <c r="G7" s="72" t="str">
        <f t="shared" ref="G7:G56" si="0">IF(F7&lt;&gt;"",IF(F7&lt;=3.05,"PASSED","FAILED"),"")</f>
        <v/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</row>
    <row r="8" spans="1:26" ht="15" customHeight="1" x14ac:dyDescent="0.3">
      <c r="A8" s="69"/>
      <c r="B8" s="70"/>
      <c r="C8" s="71" t="str">
        <f>IF(Prelim!AJ11&lt;&gt;"",Prelim!AJ11,"")</f>
        <v/>
      </c>
      <c r="D8" s="72" t="str">
        <f>IF(Midterm!AL11&lt;&gt;"",Midterm!AL11,"")</f>
        <v/>
      </c>
      <c r="E8" s="72" t="str">
        <f>IF(SemiFinal!AM11&lt;&gt;"",SemiFinal!AM11,"")</f>
        <v/>
      </c>
      <c r="F8" s="72" t="str">
        <f>IF(Final!AN11&lt;&gt;"",IF(Final!AN11&lt;=3.05,Final!AN11,5),"")</f>
        <v/>
      </c>
      <c r="G8" s="72" t="str">
        <f t="shared" si="0"/>
        <v/>
      </c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</row>
    <row r="9" spans="1:26" ht="15" customHeight="1" x14ac:dyDescent="0.3">
      <c r="A9" s="69"/>
      <c r="B9" s="70"/>
      <c r="C9" s="71" t="str">
        <f>IF(Prelim!AJ12&lt;&gt;"",Prelim!AJ12,"")</f>
        <v/>
      </c>
      <c r="D9" s="72" t="str">
        <f>IF(Midterm!AL12&lt;&gt;"",Midterm!AL12,"")</f>
        <v/>
      </c>
      <c r="E9" s="72" t="str">
        <f>IF(SemiFinal!AM12&lt;&gt;"",SemiFinal!AM12,"")</f>
        <v/>
      </c>
      <c r="F9" s="72" t="str">
        <f>IF(Final!AN12&lt;&gt;"",IF(Final!AN12&lt;=3.05,Final!AN12,5),"")</f>
        <v/>
      </c>
      <c r="G9" s="72" t="str">
        <f t="shared" si="0"/>
        <v/>
      </c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26" ht="15" customHeight="1" x14ac:dyDescent="0.3">
      <c r="A10" s="69"/>
      <c r="B10" s="70"/>
      <c r="C10" s="71" t="str">
        <f>IF(Prelim!AJ13&lt;&gt;"",Prelim!AJ13,"")</f>
        <v/>
      </c>
      <c r="D10" s="72" t="str">
        <f>IF(Midterm!AL13&lt;&gt;"",Midterm!AL13,"")</f>
        <v/>
      </c>
      <c r="E10" s="72" t="str">
        <f>IF(SemiFinal!AM13&lt;&gt;"",SemiFinal!AM13,"")</f>
        <v/>
      </c>
      <c r="F10" s="72" t="str">
        <f>IF(Final!AN13&lt;&gt;"",IF(Final!AN13&lt;=3.05,Final!AN13,5),"")</f>
        <v/>
      </c>
      <c r="G10" s="72" t="str">
        <f t="shared" si="0"/>
        <v/>
      </c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26" ht="15" customHeight="1" x14ac:dyDescent="0.3">
      <c r="A11" s="73"/>
      <c r="B11" s="70"/>
      <c r="C11" s="74" t="str">
        <f>IF(Prelim!AJ14&lt;&gt;"",Prelim!AJ14,"")</f>
        <v/>
      </c>
      <c r="D11" s="75" t="str">
        <f>IF(Midterm!AL14&lt;&gt;"",Midterm!AL14,"")</f>
        <v/>
      </c>
      <c r="E11" s="75" t="str">
        <f>IF(SemiFinal!AM14&lt;&gt;"",SemiFinal!AM14,"")</f>
        <v/>
      </c>
      <c r="F11" s="75" t="str">
        <f>IF(Final!AN14&lt;&gt;"",IF(Final!AN14&lt;=3.05,Final!AN14,5),"")</f>
        <v/>
      </c>
      <c r="G11" s="75" t="str">
        <f t="shared" si="0"/>
        <v/>
      </c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26" ht="15" customHeight="1" x14ac:dyDescent="0.3">
      <c r="A12" s="76"/>
      <c r="B12" s="70"/>
      <c r="C12" s="77" t="str">
        <f>IF(Prelim!AJ15&lt;&gt;"",Prelim!AJ15,"")</f>
        <v/>
      </c>
      <c r="D12" s="78" t="str">
        <f>IF(Midterm!AL15&lt;&gt;"",Midterm!AL15,"")</f>
        <v/>
      </c>
      <c r="E12" s="78" t="str">
        <f>IF(SemiFinal!AM15&lt;&gt;"",SemiFinal!AM15,"")</f>
        <v/>
      </c>
      <c r="F12" s="78" t="str">
        <f>IF(Final!AN15&lt;&gt;"",IF(Final!AN15&lt;=3.05,Final!AN15,5),"")</f>
        <v/>
      </c>
      <c r="G12" s="78" t="str">
        <f t="shared" si="0"/>
        <v/>
      </c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26" ht="15" customHeight="1" x14ac:dyDescent="0.3">
      <c r="A13" s="69"/>
      <c r="B13" s="70"/>
      <c r="C13" s="71" t="str">
        <f>IF(Prelim!AJ16&lt;&gt;"",Prelim!AJ16,"")</f>
        <v/>
      </c>
      <c r="D13" s="72" t="str">
        <f>IF(Midterm!AL16&lt;&gt;"",Midterm!AL16,"")</f>
        <v/>
      </c>
      <c r="E13" s="72" t="str">
        <f>IF(SemiFinal!AM16&lt;&gt;"",SemiFinal!AM16,"")</f>
        <v/>
      </c>
      <c r="F13" s="72" t="str">
        <f>IF(Final!AN16&lt;&gt;"",IF(Final!AN16&lt;=3.05,Final!AN16,5),"")</f>
        <v/>
      </c>
      <c r="G13" s="72" t="str">
        <f t="shared" si="0"/>
        <v/>
      </c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26" ht="15" customHeight="1" x14ac:dyDescent="0.3">
      <c r="A14" s="69"/>
      <c r="B14" s="70"/>
      <c r="C14" s="71" t="str">
        <f>IF(Prelim!AJ17&lt;&gt;"",Prelim!AJ17,"")</f>
        <v/>
      </c>
      <c r="D14" s="72" t="str">
        <f>IF(Midterm!AL17&lt;&gt;"",Midterm!AL17,"")</f>
        <v/>
      </c>
      <c r="E14" s="72" t="str">
        <f>IF(SemiFinal!AM17&lt;&gt;"",SemiFinal!AM17,"")</f>
        <v/>
      </c>
      <c r="F14" s="72" t="str">
        <f>IF(Final!AN17&lt;&gt;"",IF(Final!AN17&lt;=3.05,Final!AN17,5),"")</f>
        <v/>
      </c>
      <c r="G14" s="72" t="str">
        <f t="shared" si="0"/>
        <v/>
      </c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26" ht="15" customHeight="1" x14ac:dyDescent="0.3">
      <c r="A15" s="69"/>
      <c r="B15" s="70"/>
      <c r="C15" s="71" t="str">
        <f>IF(Prelim!AJ18&lt;&gt;"",Prelim!AJ18,"")</f>
        <v/>
      </c>
      <c r="D15" s="72" t="str">
        <f>IF(Midterm!AL18&lt;&gt;"",Midterm!AL18,"")</f>
        <v/>
      </c>
      <c r="E15" s="72" t="str">
        <f>IF(SemiFinal!AM18&lt;&gt;"",SemiFinal!AM18,"")</f>
        <v/>
      </c>
      <c r="F15" s="72" t="str">
        <f>IF(Final!AN18&lt;&gt;"",IF(Final!AN18&lt;=3.05,Final!AN18,5),"")</f>
        <v/>
      </c>
      <c r="G15" s="72" t="str">
        <f t="shared" si="0"/>
        <v/>
      </c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26" ht="15" customHeight="1" x14ac:dyDescent="0.3">
      <c r="A16" s="73"/>
      <c r="B16" s="70"/>
      <c r="C16" s="74" t="str">
        <f>IF(Prelim!AJ19&lt;&gt;"",Prelim!AJ19,"")</f>
        <v/>
      </c>
      <c r="D16" s="75" t="str">
        <f>IF(Midterm!AL19&lt;&gt;"",Midterm!AL19,"")</f>
        <v/>
      </c>
      <c r="E16" s="75" t="str">
        <f>IF(SemiFinal!AM19&lt;&gt;"",SemiFinal!AM19,"")</f>
        <v/>
      </c>
      <c r="F16" s="75" t="str">
        <f>IF(Final!AN19&lt;&gt;"",IF(Final!AN19&lt;=3.05,Final!AN19,5),"")</f>
        <v/>
      </c>
      <c r="G16" s="75" t="str">
        <f t="shared" si="0"/>
        <v/>
      </c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ht="15" customHeight="1" x14ac:dyDescent="0.3">
      <c r="A17" s="76"/>
      <c r="B17" s="70"/>
      <c r="C17" s="77" t="str">
        <f>IF(Prelim!AJ20&lt;&gt;"",Prelim!AJ20,"")</f>
        <v/>
      </c>
      <c r="D17" s="78" t="str">
        <f>IF(Midterm!AL20&lt;&gt;"",Midterm!AL20,"")</f>
        <v/>
      </c>
      <c r="E17" s="78" t="str">
        <f>IF(SemiFinal!AM20&lt;&gt;"",SemiFinal!AM20,"")</f>
        <v/>
      </c>
      <c r="F17" s="78" t="str">
        <f>IF(Final!AN20&lt;&gt;"",IF(Final!AN20&lt;=3.05,Final!AN20,5),"")</f>
        <v/>
      </c>
      <c r="G17" s="78" t="str">
        <f t="shared" si="0"/>
        <v/>
      </c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ht="15" customHeight="1" x14ac:dyDescent="0.3">
      <c r="A18" s="69"/>
      <c r="B18" s="70"/>
      <c r="C18" s="71" t="str">
        <f>IF(Prelim!AJ21&lt;&gt;"",Prelim!AJ21,"")</f>
        <v/>
      </c>
      <c r="D18" s="72" t="str">
        <f>IF(Midterm!AL21&lt;&gt;"",Midterm!AL21,"")</f>
        <v/>
      </c>
      <c r="E18" s="72" t="str">
        <f>IF(SemiFinal!AM21&lt;&gt;"",SemiFinal!AM21,"")</f>
        <v/>
      </c>
      <c r="F18" s="72" t="str">
        <f>IF(Final!AN21&lt;&gt;"",IF(Final!AN21&lt;=3.05,Final!AN21,5),"")</f>
        <v/>
      </c>
      <c r="G18" s="72" t="str">
        <f t="shared" si="0"/>
        <v/>
      </c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ht="15" customHeight="1" x14ac:dyDescent="0.3">
      <c r="A19" s="69"/>
      <c r="B19" s="70"/>
      <c r="C19" s="71" t="str">
        <f>IF(Prelim!AJ22&lt;&gt;"",Prelim!AJ22,"")</f>
        <v/>
      </c>
      <c r="D19" s="72" t="str">
        <f>IF(Midterm!AL22&lt;&gt;"",Midterm!AL22,"")</f>
        <v/>
      </c>
      <c r="E19" s="72" t="str">
        <f>IF(SemiFinal!AM22&lt;&gt;"",SemiFinal!AM22,"")</f>
        <v/>
      </c>
      <c r="F19" s="72" t="str">
        <f>IF(Final!AN22&lt;&gt;"",IF(Final!AN22&lt;=3.05,Final!AN22,5),"")</f>
        <v/>
      </c>
      <c r="G19" s="72" t="str">
        <f t="shared" si="0"/>
        <v/>
      </c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ht="15" customHeight="1" x14ac:dyDescent="0.3">
      <c r="A20" s="69"/>
      <c r="B20" s="70"/>
      <c r="C20" s="71" t="str">
        <f>IF(Prelim!AJ23&lt;&gt;"",Prelim!AJ23,"")</f>
        <v/>
      </c>
      <c r="D20" s="72" t="str">
        <f>IF(Midterm!AL23&lt;&gt;"",Midterm!AL23,"")</f>
        <v/>
      </c>
      <c r="E20" s="72" t="str">
        <f>IF(SemiFinal!AM23&lt;&gt;"",SemiFinal!AM23,"")</f>
        <v/>
      </c>
      <c r="F20" s="72" t="str">
        <f>IF(Final!AN23&lt;&gt;"",IF(Final!AN23&lt;=3.05,Final!AN23,5),"")</f>
        <v/>
      </c>
      <c r="G20" s="72" t="str">
        <f t="shared" si="0"/>
        <v/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26" ht="15" customHeight="1" x14ac:dyDescent="0.3">
      <c r="A21" s="73"/>
      <c r="B21" s="70"/>
      <c r="C21" s="74" t="str">
        <f>IF(Prelim!AJ24&lt;&gt;"",Prelim!AJ24,"")</f>
        <v/>
      </c>
      <c r="D21" s="75" t="str">
        <f>IF(Midterm!AL24&lt;&gt;"",Midterm!AL24,"")</f>
        <v/>
      </c>
      <c r="E21" s="75" t="str">
        <f>IF(SemiFinal!AM24&lt;&gt;"",SemiFinal!AM24,"")</f>
        <v/>
      </c>
      <c r="F21" s="75" t="str">
        <f>IF(Final!AN24&lt;&gt;"",IF(Final!AN24&lt;=3.05,Final!AN24,5),"")</f>
        <v/>
      </c>
      <c r="G21" s="75" t="str">
        <f t="shared" si="0"/>
        <v/>
      </c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</row>
    <row r="22" spans="1:26" ht="15" customHeight="1" x14ac:dyDescent="0.3">
      <c r="A22" s="76"/>
      <c r="B22" s="70"/>
      <c r="C22" s="77" t="str">
        <f>IF(Prelim!AJ25&lt;&gt;"",Prelim!AJ25,"")</f>
        <v/>
      </c>
      <c r="D22" s="78" t="str">
        <f>IF(Midterm!AL25&lt;&gt;"",Midterm!AL25,"")</f>
        <v/>
      </c>
      <c r="E22" s="78" t="str">
        <f>IF(SemiFinal!AM25&lt;&gt;"",SemiFinal!AM25,"")</f>
        <v/>
      </c>
      <c r="F22" s="78" t="str">
        <f>IF(Final!AN25&lt;&gt;"",IF(Final!AN25&lt;=3.05,Final!AN25,5),"")</f>
        <v/>
      </c>
      <c r="G22" s="78" t="str">
        <f t="shared" si="0"/>
        <v/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 ht="15" customHeight="1" x14ac:dyDescent="0.3">
      <c r="A23" s="69"/>
      <c r="B23" s="70"/>
      <c r="C23" s="71" t="str">
        <f>IF(Prelim!AJ26&lt;&gt;"",Prelim!AJ26,"")</f>
        <v/>
      </c>
      <c r="D23" s="72" t="str">
        <f>IF(Midterm!AL26&lt;&gt;"",Midterm!AL26,"")</f>
        <v/>
      </c>
      <c r="E23" s="72" t="str">
        <f>IF(SemiFinal!AM26&lt;&gt;"",SemiFinal!AM26,"")</f>
        <v/>
      </c>
      <c r="F23" s="72" t="str">
        <f>IF(Final!AN26&lt;&gt;"",IF(Final!AN26&lt;=3.05,Final!AN26,5),"")</f>
        <v/>
      </c>
      <c r="G23" s="72" t="str">
        <f t="shared" si="0"/>
        <v/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 ht="15" customHeight="1" x14ac:dyDescent="0.3">
      <c r="A24" s="69"/>
      <c r="B24" s="70"/>
      <c r="C24" s="71" t="str">
        <f>IF(Prelim!AJ27&lt;&gt;"",Prelim!AJ27,"")</f>
        <v/>
      </c>
      <c r="D24" s="72" t="str">
        <f>IF(Midterm!AL27&lt;&gt;"",Midterm!AL27,"")</f>
        <v/>
      </c>
      <c r="E24" s="72" t="str">
        <f>IF(SemiFinal!AM27&lt;&gt;"",SemiFinal!AM27,"")</f>
        <v/>
      </c>
      <c r="F24" s="72" t="str">
        <f>IF(Final!AN27&lt;&gt;"",IF(Final!AN27&lt;=3.05,Final!AN27,5),"")</f>
        <v/>
      </c>
      <c r="G24" s="72" t="str">
        <f t="shared" si="0"/>
        <v/>
      </c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 ht="15" customHeight="1" x14ac:dyDescent="0.3">
      <c r="A25" s="69"/>
      <c r="B25" s="70"/>
      <c r="C25" s="71" t="str">
        <f>IF(Prelim!AJ28&lt;&gt;"",Prelim!AJ28,"")</f>
        <v/>
      </c>
      <c r="D25" s="72" t="str">
        <f>IF(Midterm!AL28&lt;&gt;"",Midterm!AL28,"")</f>
        <v/>
      </c>
      <c r="E25" s="72" t="str">
        <f>IF(SemiFinal!AM28&lt;&gt;"",SemiFinal!AM28,"")</f>
        <v/>
      </c>
      <c r="F25" s="72" t="str">
        <f>IF(Final!AN28&lt;&gt;"",IF(Final!AN28&lt;=3.05,Final!AN28,5),"")</f>
        <v/>
      </c>
      <c r="G25" s="72" t="str">
        <f t="shared" si="0"/>
        <v/>
      </c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 ht="15" customHeight="1" x14ac:dyDescent="0.3">
      <c r="A26" s="73"/>
      <c r="B26" s="70"/>
      <c r="C26" s="74" t="str">
        <f>IF(Prelim!AJ29&lt;&gt;"",Prelim!AJ29,"")</f>
        <v/>
      </c>
      <c r="D26" s="75" t="str">
        <f>IF(Midterm!AL29&lt;&gt;"",Midterm!AL29,"")</f>
        <v/>
      </c>
      <c r="E26" s="75" t="str">
        <f>IF(SemiFinal!AM29&lt;&gt;"",SemiFinal!AM29,"")</f>
        <v/>
      </c>
      <c r="F26" s="75" t="str">
        <f>IF(Final!AN29&lt;&gt;"",IF(Final!AN29&lt;=3.05,Final!AN29,5),"")</f>
        <v/>
      </c>
      <c r="G26" s="75" t="str">
        <f t="shared" si="0"/>
        <v/>
      </c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 ht="15" customHeight="1" x14ac:dyDescent="0.3">
      <c r="A27" s="76"/>
      <c r="B27" s="70"/>
      <c r="C27" s="77" t="str">
        <f>IF(Prelim!AJ30&lt;&gt;"",Prelim!AJ30,"")</f>
        <v/>
      </c>
      <c r="D27" s="78" t="str">
        <f>IF(Midterm!AL30&lt;&gt;"",Midterm!AL30,"")</f>
        <v/>
      </c>
      <c r="E27" s="78" t="str">
        <f>IF(SemiFinal!AM30&lt;&gt;"",SemiFinal!AM30,"")</f>
        <v/>
      </c>
      <c r="F27" s="78" t="str">
        <f>IF(Final!AN30&lt;&gt;"",IF(Final!AN30&lt;=3.05,Final!AN30,5),"")</f>
        <v/>
      </c>
      <c r="G27" s="78" t="str">
        <f t="shared" si="0"/>
        <v/>
      </c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 ht="15" customHeight="1" x14ac:dyDescent="0.3">
      <c r="A28" s="69"/>
      <c r="B28" s="70"/>
      <c r="C28" s="71" t="str">
        <f>IF(Prelim!AJ31&lt;&gt;"",Prelim!AJ31,"")</f>
        <v/>
      </c>
      <c r="D28" s="72" t="str">
        <f>IF(Midterm!AL31&lt;&gt;"",Midterm!AL31,"")</f>
        <v/>
      </c>
      <c r="E28" s="72" t="str">
        <f>IF(SemiFinal!AM31&lt;&gt;"",SemiFinal!AM31,"")</f>
        <v/>
      </c>
      <c r="F28" s="72" t="str">
        <f>IF(Final!AN31&lt;&gt;"",IF(Final!AN31&lt;=3.05,Final!AN31,5),"")</f>
        <v/>
      </c>
      <c r="G28" s="72" t="str">
        <f t="shared" si="0"/>
        <v/>
      </c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 ht="15" customHeight="1" x14ac:dyDescent="0.3">
      <c r="A29" s="69"/>
      <c r="B29" s="70"/>
      <c r="C29" s="71" t="str">
        <f>IF(Prelim!AJ32&lt;&gt;"",Prelim!AJ32,"")</f>
        <v/>
      </c>
      <c r="D29" s="72" t="str">
        <f>IF(Midterm!AL32&lt;&gt;"",Midterm!AL32,"")</f>
        <v/>
      </c>
      <c r="E29" s="72" t="str">
        <f>IF(SemiFinal!AM32&lt;&gt;"",SemiFinal!AM32,"")</f>
        <v/>
      </c>
      <c r="F29" s="72" t="str">
        <f>IF(Final!AN32&lt;&gt;"",IF(Final!AN32&lt;=3.05,Final!AN32,5),"")</f>
        <v/>
      </c>
      <c r="G29" s="72" t="str">
        <f t="shared" si="0"/>
        <v/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 ht="15" customHeight="1" x14ac:dyDescent="0.3">
      <c r="A30" s="69"/>
      <c r="B30" s="70"/>
      <c r="C30" s="71" t="str">
        <f>IF(Prelim!AJ33&lt;&gt;"",Prelim!AJ33,"")</f>
        <v/>
      </c>
      <c r="D30" s="72" t="str">
        <f>IF(Midterm!AL33&lt;&gt;"",Midterm!AL33,"")</f>
        <v/>
      </c>
      <c r="E30" s="72" t="str">
        <f>IF(SemiFinal!AM33&lt;&gt;"",SemiFinal!AM33,"")</f>
        <v/>
      </c>
      <c r="F30" s="72" t="str">
        <f>IF(Final!AN33&lt;&gt;"",IF(Final!AN33&lt;=3.05,Final!AN33,5),"")</f>
        <v/>
      </c>
      <c r="G30" s="72" t="str">
        <f t="shared" si="0"/>
        <v/>
      </c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 ht="15" customHeight="1" x14ac:dyDescent="0.3">
      <c r="A31" s="73"/>
      <c r="B31" s="70"/>
      <c r="C31" s="74" t="str">
        <f>IF(Prelim!AJ34&lt;&gt;"",Prelim!AJ34,"")</f>
        <v/>
      </c>
      <c r="D31" s="75" t="str">
        <f>IF(Midterm!AL34&lt;&gt;"",Midterm!AL34,"")</f>
        <v/>
      </c>
      <c r="E31" s="75" t="str">
        <f>IF(SemiFinal!AM34&lt;&gt;"",SemiFinal!AM34,"")</f>
        <v/>
      </c>
      <c r="F31" s="75" t="str">
        <f>IF(Final!AN34&lt;&gt;"",IF(Final!AN34&lt;=3.05,Final!AN34,5),"")</f>
        <v/>
      </c>
      <c r="G31" s="75" t="str">
        <f t="shared" si="0"/>
        <v/>
      </c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 ht="15" customHeight="1" x14ac:dyDescent="0.3">
      <c r="A32" s="76"/>
      <c r="B32" s="70"/>
      <c r="C32" s="77" t="str">
        <f>IF(Prelim!AJ35&lt;&gt;"",Prelim!AJ35,"")</f>
        <v/>
      </c>
      <c r="D32" s="78" t="str">
        <f>IF(Midterm!AL35&lt;&gt;"",Midterm!AL35,"")</f>
        <v/>
      </c>
      <c r="E32" s="78" t="str">
        <f>IF(SemiFinal!AM35&lt;&gt;"",SemiFinal!AM35,"")</f>
        <v/>
      </c>
      <c r="F32" s="78" t="str">
        <f>IF(Final!AN35&lt;&gt;"",IF(Final!AN35&lt;=3.05,Final!AN35,5),"")</f>
        <v/>
      </c>
      <c r="G32" s="78" t="str">
        <f t="shared" si="0"/>
        <v/>
      </c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 ht="15" customHeight="1" x14ac:dyDescent="0.3">
      <c r="A33" s="69"/>
      <c r="B33" s="70"/>
      <c r="C33" s="71" t="str">
        <f>IF(Prelim!AJ36&lt;&gt;"",Prelim!AJ36,"")</f>
        <v/>
      </c>
      <c r="D33" s="72" t="str">
        <f>IF(Midterm!AL36&lt;&gt;"",Midterm!AL36,"")</f>
        <v/>
      </c>
      <c r="E33" s="72" t="str">
        <f>IF(SemiFinal!AM36&lt;&gt;"",SemiFinal!AM36,"")</f>
        <v/>
      </c>
      <c r="F33" s="72" t="str">
        <f>IF(Final!AN36&lt;&gt;"",IF(Final!AN36&lt;=3.05,Final!AN36,5),"")</f>
        <v/>
      </c>
      <c r="G33" s="72" t="str">
        <f t="shared" si="0"/>
        <v/>
      </c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 ht="15" customHeight="1" x14ac:dyDescent="0.3">
      <c r="A34" s="69"/>
      <c r="B34" s="70"/>
      <c r="C34" s="71" t="str">
        <f>IF(Prelim!AJ37&lt;&gt;"",Prelim!AJ37,"")</f>
        <v/>
      </c>
      <c r="D34" s="72" t="str">
        <f>IF(Midterm!AL37&lt;&gt;"",Midterm!AL37,"")</f>
        <v/>
      </c>
      <c r="E34" s="72" t="str">
        <f>IF(SemiFinal!AM37&lt;&gt;"",SemiFinal!AM37,"")</f>
        <v/>
      </c>
      <c r="F34" s="72" t="str">
        <f>IF(Final!AN37&lt;&gt;"",IF(Final!AN37&lt;=3.05,Final!AN37,5),"")</f>
        <v/>
      </c>
      <c r="G34" s="72" t="str">
        <f t="shared" si="0"/>
        <v/>
      </c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 ht="15" customHeight="1" x14ac:dyDescent="0.3">
      <c r="A35" s="69"/>
      <c r="B35" s="70"/>
      <c r="C35" s="71" t="str">
        <f>IF(Prelim!AJ38&lt;&gt;"",Prelim!AJ38,"")</f>
        <v/>
      </c>
      <c r="D35" s="72" t="str">
        <f>IF(Midterm!AL38&lt;&gt;"",Midterm!AL38,"")</f>
        <v/>
      </c>
      <c r="E35" s="72" t="str">
        <f>IF(SemiFinal!AM38&lt;&gt;"",SemiFinal!AM38,"")</f>
        <v/>
      </c>
      <c r="F35" s="72" t="str">
        <f>IF(Final!AN38&lt;&gt;"",IF(Final!AN38&lt;=3.05,Final!AN38,5),"")</f>
        <v/>
      </c>
      <c r="G35" s="72" t="str">
        <f t="shared" si="0"/>
        <v/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 ht="15" customHeight="1" x14ac:dyDescent="0.3">
      <c r="A36" s="73"/>
      <c r="B36" s="70"/>
      <c r="C36" s="74" t="str">
        <f>IF(Prelim!AJ39&lt;&gt;"",Prelim!AJ39,"")</f>
        <v/>
      </c>
      <c r="D36" s="75" t="str">
        <f>IF(Midterm!AL39&lt;&gt;"",Midterm!AL39,"")</f>
        <v/>
      </c>
      <c r="E36" s="75" t="str">
        <f>IF(SemiFinal!AM39&lt;&gt;"",SemiFinal!AM39,"")</f>
        <v/>
      </c>
      <c r="F36" s="75" t="str">
        <f>IF(Final!AN39&lt;&gt;"",IF(Final!AN39&lt;=3.05,Final!AN39,5),"")</f>
        <v/>
      </c>
      <c r="G36" s="75" t="str">
        <f t="shared" si="0"/>
        <v/>
      </c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ht="15" customHeight="1" x14ac:dyDescent="0.3">
      <c r="A37" s="76"/>
      <c r="B37" s="70"/>
      <c r="C37" s="77" t="str">
        <f>IF(Prelim!AJ40&lt;&gt;"",Prelim!AJ40,"")</f>
        <v/>
      </c>
      <c r="D37" s="78" t="str">
        <f>IF(Midterm!AL40&lt;&gt;"",Midterm!AL40,"")</f>
        <v/>
      </c>
      <c r="E37" s="78" t="str">
        <f>IF(SemiFinal!AM40&lt;&gt;"",SemiFinal!AM40,"")</f>
        <v/>
      </c>
      <c r="F37" s="78" t="str">
        <f>IF(Final!AN40&lt;&gt;"",IF(Final!AN40&lt;=3.05,Final!AN40,5),"")</f>
        <v/>
      </c>
      <c r="G37" s="78" t="str">
        <f t="shared" si="0"/>
        <v/>
      </c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 ht="15" customHeight="1" x14ac:dyDescent="0.3">
      <c r="A38" s="69"/>
      <c r="B38" s="70"/>
      <c r="C38" s="71" t="str">
        <f>IF(Prelim!AJ41&lt;&gt;"",Prelim!AJ41,"")</f>
        <v/>
      </c>
      <c r="D38" s="72" t="str">
        <f>IF(Midterm!AL41&lt;&gt;"",Midterm!AL41,"")</f>
        <v/>
      </c>
      <c r="E38" s="72" t="str">
        <f>IF(SemiFinal!AM41&lt;&gt;"",SemiFinal!AM41,"")</f>
        <v/>
      </c>
      <c r="F38" s="72" t="str">
        <f>IF(Final!AN41&lt;&gt;"",IF(Final!AN41&lt;=3.05,Final!AN41,5),"")</f>
        <v/>
      </c>
      <c r="G38" s="72" t="str">
        <f t="shared" si="0"/>
        <v/>
      </c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</row>
    <row r="39" spans="1:26" ht="15" customHeight="1" x14ac:dyDescent="0.3">
      <c r="A39" s="69"/>
      <c r="B39" s="70"/>
      <c r="C39" s="71" t="str">
        <f>IF(Prelim!AJ42&lt;&gt;"",Prelim!AJ42,"")</f>
        <v/>
      </c>
      <c r="D39" s="72" t="str">
        <f>IF(Midterm!AL42&lt;&gt;"",Midterm!AL42,"")</f>
        <v/>
      </c>
      <c r="E39" s="72" t="str">
        <f>IF(SemiFinal!AM42&lt;&gt;"",SemiFinal!AM42,"")</f>
        <v/>
      </c>
      <c r="F39" s="72" t="str">
        <f>IF(Final!AN42&lt;&gt;"",IF(Final!AN42&lt;=3.05,Final!AN42,5),"")</f>
        <v/>
      </c>
      <c r="G39" s="72" t="str">
        <f t="shared" si="0"/>
        <v/>
      </c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</row>
    <row r="40" spans="1:26" ht="15" customHeight="1" x14ac:dyDescent="0.3">
      <c r="A40" s="69"/>
      <c r="B40" s="70"/>
      <c r="C40" s="71" t="str">
        <f>IF(Prelim!AJ43&lt;&gt;"",Prelim!AJ43,"")</f>
        <v/>
      </c>
      <c r="D40" s="72" t="str">
        <f>IF(Midterm!AL43&lt;&gt;"",Midterm!AL43,"")</f>
        <v/>
      </c>
      <c r="E40" s="72" t="str">
        <f>IF(SemiFinal!AM43&lt;&gt;"",SemiFinal!AM43,"")</f>
        <v/>
      </c>
      <c r="F40" s="72" t="str">
        <f>IF(Final!AN43&lt;&gt;"",IF(Final!AN43&lt;=3.05,Final!AN43,5),"")</f>
        <v/>
      </c>
      <c r="G40" s="72" t="str">
        <f t="shared" si="0"/>
        <v/>
      </c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</row>
    <row r="41" spans="1:26" ht="15" customHeight="1" x14ac:dyDescent="0.3">
      <c r="A41" s="73"/>
      <c r="B41" s="70"/>
      <c r="C41" s="74" t="str">
        <f>IF(Prelim!AJ44&lt;&gt;"",Prelim!AJ44,"")</f>
        <v/>
      </c>
      <c r="D41" s="75" t="str">
        <f>IF(Midterm!AL44&lt;&gt;"",Midterm!AL44,"")</f>
        <v/>
      </c>
      <c r="E41" s="75" t="str">
        <f>IF(SemiFinal!AM44&lt;&gt;"",SemiFinal!AM44,"")</f>
        <v/>
      </c>
      <c r="F41" s="75" t="str">
        <f>IF(Final!AN44&lt;&gt;"",IF(Final!AN44&lt;=3.05,Final!AN44,5),"")</f>
        <v/>
      </c>
      <c r="G41" s="75" t="str">
        <f t="shared" si="0"/>
        <v/>
      </c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</row>
    <row r="42" spans="1:26" ht="15" customHeight="1" x14ac:dyDescent="0.3">
      <c r="A42" s="76"/>
      <c r="B42" s="70"/>
      <c r="C42" s="77" t="str">
        <f>IF(Prelim!AJ45&lt;&gt;"",Prelim!AJ45,"")</f>
        <v/>
      </c>
      <c r="D42" s="78" t="str">
        <f>IF(Midterm!AL45&lt;&gt;"",Midterm!AL45,"")</f>
        <v/>
      </c>
      <c r="E42" s="78" t="str">
        <f>IF(SemiFinal!AM45&lt;&gt;"",SemiFinal!AM45,"")</f>
        <v/>
      </c>
      <c r="F42" s="78" t="str">
        <f>IF(Final!AN45&lt;&gt;"",IF(Final!AN45&lt;=3.05,Final!AN45,5),"")</f>
        <v/>
      </c>
      <c r="G42" s="78" t="str">
        <f t="shared" si="0"/>
        <v/>
      </c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</row>
    <row r="43" spans="1:26" ht="15" customHeight="1" x14ac:dyDescent="0.3">
      <c r="A43" s="69"/>
      <c r="B43" s="70"/>
      <c r="C43" s="71" t="str">
        <f>IF(Prelim!AJ46&lt;&gt;"",Prelim!AJ46,"")</f>
        <v/>
      </c>
      <c r="D43" s="72" t="str">
        <f>IF(Midterm!AL46&lt;&gt;"",Midterm!AL46,"")</f>
        <v/>
      </c>
      <c r="E43" s="72" t="str">
        <f>IF(SemiFinal!AM46&lt;&gt;"",SemiFinal!AM46,"")</f>
        <v/>
      </c>
      <c r="F43" s="72" t="str">
        <f>IF(Final!AN46&lt;&gt;"",IF(Final!AN46&lt;=3.05,Final!AN46,5),"")</f>
        <v/>
      </c>
      <c r="G43" s="72" t="str">
        <f t="shared" si="0"/>
        <v/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</row>
    <row r="44" spans="1:26" ht="15" customHeight="1" x14ac:dyDescent="0.3">
      <c r="A44" s="69"/>
      <c r="B44" s="70"/>
      <c r="C44" s="71" t="str">
        <f>IF(Prelim!AJ47&lt;&gt;"",Prelim!AJ47,"")</f>
        <v/>
      </c>
      <c r="D44" s="72" t="str">
        <f>IF(Midterm!AL47&lt;&gt;"",Midterm!AL47,"")</f>
        <v/>
      </c>
      <c r="E44" s="72" t="str">
        <f>IF(SemiFinal!AM47&lt;&gt;"",SemiFinal!AM47,"")</f>
        <v/>
      </c>
      <c r="F44" s="72" t="str">
        <f>IF(Final!AN47&lt;&gt;"",IF(Final!AN47&lt;=3.05,Final!AN47,5),"")</f>
        <v/>
      </c>
      <c r="G44" s="72" t="str">
        <f t="shared" si="0"/>
        <v/>
      </c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</row>
    <row r="45" spans="1:26" ht="15" customHeight="1" x14ac:dyDescent="0.3">
      <c r="A45" s="69"/>
      <c r="B45" s="70"/>
      <c r="C45" s="71" t="str">
        <f>IF(Prelim!AJ48&lt;&gt;"",Prelim!AJ48,"")</f>
        <v/>
      </c>
      <c r="D45" s="72" t="str">
        <f>IF(Midterm!AL48&lt;&gt;"",Midterm!AL48,"")</f>
        <v/>
      </c>
      <c r="E45" s="72" t="str">
        <f>IF(SemiFinal!AM48&lt;&gt;"",SemiFinal!AM48,"")</f>
        <v/>
      </c>
      <c r="F45" s="72" t="str">
        <f>IF(Final!AN48&lt;&gt;"",IF(Final!AN48&lt;=3.05,Final!AN48,5),"")</f>
        <v/>
      </c>
      <c r="G45" s="72" t="str">
        <f t="shared" si="0"/>
        <v/>
      </c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ht="15" customHeight="1" x14ac:dyDescent="0.3">
      <c r="A46" s="73"/>
      <c r="B46" s="70"/>
      <c r="C46" s="74" t="str">
        <f>IF(Prelim!AJ49&lt;&gt;"",Prelim!AJ49,"")</f>
        <v/>
      </c>
      <c r="D46" s="75" t="str">
        <f>IF(Midterm!AL49&lt;&gt;"",Midterm!AL49,"")</f>
        <v/>
      </c>
      <c r="E46" s="75" t="str">
        <f>IF(SemiFinal!AM49&lt;&gt;"",SemiFinal!AM49,"")</f>
        <v/>
      </c>
      <c r="F46" s="75" t="str">
        <f>IF(Final!AN49&lt;&gt;"",IF(Final!AN49&lt;=3.05,Final!AN49,5),"")</f>
        <v/>
      </c>
      <c r="G46" s="75" t="str">
        <f t="shared" si="0"/>
        <v/>
      </c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</row>
    <row r="47" spans="1:26" ht="15" customHeight="1" x14ac:dyDescent="0.3">
      <c r="A47" s="76"/>
      <c r="B47" s="70"/>
      <c r="C47" s="77" t="str">
        <f>IF(Prelim!AJ50&lt;&gt;"",Prelim!AJ50,"")</f>
        <v/>
      </c>
      <c r="D47" s="78" t="str">
        <f>IF(Midterm!AL50&lt;&gt;"",Midterm!AL50,"")</f>
        <v/>
      </c>
      <c r="E47" s="78" t="str">
        <f>IF(SemiFinal!AM50&lt;&gt;"",SemiFinal!AM50,"")</f>
        <v/>
      </c>
      <c r="F47" s="78" t="str">
        <f>IF(Final!AN50&lt;&gt;"",IF(Final!AN50&lt;=3.05,Final!AN50,5),"")</f>
        <v/>
      </c>
      <c r="G47" s="78" t="str">
        <f t="shared" si="0"/>
        <v/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</row>
    <row r="48" spans="1:26" ht="15" customHeight="1" x14ac:dyDescent="0.3">
      <c r="A48" s="69"/>
      <c r="B48" s="70"/>
      <c r="C48" s="71" t="str">
        <f>IF(Prelim!AJ51&lt;&gt;"",Prelim!AJ51,"")</f>
        <v/>
      </c>
      <c r="D48" s="72" t="str">
        <f>IF(Midterm!AL51&lt;&gt;"",Midterm!AL51,"")</f>
        <v/>
      </c>
      <c r="E48" s="72" t="str">
        <f>IF(SemiFinal!AM51&lt;&gt;"",SemiFinal!AM51,"")</f>
        <v/>
      </c>
      <c r="F48" s="72" t="str">
        <f>IF(Final!AN51&lt;&gt;"",IF(Final!AN51&lt;=3.05,Final!AN51,5),"")</f>
        <v/>
      </c>
      <c r="G48" s="72" t="str">
        <f t="shared" si="0"/>
        <v/>
      </c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</row>
    <row r="49" spans="1:26" ht="15" customHeight="1" x14ac:dyDescent="0.3">
      <c r="A49" s="69"/>
      <c r="B49" s="70"/>
      <c r="C49" s="71" t="str">
        <f>IF(Prelim!AJ52&lt;&gt;"",Prelim!AJ52,"")</f>
        <v/>
      </c>
      <c r="D49" s="72" t="str">
        <f>IF(Midterm!AL52&lt;&gt;"",Midterm!AL52,"")</f>
        <v/>
      </c>
      <c r="E49" s="72" t="str">
        <f>IF(SemiFinal!AM52&lt;&gt;"",SemiFinal!AM52,"")</f>
        <v/>
      </c>
      <c r="F49" s="72" t="str">
        <f>IF(Final!AN52&lt;&gt;"",IF(Final!AN52&lt;=3.05,Final!AN52,5),"")</f>
        <v/>
      </c>
      <c r="G49" s="72" t="str">
        <f t="shared" si="0"/>
        <v/>
      </c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</row>
    <row r="50" spans="1:26" ht="15" customHeight="1" x14ac:dyDescent="0.3">
      <c r="A50" s="69"/>
      <c r="B50" s="70"/>
      <c r="C50" s="71" t="str">
        <f>IF(Prelim!AJ53&lt;&gt;"",Prelim!AJ53,"")</f>
        <v/>
      </c>
      <c r="D50" s="72" t="str">
        <f>IF(Midterm!AL53&lt;&gt;"",Midterm!AL53,"")</f>
        <v/>
      </c>
      <c r="E50" s="72" t="str">
        <f>IF(SemiFinal!AM53&lt;&gt;"",SemiFinal!AM53,"")</f>
        <v/>
      </c>
      <c r="F50" s="72" t="str">
        <f>IF(Final!AN53&lt;&gt;"",IF(Final!AN53&lt;=3.05,Final!AN53,5),"")</f>
        <v/>
      </c>
      <c r="G50" s="72" t="str">
        <f t="shared" si="0"/>
        <v/>
      </c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</row>
    <row r="51" spans="1:26" ht="15" customHeight="1" x14ac:dyDescent="0.3">
      <c r="A51" s="73"/>
      <c r="B51" s="70"/>
      <c r="C51" s="74" t="str">
        <f>IF(Prelim!AJ54&lt;&gt;"",Prelim!AJ54,"")</f>
        <v/>
      </c>
      <c r="D51" s="75" t="str">
        <f>IF(Midterm!AL54&lt;&gt;"",Midterm!AL54,"")</f>
        <v/>
      </c>
      <c r="E51" s="75" t="str">
        <f>IF(SemiFinal!AM54&lt;&gt;"",SemiFinal!AM54,"")</f>
        <v/>
      </c>
      <c r="F51" s="75" t="str">
        <f>IF(Final!AN54&lt;&gt;"",IF(Final!AN54&lt;=3.05,Final!AN54,5),"")</f>
        <v/>
      </c>
      <c r="G51" s="75" t="str">
        <f t="shared" si="0"/>
        <v/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</row>
    <row r="52" spans="1:26" ht="15" customHeight="1" x14ac:dyDescent="0.3">
      <c r="A52" s="76"/>
      <c r="B52" s="70"/>
      <c r="C52" s="77" t="str">
        <f>IF(Prelim!AJ55&lt;&gt;"",Prelim!AJ55,"")</f>
        <v/>
      </c>
      <c r="D52" s="78" t="str">
        <f>IF(Midterm!AL55&lt;&gt;"",Midterm!AL55,"")</f>
        <v/>
      </c>
      <c r="E52" s="78" t="str">
        <f>IF(SemiFinal!AM55&lt;&gt;"",SemiFinal!AM55,"")</f>
        <v/>
      </c>
      <c r="F52" s="78" t="str">
        <f>IF(Final!AN55&lt;&gt;"",IF(Final!AN55&lt;=3.05,Final!AN55,5),"")</f>
        <v/>
      </c>
      <c r="G52" s="78" t="str">
        <f t="shared" si="0"/>
        <v/>
      </c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</row>
    <row r="53" spans="1:26" ht="15" customHeight="1" x14ac:dyDescent="0.3">
      <c r="A53" s="69"/>
      <c r="B53" s="70"/>
      <c r="C53" s="71" t="str">
        <f>IF(Prelim!AJ56&lt;&gt;"",Prelim!AJ56,"")</f>
        <v/>
      </c>
      <c r="D53" s="72" t="str">
        <f>IF(Midterm!AL56&lt;&gt;"",Midterm!AL56,"")</f>
        <v/>
      </c>
      <c r="E53" s="72" t="str">
        <f>IF(SemiFinal!AM56&lt;&gt;"",SemiFinal!AM56,"")</f>
        <v/>
      </c>
      <c r="F53" s="72" t="str">
        <f>IF(Final!AN56&lt;&gt;"",IF(Final!AN56&lt;=3.05,Final!AN56,5),"")</f>
        <v/>
      </c>
      <c r="G53" s="72" t="str">
        <f t="shared" si="0"/>
        <v/>
      </c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</row>
    <row r="54" spans="1:26" ht="15" customHeight="1" x14ac:dyDescent="0.3">
      <c r="A54" s="69"/>
      <c r="B54" s="70"/>
      <c r="C54" s="71" t="str">
        <f>IF(Prelim!AJ57&lt;&gt;"",Prelim!AJ57,"")</f>
        <v/>
      </c>
      <c r="D54" s="72" t="str">
        <f>IF(Midterm!AL57&lt;&gt;"",Midterm!AL57,"")</f>
        <v/>
      </c>
      <c r="E54" s="72" t="str">
        <f>IF(SemiFinal!AM57&lt;&gt;"",SemiFinal!AM57,"")</f>
        <v/>
      </c>
      <c r="F54" s="72" t="str">
        <f>IF(Final!AN57&lt;&gt;"",IF(Final!AN57&lt;=3.05,Final!AN57,5),"")</f>
        <v/>
      </c>
      <c r="G54" s="72" t="str">
        <f t="shared" si="0"/>
        <v/>
      </c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</row>
    <row r="55" spans="1:26" ht="15" customHeight="1" x14ac:dyDescent="0.3">
      <c r="A55" s="69"/>
      <c r="B55" s="70"/>
      <c r="C55" s="71" t="str">
        <f>IF(Prelim!AJ58&lt;&gt;"",Prelim!AJ58,"")</f>
        <v/>
      </c>
      <c r="D55" s="72" t="str">
        <f>IF(Midterm!AL58&lt;&gt;"",Midterm!AL58,"")</f>
        <v/>
      </c>
      <c r="E55" s="72" t="str">
        <f>IF(SemiFinal!AM58&lt;&gt;"",SemiFinal!AM58,"")</f>
        <v/>
      </c>
      <c r="F55" s="72" t="str">
        <f>IF(Final!AN58&lt;&gt;"",IF(Final!AN58&lt;=3.05,Final!AN58,5),"")</f>
        <v/>
      </c>
      <c r="G55" s="72" t="str">
        <f t="shared" si="0"/>
        <v/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</row>
    <row r="56" spans="1:26" ht="15" customHeight="1" x14ac:dyDescent="0.3">
      <c r="A56" s="73"/>
      <c r="B56" s="70"/>
      <c r="C56" s="74" t="str">
        <f>IF(Prelim!AJ59&lt;&gt;"",Prelim!AJ59,"")</f>
        <v/>
      </c>
      <c r="D56" s="75" t="str">
        <f>IF(Midterm!AL59&lt;&gt;"",Midterm!AL59,"")</f>
        <v/>
      </c>
      <c r="E56" s="75" t="str">
        <f>IF(SemiFinal!AM59&lt;&gt;"",SemiFinal!AM59,"")</f>
        <v/>
      </c>
      <c r="F56" s="75" t="str">
        <f>IF(Final!AN59&lt;&gt;"",IF(Final!AN59&lt;=3.05,Final!AN59,5),"")</f>
        <v/>
      </c>
      <c r="G56" s="75" t="str">
        <f t="shared" si="0"/>
        <v/>
      </c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</row>
    <row r="57" spans="1:26" ht="15" customHeight="1" x14ac:dyDescent="0.3">
      <c r="A57" s="76"/>
      <c r="B57" s="70"/>
      <c r="C57" s="77" t="str">
        <f>IF(Prelim!AJ60&lt;&gt;"",Prelim!AJ60,"")</f>
        <v/>
      </c>
      <c r="D57" s="78" t="str">
        <f>IF(Midterm!AL60&lt;&gt;"",Midterm!AL60,"")</f>
        <v/>
      </c>
      <c r="E57" s="78" t="str">
        <f>IF(SemiFinal!AM60&lt;&gt;"",SemiFinal!AM60,"")</f>
        <v/>
      </c>
      <c r="F57" s="78" t="str">
        <f>IF(Final!AN60&lt;&gt;"",IF(Final!AN60&lt;=3.05,Final!AN60,5),"")</f>
        <v/>
      </c>
      <c r="G57" s="78" t="str">
        <f t="shared" ref="G57:G66" si="1">IF(F57&lt;&gt;"",IF(F57&lt;=3.05,"PASSED","FAILED"),"")</f>
        <v/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</row>
    <row r="58" spans="1:26" ht="15" customHeight="1" x14ac:dyDescent="0.3">
      <c r="A58" s="69"/>
      <c r="B58" s="70"/>
      <c r="C58" s="71" t="str">
        <f>IF(Prelim!AJ61&lt;&gt;"",Prelim!AJ61,"")</f>
        <v/>
      </c>
      <c r="D58" s="72" t="str">
        <f>IF(Midterm!AL61&lt;&gt;"",Midterm!AL61,"")</f>
        <v/>
      </c>
      <c r="E58" s="72" t="str">
        <f>IF(SemiFinal!AM61&lt;&gt;"",SemiFinal!AM61,"")</f>
        <v/>
      </c>
      <c r="F58" s="72" t="str">
        <f>IF(Final!AN61&lt;&gt;"",IF(Final!AN61&lt;=3.05,Final!AN61,5),"")</f>
        <v/>
      </c>
      <c r="G58" s="72" t="str">
        <f t="shared" si="1"/>
        <v/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ht="15" customHeight="1" x14ac:dyDescent="0.3">
      <c r="A59" s="69"/>
      <c r="B59" s="70"/>
      <c r="C59" s="71" t="str">
        <f>IF(Prelim!AJ62&lt;&gt;"",Prelim!AJ62,"")</f>
        <v/>
      </c>
      <c r="D59" s="72" t="str">
        <f>IF(Midterm!AL62&lt;&gt;"",Midterm!AL62,"")</f>
        <v/>
      </c>
      <c r="E59" s="72" t="str">
        <f>IF(SemiFinal!AM62&lt;&gt;"",SemiFinal!AM62,"")</f>
        <v/>
      </c>
      <c r="F59" s="72" t="str">
        <f>IF(Final!AN62&lt;&gt;"",IF(Final!AN62&lt;=3.05,Final!AN62,5),"")</f>
        <v/>
      </c>
      <c r="G59" s="72" t="str">
        <f t="shared" si="1"/>
        <v/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</row>
    <row r="60" spans="1:26" ht="15" customHeight="1" x14ac:dyDescent="0.3">
      <c r="A60" s="69"/>
      <c r="B60" s="70"/>
      <c r="C60" s="71" t="str">
        <f>IF(Prelim!AJ63&lt;&gt;"",Prelim!AJ63,"")</f>
        <v/>
      </c>
      <c r="D60" s="72" t="str">
        <f>IF(Midterm!AL63&lt;&gt;"",Midterm!AL63,"")</f>
        <v/>
      </c>
      <c r="E60" s="72" t="str">
        <f>IF(SemiFinal!AM63&lt;&gt;"",SemiFinal!AM63,"")</f>
        <v/>
      </c>
      <c r="F60" s="72" t="str">
        <f>IF(Final!AN63&lt;&gt;"",IF(Final!AN63&lt;=3.05,Final!AN63,5),"")</f>
        <v/>
      </c>
      <c r="G60" s="72" t="str">
        <f t="shared" si="1"/>
        <v/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</row>
    <row r="61" spans="1:26" ht="15" customHeight="1" x14ac:dyDescent="0.3">
      <c r="A61" s="73"/>
      <c r="B61" s="70"/>
      <c r="C61" s="74" t="str">
        <f>IF(Prelim!AJ64&lt;&gt;"",Prelim!AJ64,"")</f>
        <v/>
      </c>
      <c r="D61" s="75" t="str">
        <f>IF(Midterm!AL64&lt;&gt;"",Midterm!AL64,"")</f>
        <v/>
      </c>
      <c r="E61" s="75" t="str">
        <f>IF(SemiFinal!AM64&lt;&gt;"",SemiFinal!AM64,"")</f>
        <v/>
      </c>
      <c r="F61" s="75" t="str">
        <f>IF(Final!AN64&lt;&gt;"",IF(Final!AN64&lt;=3.05,Final!AN64,5),"")</f>
        <v/>
      </c>
      <c r="G61" s="75" t="str">
        <f t="shared" si="1"/>
        <v/>
      </c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</row>
    <row r="62" spans="1:26" ht="15" customHeight="1" x14ac:dyDescent="0.3">
      <c r="A62" s="76"/>
      <c r="B62" s="70"/>
      <c r="C62" s="77" t="str">
        <f>IF(Prelim!AJ65&lt;&gt;"",Prelim!AJ65,"")</f>
        <v/>
      </c>
      <c r="D62" s="78" t="str">
        <f>IF(Midterm!AL65&lt;&gt;"",Midterm!AL65,"")</f>
        <v/>
      </c>
      <c r="E62" s="78" t="str">
        <f>IF(SemiFinal!AM65&lt;&gt;"",SemiFinal!AM65,"")</f>
        <v/>
      </c>
      <c r="F62" s="78" t="str">
        <f>IF(Final!AN65&lt;&gt;"",IF(Final!AN65&lt;=3.05,Final!AN65,5),"")</f>
        <v/>
      </c>
      <c r="G62" s="78" t="str">
        <f t="shared" si="1"/>
        <v/>
      </c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</row>
    <row r="63" spans="1:26" ht="15" customHeight="1" x14ac:dyDescent="0.3">
      <c r="A63" s="69"/>
      <c r="B63" s="70"/>
      <c r="C63" s="71" t="str">
        <f>IF(Prelim!AJ66&lt;&gt;"",Prelim!AJ66,"")</f>
        <v/>
      </c>
      <c r="D63" s="72" t="str">
        <f>IF(Midterm!AL66&lt;&gt;"",Midterm!AL66,"")</f>
        <v/>
      </c>
      <c r="E63" s="72" t="str">
        <f>IF(SemiFinal!AM66&lt;&gt;"",SemiFinal!AM66,"")</f>
        <v/>
      </c>
      <c r="F63" s="72" t="str">
        <f>IF(Final!AN66&lt;&gt;"",IF(Final!AN66&lt;=3.05,Final!AN66,5),"")</f>
        <v/>
      </c>
      <c r="G63" s="72" t="str">
        <f t="shared" si="1"/>
        <v/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</row>
    <row r="64" spans="1:26" ht="15" customHeight="1" x14ac:dyDescent="0.3">
      <c r="A64" s="69"/>
      <c r="B64" s="70"/>
      <c r="C64" s="71" t="str">
        <f>IF(Prelim!AJ67&lt;&gt;"",Prelim!AJ67,"")</f>
        <v/>
      </c>
      <c r="D64" s="72" t="str">
        <f>IF(Midterm!AL67&lt;&gt;"",Midterm!AL67,"")</f>
        <v/>
      </c>
      <c r="E64" s="72" t="str">
        <f>IF(SemiFinal!AM67&lt;&gt;"",SemiFinal!AM67,"")</f>
        <v/>
      </c>
      <c r="F64" s="72" t="str">
        <f>IF(Final!AN67&lt;&gt;"",IF(Final!AN67&lt;=3.05,Final!AN67,5),"")</f>
        <v/>
      </c>
      <c r="G64" s="72" t="str">
        <f t="shared" si="1"/>
        <v/>
      </c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</row>
    <row r="65" spans="1:26" ht="15" customHeight="1" x14ac:dyDescent="0.3">
      <c r="A65" s="69"/>
      <c r="B65" s="70"/>
      <c r="C65" s="71" t="str">
        <f>IF(Prelim!AJ68&lt;&gt;"",Prelim!AJ68,"")</f>
        <v/>
      </c>
      <c r="D65" s="72" t="str">
        <f>IF(Midterm!AL68&lt;&gt;"",Midterm!AL68,"")</f>
        <v/>
      </c>
      <c r="E65" s="72" t="str">
        <f>IF(SemiFinal!AM68&lt;&gt;"",SemiFinal!AM68,"")</f>
        <v/>
      </c>
      <c r="F65" s="72" t="str">
        <f>IF(Final!AN68&lt;&gt;"",IF(Final!AN68&lt;=3.05,Final!AN68,5),"")</f>
        <v/>
      </c>
      <c r="G65" s="72" t="str">
        <f t="shared" si="1"/>
        <v/>
      </c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</row>
    <row r="66" spans="1:26" ht="15" customHeight="1" x14ac:dyDescent="0.3">
      <c r="A66" s="73"/>
      <c r="B66" s="70"/>
      <c r="C66" s="74" t="str">
        <f>IF(Prelim!AJ69&lt;&gt;"",Prelim!AJ69,"")</f>
        <v/>
      </c>
      <c r="D66" s="75" t="str">
        <f>IF(Midterm!AL69&lt;&gt;"",Midterm!AL69,"")</f>
        <v/>
      </c>
      <c r="E66" s="75" t="str">
        <f>IF(SemiFinal!AM69&lt;&gt;"",SemiFinal!AM69,"")</f>
        <v/>
      </c>
      <c r="F66" s="75" t="str">
        <f>IF(Final!AN69&lt;&gt;"",IF(Final!AN69&lt;=3.05,Final!AN69,5),"")</f>
        <v/>
      </c>
      <c r="G66" s="75" t="str">
        <f t="shared" si="1"/>
        <v/>
      </c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</row>
    <row r="67" spans="1:26" ht="14.25" customHeight="1" x14ac:dyDescent="0.3">
      <c r="A67" s="76"/>
      <c r="B67" s="70"/>
      <c r="C67" s="77" t="str">
        <f>IF(Prelim!AJ70&lt;&gt;"",Prelim!AJ70,"")</f>
        <v/>
      </c>
      <c r="D67" s="78" t="str">
        <f>IF(Midterm!AL70&lt;&gt;"",Midterm!AL70,"")</f>
        <v/>
      </c>
      <c r="E67" s="78" t="str">
        <f>IF(SemiFinal!AM70&lt;&gt;"",SemiFinal!AM70,"")</f>
        <v/>
      </c>
      <c r="F67" s="78" t="str">
        <f>IF(Final!AN70&lt;&gt;"",IF(Final!AN70&lt;=3.05,Final!AN70,5),"")</f>
        <v/>
      </c>
      <c r="G67" s="78" t="str">
        <f t="shared" ref="G67:G76" si="2">IF(F67&lt;&gt;"",IF(F67&lt;=3.05,"PASSED","FAILED"),"")</f>
        <v/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</row>
    <row r="68" spans="1:26" ht="14.25" customHeight="1" x14ac:dyDescent="0.3">
      <c r="A68" s="69"/>
      <c r="B68" s="70"/>
      <c r="C68" s="71" t="str">
        <f>IF(Prelim!AJ71&lt;&gt;"",Prelim!AJ71,"")</f>
        <v/>
      </c>
      <c r="D68" s="72" t="str">
        <f>IF(Midterm!AL71&lt;&gt;"",Midterm!AL71,"")</f>
        <v/>
      </c>
      <c r="E68" s="72" t="str">
        <f>IF(SemiFinal!AM71&lt;&gt;"",SemiFinal!AM71,"")</f>
        <v/>
      </c>
      <c r="F68" s="72" t="str">
        <f>IF(Final!AN71&lt;&gt;"",IF(Final!AN71&lt;=3.05,Final!AN71,5),"")</f>
        <v/>
      </c>
      <c r="G68" s="72" t="str">
        <f t="shared" si="2"/>
        <v/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ht="14.25" customHeight="1" x14ac:dyDescent="0.3">
      <c r="A69" s="69"/>
      <c r="B69" s="70"/>
      <c r="C69" s="71" t="str">
        <f>IF(Prelim!AJ72&lt;&gt;"",Prelim!AJ72,"")</f>
        <v/>
      </c>
      <c r="D69" s="72" t="str">
        <f>IF(Midterm!AL72&lt;&gt;"",Midterm!AL72,"")</f>
        <v/>
      </c>
      <c r="E69" s="72" t="str">
        <f>IF(SemiFinal!AM72&lt;&gt;"",SemiFinal!AM72,"")</f>
        <v/>
      </c>
      <c r="F69" s="72" t="str">
        <f>IF(Final!AN72&lt;&gt;"",IF(Final!AN72&lt;=3.05,Final!AN72,5),"")</f>
        <v/>
      </c>
      <c r="G69" s="72" t="str">
        <f t="shared" si="2"/>
        <v/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</row>
    <row r="70" spans="1:26" ht="14.25" customHeight="1" x14ac:dyDescent="0.3">
      <c r="A70" s="69"/>
      <c r="B70" s="70"/>
      <c r="C70" s="71" t="str">
        <f>IF(Prelim!AJ73&lt;&gt;"",Prelim!AJ73,"")</f>
        <v/>
      </c>
      <c r="D70" s="72" t="str">
        <f>IF(Midterm!AL73&lt;&gt;"",Midterm!AL73,"")</f>
        <v/>
      </c>
      <c r="E70" s="72" t="str">
        <f>IF(SemiFinal!AM73&lt;&gt;"",SemiFinal!AM73,"")</f>
        <v/>
      </c>
      <c r="F70" s="72" t="str">
        <f>IF(Final!AN73&lt;&gt;"",IF(Final!AN73&lt;=3.05,Final!AN73,5),"")</f>
        <v/>
      </c>
      <c r="G70" s="72" t="str">
        <f t="shared" si="2"/>
        <v/>
      </c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</row>
    <row r="71" spans="1:26" ht="14.25" customHeight="1" x14ac:dyDescent="0.3">
      <c r="A71" s="73"/>
      <c r="B71" s="70"/>
      <c r="C71" s="74" t="str">
        <f>IF(Prelim!AJ74&lt;&gt;"",Prelim!AJ74,"")</f>
        <v/>
      </c>
      <c r="D71" s="75" t="str">
        <f>IF(Midterm!AL74&lt;&gt;"",Midterm!AL74,"")</f>
        <v/>
      </c>
      <c r="E71" s="75" t="str">
        <f>IF(SemiFinal!AM74&lt;&gt;"",SemiFinal!AM74,"")</f>
        <v/>
      </c>
      <c r="F71" s="75" t="str">
        <f>IF(Final!AN74&lt;&gt;"",IF(Final!AN74&lt;=3.05,Final!AN74,5),"")</f>
        <v/>
      </c>
      <c r="G71" s="75" t="str">
        <f t="shared" si="2"/>
        <v/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</row>
    <row r="72" spans="1:26" ht="14.25" customHeight="1" x14ac:dyDescent="0.3">
      <c r="A72" s="76"/>
      <c r="B72" s="70"/>
      <c r="C72" s="77" t="str">
        <f>IF(Prelim!AJ75&lt;&gt;"",Prelim!AJ75,"")</f>
        <v/>
      </c>
      <c r="D72" s="78" t="str">
        <f>IF(Midterm!AL75&lt;&gt;"",Midterm!AL75,"")</f>
        <v/>
      </c>
      <c r="E72" s="78" t="str">
        <f>IF(SemiFinal!AM75&lt;&gt;"",SemiFinal!AM75,"")</f>
        <v/>
      </c>
      <c r="F72" s="78" t="str">
        <f>IF(Final!AN75&lt;&gt;"",IF(Final!AN75&lt;=3.05,Final!AN75,5),"")</f>
        <v/>
      </c>
      <c r="G72" s="78" t="str">
        <f t="shared" si="2"/>
        <v/>
      </c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</row>
    <row r="73" spans="1:26" ht="14.25" customHeight="1" x14ac:dyDescent="0.3">
      <c r="A73" s="69"/>
      <c r="B73" s="70"/>
      <c r="C73" s="71" t="str">
        <f>IF(Prelim!AJ76&lt;&gt;"",Prelim!AJ76,"")</f>
        <v/>
      </c>
      <c r="D73" s="72" t="str">
        <f>IF(Midterm!AL76&lt;&gt;"",Midterm!AL76,"")</f>
        <v/>
      </c>
      <c r="E73" s="72" t="str">
        <f>IF(SemiFinal!AM76&lt;&gt;"",SemiFinal!AM76,"")</f>
        <v/>
      </c>
      <c r="F73" s="72" t="str">
        <f>IF(Final!AN76&lt;&gt;"",IF(Final!AN76&lt;=3.05,Final!AN76,5),"")</f>
        <v/>
      </c>
      <c r="G73" s="72" t="str">
        <f t="shared" si="2"/>
        <v/>
      </c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</row>
    <row r="74" spans="1:26" ht="14.25" customHeight="1" x14ac:dyDescent="0.3">
      <c r="A74" s="69"/>
      <c r="B74" s="70"/>
      <c r="C74" s="71" t="str">
        <f>IF(Prelim!AJ77&lt;&gt;"",Prelim!AJ77,"")</f>
        <v/>
      </c>
      <c r="D74" s="72" t="str">
        <f>IF(Midterm!AL77&lt;&gt;"",Midterm!AL77,"")</f>
        <v/>
      </c>
      <c r="E74" s="72" t="str">
        <f>IF(SemiFinal!AM77&lt;&gt;"",SemiFinal!AM77,"")</f>
        <v/>
      </c>
      <c r="F74" s="72" t="str">
        <f>IF(Final!AN77&lt;&gt;"",IF(Final!AN77&lt;=3.05,Final!AN77,5),"")</f>
        <v/>
      </c>
      <c r="G74" s="72" t="str">
        <f t="shared" si="2"/>
        <v/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</row>
    <row r="75" spans="1:26" ht="14.25" customHeight="1" x14ac:dyDescent="0.3">
      <c r="A75" s="69"/>
      <c r="B75" s="70"/>
      <c r="C75" s="71" t="str">
        <f>IF(Prelim!AJ78&lt;&gt;"",Prelim!AJ78,"")</f>
        <v/>
      </c>
      <c r="D75" s="72" t="str">
        <f>IF(Midterm!AL78&lt;&gt;"",Midterm!AL78,"")</f>
        <v/>
      </c>
      <c r="E75" s="72" t="str">
        <f>IF(SemiFinal!AM78&lt;&gt;"",SemiFinal!AM78,"")</f>
        <v/>
      </c>
      <c r="F75" s="72" t="str">
        <f>IF(Final!AN78&lt;&gt;"",IF(Final!AN78&lt;=3.05,Final!AN78,5),"")</f>
        <v/>
      </c>
      <c r="G75" s="72" t="str">
        <f t="shared" si="2"/>
        <v/>
      </c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</row>
    <row r="76" spans="1:26" ht="14.25" customHeight="1" x14ac:dyDescent="0.3">
      <c r="A76" s="229"/>
      <c r="B76" s="70"/>
      <c r="C76" s="74" t="str">
        <f>IF(Prelim!AJ79&lt;&gt;"",Prelim!AJ79,"")</f>
        <v/>
      </c>
      <c r="D76" s="75" t="str">
        <f>IF(Midterm!AL79&lt;&gt;"",Midterm!AL79,"")</f>
        <v/>
      </c>
      <c r="E76" s="75" t="str">
        <f>IF(SemiFinal!AM79&lt;&gt;"",SemiFinal!AM79,"")</f>
        <v/>
      </c>
      <c r="F76" s="75" t="str">
        <f>IF(Final!AN79&lt;&gt;"",IF(Final!AN79&lt;=3.05,Final!AN79,5),"")</f>
        <v/>
      </c>
      <c r="G76" s="75" t="str">
        <f t="shared" si="2"/>
        <v/>
      </c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</row>
    <row r="77" spans="1:26" ht="14.25" customHeight="1" x14ac:dyDescent="0.3">
      <c r="A77" s="228"/>
      <c r="B77" s="114"/>
      <c r="C77" s="114"/>
      <c r="D77" s="114"/>
      <c r="E77" s="114"/>
      <c r="F77" s="114"/>
      <c r="G77" s="11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</row>
    <row r="78" spans="1:26" ht="14.25" customHeight="1" x14ac:dyDescent="0.3">
      <c r="A78" s="113"/>
      <c r="B78" s="114"/>
      <c r="C78" s="114"/>
      <c r="D78" s="114"/>
      <c r="E78" s="114"/>
      <c r="F78" s="114"/>
      <c r="G78" s="11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</row>
    <row r="79" spans="1:26" ht="14.25" customHeight="1" x14ac:dyDescent="0.3">
      <c r="A79" s="113"/>
      <c r="B79" s="115" t="str">
        <f>IF(Settings!$B$6&lt;&gt;0,Settings!$B$6,"")</f>
        <v/>
      </c>
      <c r="C79" s="114"/>
      <c r="D79" s="306" t="str">
        <f>IF(Settings!$B$8&lt;&gt;0,Settings!$B$8,"")</f>
        <v/>
      </c>
      <c r="E79" s="307"/>
      <c r="F79" s="307"/>
      <c r="G79" s="307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</row>
    <row r="80" spans="1:26" ht="14.25" customHeight="1" x14ac:dyDescent="0.3">
      <c r="A80" s="113"/>
      <c r="B80" s="80" t="s">
        <v>45</v>
      </c>
      <c r="C80" s="114"/>
      <c r="D80" s="308" t="s">
        <v>11</v>
      </c>
      <c r="E80" s="263"/>
      <c r="F80" s="263"/>
      <c r="G80" s="263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1:26" ht="14.25" customHeight="1" x14ac:dyDescent="0.3">
      <c r="A81" s="113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</row>
    <row r="82" spans="1:26" ht="14.25" customHeight="1" x14ac:dyDescent="0.3">
      <c r="A82" s="113"/>
      <c r="B82" s="64"/>
      <c r="C82" s="64"/>
      <c r="D82" s="64"/>
      <c r="E82" s="64"/>
      <c r="F82" s="64"/>
      <c r="G82" s="64"/>
      <c r="H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</row>
    <row r="83" spans="1:26" ht="14.25" customHeight="1" x14ac:dyDescent="0.3">
      <c r="A83" s="79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</row>
    <row r="84" spans="1:26" ht="14.25" customHeight="1" x14ac:dyDescent="0.3">
      <c r="A84" s="79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</row>
    <row r="85" spans="1:26" ht="14.25" customHeight="1" x14ac:dyDescent="0.3">
      <c r="A85" s="79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</row>
    <row r="86" spans="1:26" ht="14.25" customHeight="1" x14ac:dyDescent="0.3">
      <c r="A86" s="79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</row>
    <row r="87" spans="1:26" ht="14.25" customHeight="1" x14ac:dyDescent="0.3">
      <c r="A87" s="79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</row>
    <row r="88" spans="1:26" ht="14.25" customHeight="1" x14ac:dyDescent="0.3">
      <c r="A88" s="79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</row>
    <row r="89" spans="1:26" ht="14.25" customHeight="1" x14ac:dyDescent="0.3">
      <c r="A89" s="79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</row>
    <row r="90" spans="1:26" ht="14.25" customHeight="1" x14ac:dyDescent="0.3">
      <c r="A90" s="79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</row>
    <row r="91" spans="1:26" ht="14.25" customHeight="1" x14ac:dyDescent="0.3">
      <c r="A91" s="79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</row>
    <row r="92" spans="1:26" ht="14.25" customHeight="1" x14ac:dyDescent="0.3">
      <c r="A92" s="79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</row>
    <row r="93" spans="1:26" ht="14.25" customHeight="1" x14ac:dyDescent="0.3">
      <c r="A93" s="79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</row>
    <row r="94" spans="1:26" ht="14.25" customHeight="1" x14ac:dyDescent="0.3">
      <c r="A94" s="79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</row>
    <row r="95" spans="1:26" ht="14.25" customHeight="1" x14ac:dyDescent="0.3">
      <c r="A95" s="79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</row>
    <row r="96" spans="1:26" ht="14.25" customHeight="1" x14ac:dyDescent="0.3">
      <c r="A96" s="79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</row>
    <row r="97" spans="1:26" ht="14.25" customHeight="1" x14ac:dyDescent="0.3">
      <c r="A97" s="79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</row>
    <row r="98" spans="1:26" ht="14.25" customHeight="1" x14ac:dyDescent="0.3">
      <c r="A98" s="79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</row>
    <row r="99" spans="1:26" ht="14.25" customHeight="1" x14ac:dyDescent="0.3">
      <c r="A99" s="79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</row>
    <row r="100" spans="1:26" ht="14.25" customHeight="1" x14ac:dyDescent="0.3">
      <c r="A100" s="79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</row>
    <row r="101" spans="1:26" ht="14.25" customHeight="1" x14ac:dyDescent="0.3">
      <c r="A101" s="79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</row>
    <row r="102" spans="1:26" ht="14.25" customHeight="1" x14ac:dyDescent="0.3">
      <c r="A102" s="79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</row>
    <row r="103" spans="1:26" ht="14.25" customHeight="1" x14ac:dyDescent="0.3">
      <c r="A103" s="79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</row>
    <row r="104" spans="1:26" ht="14.25" customHeight="1" x14ac:dyDescent="0.3">
      <c r="A104" s="79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</row>
    <row r="105" spans="1:26" ht="14.25" customHeight="1" x14ac:dyDescent="0.3">
      <c r="A105" s="79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</row>
    <row r="106" spans="1:26" ht="14.25" customHeight="1" x14ac:dyDescent="0.3">
      <c r="A106" s="79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</row>
    <row r="107" spans="1:26" ht="14.25" customHeight="1" x14ac:dyDescent="0.3">
      <c r="A107" s="79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</row>
    <row r="108" spans="1:26" ht="14.25" customHeight="1" x14ac:dyDescent="0.3">
      <c r="A108" s="79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</row>
    <row r="109" spans="1:26" ht="14.25" customHeight="1" x14ac:dyDescent="0.3">
      <c r="A109" s="79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</row>
    <row r="110" spans="1:26" ht="14.25" customHeight="1" x14ac:dyDescent="0.3">
      <c r="A110" s="79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</row>
    <row r="111" spans="1:26" ht="14.25" customHeight="1" x14ac:dyDescent="0.3">
      <c r="A111" s="79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</row>
    <row r="112" spans="1:26" ht="14.25" customHeight="1" x14ac:dyDescent="0.3">
      <c r="A112" s="79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</row>
    <row r="113" spans="1:26" ht="14.25" customHeight="1" x14ac:dyDescent="0.3">
      <c r="A113" s="79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</row>
    <row r="114" spans="1:26" ht="14.25" customHeight="1" x14ac:dyDescent="0.3">
      <c r="A114" s="79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</row>
    <row r="115" spans="1:26" ht="14.25" customHeight="1" x14ac:dyDescent="0.3">
      <c r="A115" s="79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</row>
    <row r="116" spans="1:26" ht="14.25" customHeight="1" x14ac:dyDescent="0.3">
      <c r="A116" s="79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</row>
    <row r="117" spans="1:26" ht="14.25" customHeight="1" x14ac:dyDescent="0.3">
      <c r="A117" s="79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</row>
    <row r="118" spans="1:26" ht="14.25" customHeight="1" x14ac:dyDescent="0.3">
      <c r="A118" s="79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</row>
    <row r="119" spans="1:26" ht="14.25" customHeight="1" x14ac:dyDescent="0.3">
      <c r="A119" s="79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</row>
    <row r="120" spans="1:26" ht="14.25" customHeight="1" x14ac:dyDescent="0.3">
      <c r="A120" s="79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</row>
    <row r="121" spans="1:26" ht="14.25" customHeight="1" x14ac:dyDescent="0.3">
      <c r="A121" s="79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</row>
    <row r="122" spans="1:26" ht="14.25" customHeight="1" x14ac:dyDescent="0.3">
      <c r="A122" s="79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</row>
    <row r="123" spans="1:26" ht="14.25" customHeight="1" x14ac:dyDescent="0.3">
      <c r="A123" s="79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</row>
    <row r="124" spans="1:26" ht="14.25" customHeight="1" x14ac:dyDescent="0.3">
      <c r="A124" s="79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</row>
    <row r="125" spans="1:26" ht="14.25" customHeight="1" x14ac:dyDescent="0.3">
      <c r="A125" s="79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</row>
    <row r="126" spans="1:26" ht="14.25" customHeight="1" x14ac:dyDescent="0.3">
      <c r="A126" s="79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</row>
    <row r="127" spans="1:26" ht="14.25" customHeight="1" x14ac:dyDescent="0.3">
      <c r="A127" s="79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</row>
    <row r="128" spans="1:26" ht="14.25" customHeight="1" x14ac:dyDescent="0.3">
      <c r="A128" s="79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</row>
    <row r="129" spans="1:26" ht="14.25" customHeight="1" x14ac:dyDescent="0.3">
      <c r="A129" s="79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</row>
    <row r="130" spans="1:26" ht="14.25" customHeight="1" x14ac:dyDescent="0.3">
      <c r="A130" s="79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</row>
    <row r="131" spans="1:26" ht="14.25" customHeight="1" x14ac:dyDescent="0.3">
      <c r="A131" s="79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</row>
    <row r="132" spans="1:26" ht="14.25" customHeight="1" x14ac:dyDescent="0.3">
      <c r="A132" s="79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</row>
    <row r="133" spans="1:26" ht="14.25" customHeight="1" x14ac:dyDescent="0.3">
      <c r="A133" s="79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</row>
    <row r="134" spans="1:26" ht="14.25" customHeight="1" x14ac:dyDescent="0.3">
      <c r="A134" s="79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</row>
    <row r="135" spans="1:26" ht="14.25" customHeight="1" x14ac:dyDescent="0.3">
      <c r="A135" s="79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</row>
    <row r="136" spans="1:26" ht="14.25" customHeight="1" x14ac:dyDescent="0.3">
      <c r="A136" s="79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</row>
    <row r="137" spans="1:26" ht="14.25" customHeight="1" x14ac:dyDescent="0.3">
      <c r="A137" s="79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</row>
    <row r="138" spans="1:26" ht="14.25" customHeight="1" x14ac:dyDescent="0.3">
      <c r="A138" s="79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</row>
    <row r="139" spans="1:26" ht="14.25" customHeight="1" x14ac:dyDescent="0.3">
      <c r="A139" s="79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</row>
    <row r="140" spans="1:26" ht="14.25" customHeight="1" x14ac:dyDescent="0.3">
      <c r="A140" s="79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</row>
    <row r="141" spans="1:26" ht="14.25" customHeight="1" x14ac:dyDescent="0.3">
      <c r="A141" s="79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</row>
    <row r="142" spans="1:26" ht="14.25" customHeight="1" x14ac:dyDescent="0.3">
      <c r="A142" s="79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</row>
    <row r="143" spans="1:26" ht="14.25" customHeight="1" x14ac:dyDescent="0.3">
      <c r="A143" s="79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</row>
    <row r="144" spans="1:26" ht="14.25" customHeight="1" x14ac:dyDescent="0.3">
      <c r="A144" s="79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</row>
    <row r="145" spans="1:26" ht="14.25" customHeight="1" x14ac:dyDescent="0.3">
      <c r="A145" s="79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</row>
    <row r="146" spans="1:26" ht="14.25" customHeight="1" x14ac:dyDescent="0.3">
      <c r="A146" s="79"/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</row>
    <row r="147" spans="1:26" ht="14.25" customHeight="1" x14ac:dyDescent="0.3">
      <c r="A147" s="79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</row>
    <row r="148" spans="1:26" ht="14.25" customHeight="1" x14ac:dyDescent="0.3">
      <c r="A148" s="79"/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</row>
    <row r="149" spans="1:26" ht="14.25" customHeight="1" x14ac:dyDescent="0.3">
      <c r="A149" s="79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</row>
    <row r="150" spans="1:26" ht="14.25" customHeight="1" x14ac:dyDescent="0.3">
      <c r="A150" s="79"/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</row>
    <row r="151" spans="1:26" ht="14.25" customHeight="1" x14ac:dyDescent="0.3">
      <c r="A151" s="79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</row>
    <row r="152" spans="1:26" ht="14.25" customHeight="1" x14ac:dyDescent="0.3">
      <c r="A152" s="79"/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</row>
    <row r="153" spans="1:26" ht="14.25" customHeight="1" x14ac:dyDescent="0.3">
      <c r="A153" s="79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</row>
    <row r="154" spans="1:26" ht="14.25" customHeight="1" x14ac:dyDescent="0.3">
      <c r="A154" s="79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</row>
    <row r="155" spans="1:26" ht="14.25" customHeight="1" x14ac:dyDescent="0.3">
      <c r="A155" s="79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</row>
    <row r="156" spans="1:26" ht="14.25" customHeight="1" x14ac:dyDescent="0.3">
      <c r="A156" s="79"/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</row>
    <row r="157" spans="1:26" ht="14.25" customHeight="1" x14ac:dyDescent="0.3">
      <c r="A157" s="79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</row>
    <row r="158" spans="1:26" ht="14.25" customHeight="1" x14ac:dyDescent="0.3">
      <c r="A158" s="79"/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</row>
    <row r="159" spans="1:26" ht="14.25" customHeight="1" x14ac:dyDescent="0.3">
      <c r="A159" s="79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</row>
    <row r="160" spans="1:26" ht="14.25" customHeight="1" x14ac:dyDescent="0.3">
      <c r="A160" s="79"/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</row>
    <row r="161" spans="1:26" ht="14.25" customHeight="1" x14ac:dyDescent="0.3">
      <c r="A161" s="79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</row>
    <row r="162" spans="1:26" ht="14.25" customHeight="1" x14ac:dyDescent="0.3">
      <c r="A162" s="79"/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</row>
    <row r="163" spans="1:26" ht="14.25" customHeight="1" x14ac:dyDescent="0.3">
      <c r="A163" s="79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</row>
    <row r="164" spans="1:26" ht="14.25" customHeight="1" x14ac:dyDescent="0.3">
      <c r="A164" s="79"/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</row>
    <row r="165" spans="1:26" ht="14.25" customHeight="1" x14ac:dyDescent="0.3">
      <c r="A165" s="79"/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</row>
    <row r="166" spans="1:26" ht="14.25" customHeight="1" x14ac:dyDescent="0.3">
      <c r="A166" s="79"/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</row>
    <row r="167" spans="1:26" ht="14.25" customHeight="1" x14ac:dyDescent="0.3">
      <c r="A167" s="79"/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</row>
    <row r="168" spans="1:26" ht="14.25" customHeight="1" x14ac:dyDescent="0.3">
      <c r="A168" s="79"/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</row>
    <row r="169" spans="1:26" ht="14.25" customHeight="1" x14ac:dyDescent="0.3">
      <c r="A169" s="79"/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</row>
    <row r="170" spans="1:26" ht="14.25" customHeight="1" x14ac:dyDescent="0.3">
      <c r="A170" s="79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</row>
    <row r="171" spans="1:26" ht="14.25" customHeight="1" x14ac:dyDescent="0.3">
      <c r="A171" s="79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</row>
    <row r="172" spans="1:26" ht="14.25" customHeight="1" x14ac:dyDescent="0.3">
      <c r="A172" s="79"/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</row>
    <row r="173" spans="1:26" ht="14.25" customHeight="1" x14ac:dyDescent="0.3">
      <c r="A173" s="79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</row>
    <row r="174" spans="1:26" ht="14.25" customHeight="1" x14ac:dyDescent="0.3">
      <c r="A174" s="79"/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</row>
    <row r="175" spans="1:26" ht="14.25" customHeight="1" x14ac:dyDescent="0.3">
      <c r="A175" s="79"/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</row>
    <row r="176" spans="1:26" ht="14.25" customHeight="1" x14ac:dyDescent="0.3">
      <c r="A176" s="79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</row>
    <row r="177" spans="1:26" ht="14.25" customHeight="1" x14ac:dyDescent="0.3">
      <c r="A177" s="79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</row>
    <row r="178" spans="1:26" ht="14.25" customHeight="1" x14ac:dyDescent="0.3">
      <c r="A178" s="79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</row>
    <row r="179" spans="1:26" ht="14.25" customHeight="1" x14ac:dyDescent="0.3">
      <c r="A179" s="79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</row>
    <row r="180" spans="1:26" ht="14.25" customHeight="1" x14ac:dyDescent="0.3">
      <c r="A180" s="79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</row>
    <row r="181" spans="1:26" ht="14.25" customHeight="1" x14ac:dyDescent="0.3">
      <c r="A181" s="79"/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</row>
    <row r="182" spans="1:26" ht="14.25" customHeight="1" x14ac:dyDescent="0.3">
      <c r="A182" s="79"/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</row>
    <row r="183" spans="1:26" ht="14.25" customHeight="1" x14ac:dyDescent="0.3">
      <c r="A183" s="79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</row>
    <row r="184" spans="1:26" ht="14.25" customHeight="1" x14ac:dyDescent="0.3">
      <c r="A184" s="79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</row>
    <row r="185" spans="1:26" ht="14.25" customHeight="1" x14ac:dyDescent="0.3">
      <c r="A185" s="79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</row>
    <row r="186" spans="1:26" ht="14.25" customHeight="1" x14ac:dyDescent="0.3">
      <c r="A186" s="79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</row>
    <row r="187" spans="1:26" ht="14.25" customHeight="1" x14ac:dyDescent="0.3">
      <c r="A187" s="79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</row>
    <row r="188" spans="1:26" ht="14.25" customHeight="1" x14ac:dyDescent="0.3">
      <c r="A188" s="79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</row>
    <row r="189" spans="1:26" ht="14.25" customHeight="1" x14ac:dyDescent="0.3">
      <c r="A189" s="79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</row>
    <row r="190" spans="1:26" ht="14.25" customHeight="1" x14ac:dyDescent="0.3">
      <c r="A190" s="79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</row>
    <row r="191" spans="1:26" ht="14.25" customHeight="1" x14ac:dyDescent="0.3">
      <c r="A191" s="79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</row>
    <row r="192" spans="1:26" ht="14.25" customHeight="1" x14ac:dyDescent="0.3">
      <c r="A192" s="79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</row>
    <row r="193" spans="1:26" ht="14.25" customHeight="1" x14ac:dyDescent="0.3">
      <c r="A193" s="79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</row>
    <row r="194" spans="1:26" ht="14.25" customHeight="1" x14ac:dyDescent="0.3">
      <c r="A194" s="79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</row>
    <row r="195" spans="1:26" ht="14.25" customHeight="1" x14ac:dyDescent="0.3">
      <c r="A195" s="79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</row>
    <row r="196" spans="1:26" ht="14.25" customHeight="1" x14ac:dyDescent="0.3">
      <c r="A196" s="79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</row>
    <row r="197" spans="1:26" ht="14.25" customHeight="1" x14ac:dyDescent="0.3">
      <c r="A197" s="79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</row>
    <row r="198" spans="1:26" ht="14.25" customHeight="1" x14ac:dyDescent="0.3">
      <c r="A198" s="79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</row>
    <row r="199" spans="1:26" ht="14.25" customHeight="1" x14ac:dyDescent="0.3">
      <c r="A199" s="79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</row>
    <row r="200" spans="1:26" ht="14.25" customHeight="1" x14ac:dyDescent="0.3">
      <c r="A200" s="79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</row>
    <row r="201" spans="1:26" ht="14.25" customHeight="1" x14ac:dyDescent="0.3">
      <c r="A201" s="79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</row>
    <row r="202" spans="1:26" ht="14.25" customHeight="1" x14ac:dyDescent="0.3">
      <c r="A202" s="79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</row>
    <row r="203" spans="1:26" ht="14.25" customHeight="1" x14ac:dyDescent="0.3">
      <c r="A203" s="79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</row>
    <row r="204" spans="1:26" ht="14.25" customHeight="1" x14ac:dyDescent="0.3">
      <c r="A204" s="79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</row>
    <row r="205" spans="1:26" ht="14.25" customHeight="1" x14ac:dyDescent="0.3">
      <c r="A205" s="79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</row>
    <row r="206" spans="1:26" ht="14.25" customHeight="1" x14ac:dyDescent="0.3">
      <c r="A206" s="79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</row>
    <row r="207" spans="1:26" ht="14.25" customHeight="1" x14ac:dyDescent="0.3">
      <c r="A207" s="79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</row>
    <row r="208" spans="1:26" ht="14.25" customHeight="1" x14ac:dyDescent="0.3">
      <c r="A208" s="79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</row>
    <row r="209" spans="1:26" ht="14.25" customHeight="1" x14ac:dyDescent="0.3">
      <c r="A209" s="79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</row>
    <row r="210" spans="1:26" ht="14.25" customHeight="1" x14ac:dyDescent="0.3">
      <c r="A210" s="79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</row>
    <row r="211" spans="1:26" ht="14.25" customHeight="1" x14ac:dyDescent="0.3">
      <c r="A211" s="79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</row>
    <row r="212" spans="1:26" ht="14.25" customHeight="1" x14ac:dyDescent="0.3">
      <c r="A212" s="79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</row>
    <row r="213" spans="1:26" ht="14.25" customHeight="1" x14ac:dyDescent="0.3">
      <c r="A213" s="79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</row>
    <row r="214" spans="1:26" ht="14.25" customHeight="1" x14ac:dyDescent="0.3">
      <c r="A214" s="79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</row>
    <row r="215" spans="1:26" ht="14.25" customHeight="1" x14ac:dyDescent="0.3">
      <c r="A215" s="79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</row>
    <row r="216" spans="1:26" ht="14.25" customHeight="1" x14ac:dyDescent="0.3">
      <c r="A216" s="79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</row>
    <row r="217" spans="1:26" ht="14.25" customHeight="1" x14ac:dyDescent="0.3">
      <c r="A217" s="79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</row>
    <row r="218" spans="1:26" ht="14.25" customHeight="1" x14ac:dyDescent="0.3">
      <c r="A218" s="79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</row>
    <row r="219" spans="1:26" ht="14.25" customHeight="1" x14ac:dyDescent="0.3">
      <c r="A219" s="79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</row>
    <row r="220" spans="1:26" ht="14.25" customHeight="1" x14ac:dyDescent="0.3">
      <c r="A220" s="79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</row>
    <row r="221" spans="1:26" ht="14.25" customHeight="1" x14ac:dyDescent="0.3">
      <c r="A221" s="79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</row>
    <row r="222" spans="1:26" ht="14.25" customHeight="1" x14ac:dyDescent="0.3">
      <c r="A222" s="79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</row>
    <row r="223" spans="1:26" ht="14.25" customHeight="1" x14ac:dyDescent="0.3">
      <c r="A223" s="79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</row>
    <row r="224" spans="1:26" ht="14.25" customHeight="1" x14ac:dyDescent="0.3">
      <c r="A224" s="79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</row>
    <row r="225" spans="1:26" ht="14.25" customHeight="1" x14ac:dyDescent="0.3">
      <c r="A225" s="79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</row>
    <row r="226" spans="1:26" ht="14.25" customHeight="1" x14ac:dyDescent="0.3">
      <c r="A226" s="79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</row>
    <row r="227" spans="1:26" ht="14.25" customHeight="1" x14ac:dyDescent="0.3">
      <c r="A227" s="79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</row>
    <row r="228" spans="1:26" ht="14.25" customHeight="1" x14ac:dyDescent="0.3">
      <c r="A228" s="79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</row>
    <row r="229" spans="1:26" ht="14.25" customHeight="1" x14ac:dyDescent="0.3">
      <c r="A229" s="79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</row>
    <row r="230" spans="1:26" ht="14.25" customHeight="1" x14ac:dyDescent="0.3">
      <c r="A230" s="79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</row>
    <row r="231" spans="1:26" ht="14.25" customHeight="1" x14ac:dyDescent="0.3">
      <c r="A231" s="79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</row>
    <row r="232" spans="1:26" ht="14.25" customHeight="1" x14ac:dyDescent="0.3">
      <c r="A232" s="79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</row>
    <row r="233" spans="1:26" ht="14.25" customHeight="1" x14ac:dyDescent="0.3">
      <c r="A233" s="79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</row>
    <row r="234" spans="1:26" ht="14.25" customHeight="1" x14ac:dyDescent="0.3">
      <c r="A234" s="79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</row>
    <row r="235" spans="1:26" ht="14.25" customHeight="1" x14ac:dyDescent="0.3">
      <c r="A235" s="79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</row>
    <row r="236" spans="1:26" ht="14.25" customHeight="1" x14ac:dyDescent="0.3">
      <c r="A236" s="79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</row>
    <row r="237" spans="1:26" ht="14.25" customHeight="1" x14ac:dyDescent="0.3">
      <c r="A237" s="79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</row>
    <row r="238" spans="1:26" ht="14.25" customHeight="1" x14ac:dyDescent="0.3">
      <c r="A238" s="79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</row>
    <row r="239" spans="1:26" ht="14.25" customHeight="1" x14ac:dyDescent="0.3">
      <c r="A239" s="79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</row>
    <row r="240" spans="1:26" ht="14.25" customHeight="1" x14ac:dyDescent="0.3">
      <c r="A240" s="79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</row>
    <row r="241" spans="1:26" ht="14.25" customHeight="1" x14ac:dyDescent="0.3">
      <c r="A241" s="79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</row>
    <row r="242" spans="1:26" ht="14.25" customHeight="1" x14ac:dyDescent="0.3">
      <c r="A242" s="79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</row>
    <row r="243" spans="1:26" ht="14.25" customHeight="1" x14ac:dyDescent="0.3">
      <c r="A243" s="79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</row>
    <row r="244" spans="1:26" ht="14.25" customHeight="1" x14ac:dyDescent="0.3">
      <c r="A244" s="79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</row>
    <row r="245" spans="1:26" ht="14.25" customHeight="1" x14ac:dyDescent="0.3">
      <c r="A245" s="79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</row>
    <row r="246" spans="1:26" ht="14.25" customHeight="1" x14ac:dyDescent="0.3">
      <c r="A246" s="79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</row>
    <row r="247" spans="1:26" ht="14.25" customHeight="1" x14ac:dyDescent="0.3">
      <c r="A247" s="79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</row>
    <row r="248" spans="1:26" ht="14.25" customHeight="1" x14ac:dyDescent="0.3">
      <c r="A248" s="79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</row>
    <row r="249" spans="1:26" ht="14.25" customHeight="1" x14ac:dyDescent="0.3">
      <c r="A249" s="79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</row>
    <row r="250" spans="1:26" ht="14.25" customHeight="1" x14ac:dyDescent="0.3">
      <c r="A250" s="79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</row>
    <row r="251" spans="1:26" ht="14.25" customHeight="1" x14ac:dyDescent="0.3">
      <c r="A251" s="79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</row>
    <row r="252" spans="1:26" ht="14.25" customHeight="1" x14ac:dyDescent="0.3">
      <c r="A252" s="79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</row>
    <row r="253" spans="1:26" ht="14.25" customHeight="1" x14ac:dyDescent="0.3">
      <c r="A253" s="79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</row>
    <row r="254" spans="1:26" ht="14.25" customHeight="1" x14ac:dyDescent="0.3">
      <c r="A254" s="79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</row>
    <row r="255" spans="1:26" ht="14.25" customHeight="1" x14ac:dyDescent="0.3">
      <c r="A255" s="79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</row>
    <row r="256" spans="1:26" ht="14.25" customHeight="1" x14ac:dyDescent="0.3">
      <c r="A256" s="79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</row>
    <row r="257" spans="1:26" ht="14.25" customHeight="1" x14ac:dyDescent="0.3">
      <c r="A257" s="79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</row>
    <row r="258" spans="1:26" ht="14.25" customHeight="1" x14ac:dyDescent="0.3">
      <c r="A258" s="79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</row>
    <row r="259" spans="1:26" ht="14.25" customHeight="1" x14ac:dyDescent="0.3">
      <c r="A259" s="79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</row>
    <row r="260" spans="1:26" ht="14.25" customHeight="1" x14ac:dyDescent="0.3">
      <c r="A260" s="79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</row>
    <row r="261" spans="1:26" ht="14.25" customHeight="1" x14ac:dyDescent="0.3">
      <c r="A261" s="79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</row>
    <row r="262" spans="1:26" ht="14.25" customHeight="1" x14ac:dyDescent="0.3">
      <c r="A262" s="79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</row>
    <row r="263" spans="1:26" ht="14.25" customHeight="1" x14ac:dyDescent="0.3">
      <c r="A263" s="79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</row>
    <row r="264" spans="1:26" ht="14.25" customHeight="1" x14ac:dyDescent="0.3">
      <c r="A264" s="79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</row>
    <row r="265" spans="1:26" ht="14.25" customHeight="1" x14ac:dyDescent="0.3">
      <c r="A265" s="79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</row>
    <row r="266" spans="1:26" ht="14.25" customHeight="1" x14ac:dyDescent="0.3">
      <c r="A266" s="79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</row>
    <row r="267" spans="1:26" ht="14.25" customHeight="1" x14ac:dyDescent="0.3">
      <c r="A267" s="79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</row>
    <row r="268" spans="1:26" ht="14.25" customHeight="1" x14ac:dyDescent="0.3">
      <c r="A268" s="79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</row>
    <row r="269" spans="1:26" ht="14.25" customHeight="1" x14ac:dyDescent="0.3">
      <c r="A269" s="79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</row>
    <row r="270" spans="1:26" ht="14.25" customHeight="1" x14ac:dyDescent="0.3">
      <c r="A270" s="79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</row>
    <row r="271" spans="1:26" ht="14.25" customHeight="1" x14ac:dyDescent="0.3">
      <c r="A271" s="79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</row>
    <row r="272" spans="1:26" ht="14.25" customHeight="1" x14ac:dyDescent="0.3">
      <c r="A272" s="79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</row>
    <row r="273" spans="1:26" ht="14.25" customHeight="1" x14ac:dyDescent="0.3">
      <c r="A273" s="79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</row>
    <row r="274" spans="1:26" ht="14.25" customHeight="1" x14ac:dyDescent="0.3">
      <c r="A274" s="79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</row>
    <row r="275" spans="1:26" ht="14.25" customHeight="1" x14ac:dyDescent="0.3">
      <c r="A275" s="79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</row>
    <row r="276" spans="1:26" ht="14.25" customHeight="1" x14ac:dyDescent="0.3">
      <c r="A276" s="79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</row>
    <row r="277" spans="1:26" ht="14.25" customHeight="1" x14ac:dyDescent="0.3">
      <c r="A277" s="79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</row>
    <row r="278" spans="1:26" ht="14.25" customHeight="1" x14ac:dyDescent="0.3">
      <c r="A278" s="79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</row>
    <row r="279" spans="1:26" ht="14.25" customHeight="1" x14ac:dyDescent="0.3">
      <c r="A279" s="79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</row>
    <row r="280" spans="1:26" ht="14.25" customHeight="1" x14ac:dyDescent="0.3">
      <c r="A280" s="79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</row>
    <row r="281" spans="1:26" ht="14.25" customHeight="1" x14ac:dyDescent="0.3">
      <c r="A281" s="79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</row>
    <row r="282" spans="1:26" ht="14.25" customHeight="1" x14ac:dyDescent="0.3">
      <c r="A282" s="79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</row>
    <row r="283" spans="1:26" ht="14.25" customHeight="1" x14ac:dyDescent="0.3">
      <c r="A283" s="79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</row>
    <row r="284" spans="1:26" ht="14.25" customHeight="1" x14ac:dyDescent="0.3">
      <c r="A284" s="79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</row>
    <row r="285" spans="1:26" ht="14.25" customHeight="1" x14ac:dyDescent="0.3">
      <c r="A285" s="79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</row>
    <row r="286" spans="1:26" ht="14.25" customHeight="1" x14ac:dyDescent="0.3">
      <c r="A286" s="79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</row>
    <row r="287" spans="1:26" ht="14.25" customHeight="1" x14ac:dyDescent="0.3">
      <c r="A287" s="79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</row>
    <row r="288" spans="1:26" ht="14.25" customHeight="1" x14ac:dyDescent="0.3">
      <c r="A288" s="79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</row>
    <row r="289" spans="1:26" ht="14.25" customHeight="1" x14ac:dyDescent="0.3">
      <c r="A289" s="79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</row>
    <row r="290" spans="1:26" ht="14.25" customHeight="1" x14ac:dyDescent="0.3">
      <c r="A290" s="79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</row>
    <row r="291" spans="1:26" ht="14.25" customHeight="1" x14ac:dyDescent="0.3">
      <c r="A291" s="79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</row>
    <row r="292" spans="1:26" ht="14.25" customHeight="1" x14ac:dyDescent="0.3">
      <c r="A292" s="79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</row>
    <row r="293" spans="1:26" ht="14.25" customHeight="1" x14ac:dyDescent="0.3">
      <c r="A293" s="79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</row>
    <row r="294" spans="1:26" ht="14.25" customHeight="1" x14ac:dyDescent="0.3">
      <c r="A294" s="79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</row>
    <row r="295" spans="1:26" ht="14.25" customHeight="1" x14ac:dyDescent="0.3">
      <c r="A295" s="79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</row>
    <row r="296" spans="1:26" ht="14.25" customHeight="1" x14ac:dyDescent="0.3">
      <c r="A296" s="79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</row>
    <row r="297" spans="1:26" ht="14.25" customHeight="1" x14ac:dyDescent="0.3">
      <c r="A297" s="79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</row>
    <row r="298" spans="1:26" ht="14.25" customHeight="1" x14ac:dyDescent="0.3">
      <c r="A298" s="79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</row>
    <row r="299" spans="1:26" ht="14.25" customHeight="1" x14ac:dyDescent="0.3">
      <c r="A299" s="79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</row>
    <row r="300" spans="1:26" ht="14.25" customHeight="1" x14ac:dyDescent="0.3">
      <c r="A300" s="79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</row>
    <row r="301" spans="1:26" ht="14.25" customHeight="1" x14ac:dyDescent="0.3">
      <c r="A301" s="79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</row>
    <row r="302" spans="1:26" ht="14.25" customHeight="1" x14ac:dyDescent="0.3">
      <c r="A302" s="79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</row>
    <row r="303" spans="1:26" ht="14.25" customHeight="1" x14ac:dyDescent="0.3">
      <c r="A303" s="79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</row>
    <row r="304" spans="1:26" ht="14.25" customHeight="1" x14ac:dyDescent="0.3">
      <c r="A304" s="79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</row>
    <row r="305" spans="1:26" ht="14.25" customHeight="1" x14ac:dyDescent="0.3">
      <c r="A305" s="79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</row>
    <row r="306" spans="1:26" ht="14.25" customHeight="1" x14ac:dyDescent="0.3">
      <c r="A306" s="79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</row>
    <row r="307" spans="1:26" ht="14.25" customHeight="1" x14ac:dyDescent="0.3">
      <c r="A307" s="79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</row>
    <row r="308" spans="1:26" ht="14.25" customHeight="1" x14ac:dyDescent="0.3">
      <c r="A308" s="79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</row>
    <row r="309" spans="1:26" ht="14.25" customHeight="1" x14ac:dyDescent="0.3">
      <c r="A309" s="79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</row>
    <row r="310" spans="1:26" ht="14.25" customHeight="1" x14ac:dyDescent="0.3">
      <c r="A310" s="79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</row>
    <row r="311" spans="1:26" ht="14.25" customHeight="1" x14ac:dyDescent="0.3">
      <c r="A311" s="79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</row>
    <row r="312" spans="1:26" ht="14.25" customHeight="1" x14ac:dyDescent="0.3">
      <c r="A312" s="79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</row>
    <row r="313" spans="1:26" ht="14.25" customHeight="1" x14ac:dyDescent="0.3">
      <c r="A313" s="79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</row>
    <row r="314" spans="1:26" ht="14.25" customHeight="1" x14ac:dyDescent="0.3">
      <c r="A314" s="79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</row>
    <row r="315" spans="1:26" ht="14.25" customHeight="1" x14ac:dyDescent="0.3">
      <c r="A315" s="79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</row>
    <row r="316" spans="1:26" ht="14.25" customHeight="1" x14ac:dyDescent="0.3">
      <c r="A316" s="79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</row>
    <row r="317" spans="1:26" ht="14.25" customHeight="1" x14ac:dyDescent="0.3">
      <c r="A317" s="79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</row>
    <row r="318" spans="1:26" ht="14.25" customHeight="1" x14ac:dyDescent="0.3">
      <c r="A318" s="79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</row>
    <row r="319" spans="1:26" ht="14.25" customHeight="1" x14ac:dyDescent="0.3">
      <c r="A319" s="79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</row>
    <row r="320" spans="1:26" ht="14.25" customHeight="1" x14ac:dyDescent="0.3">
      <c r="A320" s="79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</row>
    <row r="321" spans="1:26" ht="14.25" customHeight="1" x14ac:dyDescent="0.3">
      <c r="A321" s="79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</row>
    <row r="322" spans="1:26" ht="14.25" customHeight="1" x14ac:dyDescent="0.3">
      <c r="A322" s="79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</row>
    <row r="323" spans="1:26" ht="14.25" customHeight="1" x14ac:dyDescent="0.3">
      <c r="A323" s="79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</row>
    <row r="324" spans="1:26" ht="14.25" customHeight="1" x14ac:dyDescent="0.3">
      <c r="A324" s="79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</row>
    <row r="325" spans="1:26" ht="14.25" customHeight="1" x14ac:dyDescent="0.3">
      <c r="A325" s="79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</row>
    <row r="326" spans="1:26" ht="14.25" customHeight="1" x14ac:dyDescent="0.3">
      <c r="A326" s="79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</row>
    <row r="327" spans="1:26" ht="14.25" customHeight="1" x14ac:dyDescent="0.3">
      <c r="A327" s="79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</row>
    <row r="328" spans="1:26" ht="14.25" customHeight="1" x14ac:dyDescent="0.3">
      <c r="A328" s="79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</row>
    <row r="329" spans="1:26" ht="14.25" customHeight="1" x14ac:dyDescent="0.3">
      <c r="A329" s="79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</row>
    <row r="330" spans="1:26" ht="14.25" customHeight="1" x14ac:dyDescent="0.3">
      <c r="A330" s="79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</row>
    <row r="331" spans="1:26" ht="14.25" customHeight="1" x14ac:dyDescent="0.3">
      <c r="A331" s="79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</row>
    <row r="332" spans="1:26" ht="14.25" customHeight="1" x14ac:dyDescent="0.3">
      <c r="A332" s="79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</row>
    <row r="333" spans="1:26" ht="14.25" customHeight="1" x14ac:dyDescent="0.3">
      <c r="A333" s="79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</row>
    <row r="334" spans="1:26" ht="14.25" customHeight="1" x14ac:dyDescent="0.3">
      <c r="A334" s="79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</row>
    <row r="335" spans="1:26" ht="14.25" customHeight="1" x14ac:dyDescent="0.3">
      <c r="A335" s="79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</row>
    <row r="336" spans="1:26" ht="14.25" customHeight="1" x14ac:dyDescent="0.3">
      <c r="A336" s="79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</row>
    <row r="337" spans="1:26" ht="14.25" customHeight="1" x14ac:dyDescent="0.3">
      <c r="A337" s="79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</row>
    <row r="338" spans="1:26" ht="14.25" customHeight="1" x14ac:dyDescent="0.3">
      <c r="A338" s="79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</row>
    <row r="339" spans="1:26" ht="14.25" customHeight="1" x14ac:dyDescent="0.3">
      <c r="A339" s="79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</row>
    <row r="340" spans="1:26" ht="14.25" customHeight="1" x14ac:dyDescent="0.3">
      <c r="A340" s="79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</row>
    <row r="341" spans="1:26" ht="14.25" customHeight="1" x14ac:dyDescent="0.3">
      <c r="A341" s="79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</row>
    <row r="342" spans="1:26" ht="14.25" customHeight="1" x14ac:dyDescent="0.3">
      <c r="A342" s="79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</row>
    <row r="343" spans="1:26" ht="14.25" customHeight="1" x14ac:dyDescent="0.3">
      <c r="A343" s="79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</row>
    <row r="344" spans="1:26" ht="14.25" customHeight="1" x14ac:dyDescent="0.3">
      <c r="A344" s="79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</row>
    <row r="345" spans="1:26" ht="14.25" customHeight="1" x14ac:dyDescent="0.3">
      <c r="A345" s="79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</row>
    <row r="346" spans="1:26" ht="14.25" customHeight="1" x14ac:dyDescent="0.3">
      <c r="A346" s="79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</row>
    <row r="347" spans="1:26" ht="14.25" customHeight="1" x14ac:dyDescent="0.3">
      <c r="A347" s="79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</row>
    <row r="348" spans="1:26" ht="14.25" customHeight="1" x14ac:dyDescent="0.3">
      <c r="A348" s="79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</row>
    <row r="349" spans="1:26" ht="14.25" customHeight="1" x14ac:dyDescent="0.3">
      <c r="A349" s="79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</row>
    <row r="350" spans="1:26" ht="14.25" customHeight="1" x14ac:dyDescent="0.3">
      <c r="A350" s="79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</row>
    <row r="351" spans="1:26" ht="14.25" customHeight="1" x14ac:dyDescent="0.3">
      <c r="A351" s="79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</row>
    <row r="352" spans="1:26" ht="14.25" customHeight="1" x14ac:dyDescent="0.3">
      <c r="A352" s="79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</row>
    <row r="353" spans="1:26" ht="14.25" customHeight="1" x14ac:dyDescent="0.3">
      <c r="A353" s="79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</row>
    <row r="354" spans="1:26" ht="14.25" customHeight="1" x14ac:dyDescent="0.3">
      <c r="A354" s="79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</row>
    <row r="355" spans="1:26" ht="14.25" customHeight="1" x14ac:dyDescent="0.3">
      <c r="A355" s="79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</row>
    <row r="356" spans="1:26" ht="14.25" customHeight="1" x14ac:dyDescent="0.3">
      <c r="A356" s="79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</row>
    <row r="357" spans="1:26" ht="14.25" customHeight="1" x14ac:dyDescent="0.3">
      <c r="A357" s="79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</row>
    <row r="358" spans="1:26" ht="14.25" customHeight="1" x14ac:dyDescent="0.3">
      <c r="A358" s="79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</row>
    <row r="359" spans="1:26" ht="14.25" customHeight="1" x14ac:dyDescent="0.3">
      <c r="A359" s="79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</row>
    <row r="360" spans="1:26" ht="14.25" customHeight="1" x14ac:dyDescent="0.3">
      <c r="A360" s="79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</row>
    <row r="361" spans="1:26" ht="14.25" customHeight="1" x14ac:dyDescent="0.3">
      <c r="A361" s="79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</row>
    <row r="362" spans="1:26" ht="14.25" customHeight="1" x14ac:dyDescent="0.3">
      <c r="A362" s="79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</row>
    <row r="363" spans="1:26" ht="14.25" customHeight="1" x14ac:dyDescent="0.3">
      <c r="A363" s="79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</row>
    <row r="364" spans="1:26" ht="14.25" customHeight="1" x14ac:dyDescent="0.3">
      <c r="A364" s="79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</row>
    <row r="365" spans="1:26" ht="14.25" customHeight="1" x14ac:dyDescent="0.3">
      <c r="A365" s="79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</row>
    <row r="366" spans="1:26" ht="14.25" customHeight="1" x14ac:dyDescent="0.3">
      <c r="A366" s="79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</row>
    <row r="367" spans="1:26" ht="14.25" customHeight="1" x14ac:dyDescent="0.3">
      <c r="A367" s="79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</row>
    <row r="368" spans="1:26" ht="14.25" customHeight="1" x14ac:dyDescent="0.3">
      <c r="A368" s="79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</row>
    <row r="369" spans="1:26" ht="14.25" customHeight="1" x14ac:dyDescent="0.3">
      <c r="A369" s="79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</row>
    <row r="370" spans="1:26" ht="14.25" customHeight="1" x14ac:dyDescent="0.3">
      <c r="A370" s="79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</row>
    <row r="371" spans="1:26" ht="14.25" customHeight="1" x14ac:dyDescent="0.3">
      <c r="A371" s="79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</row>
    <row r="372" spans="1:26" ht="14.25" customHeight="1" x14ac:dyDescent="0.3">
      <c r="A372" s="79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</row>
    <row r="373" spans="1:26" ht="14.25" customHeight="1" x14ac:dyDescent="0.3">
      <c r="A373" s="79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</row>
    <row r="374" spans="1:26" ht="14.25" customHeight="1" x14ac:dyDescent="0.3">
      <c r="A374" s="79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</row>
    <row r="375" spans="1:26" ht="14.25" customHeight="1" x14ac:dyDescent="0.3">
      <c r="A375" s="79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</row>
    <row r="376" spans="1:26" ht="14.25" customHeight="1" x14ac:dyDescent="0.3">
      <c r="A376" s="79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</row>
    <row r="377" spans="1:26" ht="14.25" customHeight="1" x14ac:dyDescent="0.3">
      <c r="A377" s="79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</row>
    <row r="378" spans="1:26" ht="14.25" customHeight="1" x14ac:dyDescent="0.3">
      <c r="A378" s="79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</row>
    <row r="379" spans="1:26" ht="14.25" customHeight="1" x14ac:dyDescent="0.3">
      <c r="A379" s="79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</row>
    <row r="380" spans="1:26" ht="14.25" customHeight="1" x14ac:dyDescent="0.3">
      <c r="A380" s="79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</row>
    <row r="381" spans="1:26" ht="14.25" customHeight="1" x14ac:dyDescent="0.3">
      <c r="A381" s="79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</row>
    <row r="382" spans="1:26" ht="14.25" customHeight="1" x14ac:dyDescent="0.3">
      <c r="A382" s="79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</row>
    <row r="383" spans="1:26" ht="14.25" customHeight="1" x14ac:dyDescent="0.3">
      <c r="A383" s="79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</row>
    <row r="384" spans="1:26" ht="14.25" customHeight="1" x14ac:dyDescent="0.3">
      <c r="A384" s="79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</row>
    <row r="385" spans="1:26" ht="14.25" customHeight="1" x14ac:dyDescent="0.3">
      <c r="A385" s="79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</row>
    <row r="386" spans="1:26" ht="14.25" customHeight="1" x14ac:dyDescent="0.3">
      <c r="A386" s="79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</row>
    <row r="387" spans="1:26" ht="14.25" customHeight="1" x14ac:dyDescent="0.3">
      <c r="A387" s="79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</row>
    <row r="388" spans="1:26" ht="14.25" customHeight="1" x14ac:dyDescent="0.3">
      <c r="A388" s="79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</row>
    <row r="389" spans="1:26" ht="14.25" customHeight="1" x14ac:dyDescent="0.3">
      <c r="A389" s="79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</row>
    <row r="390" spans="1:26" ht="14.25" customHeight="1" x14ac:dyDescent="0.3">
      <c r="A390" s="79"/>
      <c r="B390" s="64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</row>
    <row r="391" spans="1:26" ht="14.25" customHeight="1" x14ac:dyDescent="0.3">
      <c r="A391" s="79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</row>
    <row r="392" spans="1:26" ht="14.25" customHeight="1" x14ac:dyDescent="0.3">
      <c r="A392" s="79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</row>
    <row r="393" spans="1:26" ht="14.25" customHeight="1" x14ac:dyDescent="0.3">
      <c r="A393" s="79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</row>
    <row r="394" spans="1:26" ht="14.25" customHeight="1" x14ac:dyDescent="0.3">
      <c r="A394" s="79"/>
      <c r="B394" s="64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</row>
    <row r="395" spans="1:26" ht="14.25" customHeight="1" x14ac:dyDescent="0.3">
      <c r="A395" s="79"/>
      <c r="B395" s="64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</row>
    <row r="396" spans="1:26" ht="14.25" customHeight="1" x14ac:dyDescent="0.3">
      <c r="A396" s="79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</row>
    <row r="397" spans="1:26" ht="14.25" customHeight="1" x14ac:dyDescent="0.3">
      <c r="A397" s="79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</row>
    <row r="398" spans="1:26" ht="14.25" customHeight="1" x14ac:dyDescent="0.3">
      <c r="A398" s="79"/>
      <c r="B398" s="64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</row>
    <row r="399" spans="1:26" ht="14.25" customHeight="1" x14ac:dyDescent="0.3">
      <c r="A399" s="79"/>
      <c r="B399" s="64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</row>
    <row r="400" spans="1:26" ht="14.25" customHeight="1" x14ac:dyDescent="0.3">
      <c r="A400" s="79"/>
      <c r="B400" s="64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</row>
    <row r="401" spans="1:26" ht="14.25" customHeight="1" x14ac:dyDescent="0.3">
      <c r="A401" s="79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</row>
    <row r="402" spans="1:26" ht="14.25" customHeight="1" x14ac:dyDescent="0.3">
      <c r="A402" s="79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</row>
    <row r="403" spans="1:26" ht="14.25" customHeight="1" x14ac:dyDescent="0.3">
      <c r="A403" s="79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</row>
    <row r="404" spans="1:26" ht="14.25" customHeight="1" x14ac:dyDescent="0.3">
      <c r="A404" s="79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</row>
    <row r="405" spans="1:26" ht="14.25" customHeight="1" x14ac:dyDescent="0.3">
      <c r="A405" s="79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</row>
    <row r="406" spans="1:26" ht="14.25" customHeight="1" x14ac:dyDescent="0.3">
      <c r="A406" s="79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</row>
    <row r="407" spans="1:26" ht="14.25" customHeight="1" x14ac:dyDescent="0.3">
      <c r="A407" s="79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</row>
    <row r="408" spans="1:26" ht="14.25" customHeight="1" x14ac:dyDescent="0.3">
      <c r="A408" s="79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</row>
    <row r="409" spans="1:26" ht="14.25" customHeight="1" x14ac:dyDescent="0.3">
      <c r="A409" s="79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</row>
    <row r="410" spans="1:26" ht="14.25" customHeight="1" x14ac:dyDescent="0.3">
      <c r="A410" s="79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</row>
    <row r="411" spans="1:26" ht="14.25" customHeight="1" x14ac:dyDescent="0.3">
      <c r="A411" s="79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</row>
    <row r="412" spans="1:26" ht="14.25" customHeight="1" x14ac:dyDescent="0.3">
      <c r="A412" s="79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</row>
    <row r="413" spans="1:26" ht="14.25" customHeight="1" x14ac:dyDescent="0.3">
      <c r="A413" s="79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</row>
    <row r="414" spans="1:26" ht="14.25" customHeight="1" x14ac:dyDescent="0.3">
      <c r="A414" s="79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</row>
    <row r="415" spans="1:26" ht="14.25" customHeight="1" x14ac:dyDescent="0.3">
      <c r="A415" s="79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</row>
    <row r="416" spans="1:26" ht="14.25" customHeight="1" x14ac:dyDescent="0.3">
      <c r="A416" s="79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</row>
    <row r="417" spans="1:26" ht="14.25" customHeight="1" x14ac:dyDescent="0.3">
      <c r="A417" s="79"/>
      <c r="B417" s="64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</row>
    <row r="418" spans="1:26" ht="14.25" customHeight="1" x14ac:dyDescent="0.3">
      <c r="A418" s="79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</row>
    <row r="419" spans="1:26" ht="14.25" customHeight="1" x14ac:dyDescent="0.3">
      <c r="A419" s="79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</row>
    <row r="420" spans="1:26" ht="14.25" customHeight="1" x14ac:dyDescent="0.3">
      <c r="A420" s="79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</row>
    <row r="421" spans="1:26" ht="14.25" customHeight="1" x14ac:dyDescent="0.3">
      <c r="A421" s="79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</row>
    <row r="422" spans="1:26" ht="14.25" customHeight="1" x14ac:dyDescent="0.3">
      <c r="A422" s="79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</row>
    <row r="423" spans="1:26" ht="14.25" customHeight="1" x14ac:dyDescent="0.3">
      <c r="A423" s="79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</row>
    <row r="424" spans="1:26" ht="14.25" customHeight="1" x14ac:dyDescent="0.3">
      <c r="A424" s="79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</row>
    <row r="425" spans="1:26" ht="14.25" customHeight="1" x14ac:dyDescent="0.3">
      <c r="A425" s="79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</row>
    <row r="426" spans="1:26" ht="14.25" customHeight="1" x14ac:dyDescent="0.3">
      <c r="A426" s="79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</row>
    <row r="427" spans="1:26" ht="14.25" customHeight="1" x14ac:dyDescent="0.3">
      <c r="A427" s="79"/>
      <c r="B427" s="64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</row>
    <row r="428" spans="1:26" ht="14.25" customHeight="1" x14ac:dyDescent="0.3">
      <c r="A428" s="79"/>
      <c r="B428" s="64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</row>
    <row r="429" spans="1:26" ht="14.25" customHeight="1" x14ac:dyDescent="0.3">
      <c r="A429" s="79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</row>
    <row r="430" spans="1:26" ht="14.25" customHeight="1" x14ac:dyDescent="0.3">
      <c r="A430" s="79"/>
      <c r="B430" s="64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</row>
    <row r="431" spans="1:26" ht="14.25" customHeight="1" x14ac:dyDescent="0.3">
      <c r="A431" s="79"/>
      <c r="B431" s="64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</row>
    <row r="432" spans="1:26" ht="14.25" customHeight="1" x14ac:dyDescent="0.3">
      <c r="A432" s="79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</row>
    <row r="433" spans="1:26" ht="14.25" customHeight="1" x14ac:dyDescent="0.3">
      <c r="A433" s="79"/>
      <c r="B433" s="64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</row>
    <row r="434" spans="1:26" ht="14.25" customHeight="1" x14ac:dyDescent="0.3">
      <c r="A434" s="79"/>
      <c r="B434" s="64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</row>
    <row r="435" spans="1:26" ht="14.25" customHeight="1" x14ac:dyDescent="0.3">
      <c r="A435" s="79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</row>
    <row r="436" spans="1:26" ht="14.25" customHeight="1" x14ac:dyDescent="0.3">
      <c r="A436" s="79"/>
      <c r="B436" s="64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</row>
    <row r="437" spans="1:26" ht="14.25" customHeight="1" x14ac:dyDescent="0.3">
      <c r="A437" s="79"/>
      <c r="B437" s="64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</row>
    <row r="438" spans="1:26" ht="14.25" customHeight="1" x14ac:dyDescent="0.3">
      <c r="A438" s="79"/>
      <c r="B438" s="64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</row>
    <row r="439" spans="1:26" ht="14.25" customHeight="1" x14ac:dyDescent="0.3">
      <c r="A439" s="79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</row>
    <row r="440" spans="1:26" ht="14.25" customHeight="1" x14ac:dyDescent="0.3">
      <c r="A440" s="79"/>
      <c r="B440" s="64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</row>
    <row r="441" spans="1:26" ht="14.25" customHeight="1" x14ac:dyDescent="0.3">
      <c r="A441" s="79"/>
      <c r="B441" s="64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</row>
    <row r="442" spans="1:26" ht="14.25" customHeight="1" x14ac:dyDescent="0.3">
      <c r="A442" s="79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</row>
    <row r="443" spans="1:26" ht="14.25" customHeight="1" x14ac:dyDescent="0.3">
      <c r="A443" s="79"/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</row>
    <row r="444" spans="1:26" ht="14.25" customHeight="1" x14ac:dyDescent="0.3">
      <c r="A444" s="79"/>
      <c r="B444" s="64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</row>
    <row r="445" spans="1:26" ht="14.25" customHeight="1" x14ac:dyDescent="0.3">
      <c r="A445" s="79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</row>
    <row r="446" spans="1:26" ht="14.25" customHeight="1" x14ac:dyDescent="0.3">
      <c r="A446" s="79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</row>
    <row r="447" spans="1:26" ht="14.25" customHeight="1" x14ac:dyDescent="0.3">
      <c r="A447" s="79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</row>
    <row r="448" spans="1:26" ht="14.25" customHeight="1" x14ac:dyDescent="0.3">
      <c r="A448" s="79"/>
      <c r="B448" s="64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</row>
    <row r="449" spans="1:26" ht="14.25" customHeight="1" x14ac:dyDescent="0.3">
      <c r="A449" s="79"/>
      <c r="B449" s="64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</row>
    <row r="450" spans="1:26" ht="14.25" customHeight="1" x14ac:dyDescent="0.3">
      <c r="A450" s="79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</row>
    <row r="451" spans="1:26" ht="14.25" customHeight="1" x14ac:dyDescent="0.3">
      <c r="A451" s="79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</row>
    <row r="452" spans="1:26" ht="14.25" customHeight="1" x14ac:dyDescent="0.3">
      <c r="A452" s="79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</row>
    <row r="453" spans="1:26" ht="14.25" customHeight="1" x14ac:dyDescent="0.3">
      <c r="A453" s="79"/>
      <c r="B453" s="64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</row>
    <row r="454" spans="1:26" ht="14.25" customHeight="1" x14ac:dyDescent="0.3">
      <c r="A454" s="79"/>
      <c r="B454" s="64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</row>
    <row r="455" spans="1:26" ht="14.25" customHeight="1" x14ac:dyDescent="0.3">
      <c r="A455" s="79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</row>
    <row r="456" spans="1:26" ht="14.25" customHeight="1" x14ac:dyDescent="0.3">
      <c r="A456" s="79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</row>
    <row r="457" spans="1:26" ht="14.25" customHeight="1" x14ac:dyDescent="0.3">
      <c r="A457" s="79"/>
      <c r="B457" s="64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</row>
    <row r="458" spans="1:26" ht="14.25" customHeight="1" x14ac:dyDescent="0.3">
      <c r="A458" s="79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</row>
    <row r="459" spans="1:26" ht="14.25" customHeight="1" x14ac:dyDescent="0.3">
      <c r="A459" s="79"/>
      <c r="B459" s="64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</row>
    <row r="460" spans="1:26" ht="14.25" customHeight="1" x14ac:dyDescent="0.3">
      <c r="A460" s="79"/>
      <c r="B460" s="64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</row>
    <row r="461" spans="1:26" ht="14.25" customHeight="1" x14ac:dyDescent="0.3">
      <c r="A461" s="79"/>
      <c r="B461" s="64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</row>
    <row r="462" spans="1:26" ht="14.25" customHeight="1" x14ac:dyDescent="0.3">
      <c r="A462" s="79"/>
      <c r="B462" s="64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</row>
    <row r="463" spans="1:26" ht="14.25" customHeight="1" x14ac:dyDescent="0.3">
      <c r="A463" s="79"/>
      <c r="B463" s="64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</row>
    <row r="464" spans="1:26" ht="14.25" customHeight="1" x14ac:dyDescent="0.3">
      <c r="A464" s="79"/>
      <c r="B464" s="64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</row>
    <row r="465" spans="1:26" ht="14.25" customHeight="1" x14ac:dyDescent="0.3">
      <c r="A465" s="79"/>
      <c r="B465" s="64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</row>
    <row r="466" spans="1:26" ht="14.25" customHeight="1" x14ac:dyDescent="0.3">
      <c r="A466" s="79"/>
      <c r="B466" s="64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</row>
    <row r="467" spans="1:26" ht="14.25" customHeight="1" x14ac:dyDescent="0.3">
      <c r="A467" s="79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</row>
    <row r="468" spans="1:26" ht="14.25" customHeight="1" x14ac:dyDescent="0.3">
      <c r="A468" s="79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</row>
    <row r="469" spans="1:26" ht="14.25" customHeight="1" x14ac:dyDescent="0.3">
      <c r="A469" s="79"/>
      <c r="B469" s="64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</row>
    <row r="470" spans="1:26" ht="14.25" customHeight="1" x14ac:dyDescent="0.3">
      <c r="A470" s="79"/>
      <c r="B470" s="64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</row>
    <row r="471" spans="1:26" ht="14.25" customHeight="1" x14ac:dyDescent="0.3">
      <c r="A471" s="79"/>
      <c r="B471" s="64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</row>
    <row r="472" spans="1:26" ht="14.25" customHeight="1" x14ac:dyDescent="0.3">
      <c r="A472" s="79"/>
      <c r="B472" s="64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</row>
    <row r="473" spans="1:26" ht="14.25" customHeight="1" x14ac:dyDescent="0.3">
      <c r="A473" s="79"/>
      <c r="B473" s="64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</row>
    <row r="474" spans="1:26" ht="14.25" customHeight="1" x14ac:dyDescent="0.3">
      <c r="A474" s="79"/>
      <c r="B474" s="64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</row>
    <row r="475" spans="1:26" ht="14.25" customHeight="1" x14ac:dyDescent="0.3">
      <c r="A475" s="79"/>
      <c r="B475" s="64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</row>
    <row r="476" spans="1:26" ht="14.25" customHeight="1" x14ac:dyDescent="0.3">
      <c r="A476" s="79"/>
      <c r="B476" s="64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</row>
    <row r="477" spans="1:26" ht="14.25" customHeight="1" x14ac:dyDescent="0.3">
      <c r="A477" s="79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</row>
    <row r="478" spans="1:26" ht="14.25" customHeight="1" x14ac:dyDescent="0.3">
      <c r="A478" s="79"/>
      <c r="B478" s="64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</row>
    <row r="479" spans="1:26" ht="14.25" customHeight="1" x14ac:dyDescent="0.3">
      <c r="A479" s="79"/>
      <c r="B479" s="64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</row>
    <row r="480" spans="1:26" ht="14.25" customHeight="1" x14ac:dyDescent="0.3">
      <c r="A480" s="79"/>
      <c r="B480" s="64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</row>
    <row r="481" spans="1:26" ht="14.25" customHeight="1" x14ac:dyDescent="0.3">
      <c r="A481" s="79"/>
      <c r="B481" s="64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</row>
    <row r="482" spans="1:26" ht="14.25" customHeight="1" x14ac:dyDescent="0.3">
      <c r="A482" s="79"/>
      <c r="B482" s="64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</row>
    <row r="483" spans="1:26" ht="14.25" customHeight="1" x14ac:dyDescent="0.3">
      <c r="A483" s="79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</row>
    <row r="484" spans="1:26" ht="14.25" customHeight="1" x14ac:dyDescent="0.3">
      <c r="A484" s="79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</row>
    <row r="485" spans="1:26" ht="14.25" customHeight="1" x14ac:dyDescent="0.3">
      <c r="A485" s="79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</row>
    <row r="486" spans="1:26" ht="14.25" customHeight="1" x14ac:dyDescent="0.3">
      <c r="A486" s="79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</row>
    <row r="487" spans="1:26" ht="14.25" customHeight="1" x14ac:dyDescent="0.3">
      <c r="A487" s="79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</row>
    <row r="488" spans="1:26" ht="14.25" customHeight="1" x14ac:dyDescent="0.3">
      <c r="A488" s="79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</row>
    <row r="489" spans="1:26" ht="14.25" customHeight="1" x14ac:dyDescent="0.3">
      <c r="A489" s="79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</row>
    <row r="490" spans="1:26" ht="14.25" customHeight="1" x14ac:dyDescent="0.3">
      <c r="A490" s="79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</row>
    <row r="491" spans="1:26" ht="14.25" customHeight="1" x14ac:dyDescent="0.3">
      <c r="A491" s="79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</row>
    <row r="492" spans="1:26" ht="14.25" customHeight="1" x14ac:dyDescent="0.3">
      <c r="A492" s="79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</row>
    <row r="493" spans="1:26" ht="14.25" customHeight="1" x14ac:dyDescent="0.3">
      <c r="A493" s="79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</row>
    <row r="494" spans="1:26" ht="14.25" customHeight="1" x14ac:dyDescent="0.3">
      <c r="A494" s="79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</row>
    <row r="495" spans="1:26" ht="14.25" customHeight="1" x14ac:dyDescent="0.3">
      <c r="A495" s="79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</row>
    <row r="496" spans="1:26" ht="14.25" customHeight="1" x14ac:dyDescent="0.3">
      <c r="A496" s="79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</row>
    <row r="497" spans="1:26" ht="14.25" customHeight="1" x14ac:dyDescent="0.3">
      <c r="A497" s="79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</row>
    <row r="498" spans="1:26" ht="14.25" customHeight="1" x14ac:dyDescent="0.3">
      <c r="A498" s="79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</row>
    <row r="499" spans="1:26" ht="14.25" customHeight="1" x14ac:dyDescent="0.3">
      <c r="A499" s="79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</row>
    <row r="500" spans="1:26" ht="14.25" customHeight="1" x14ac:dyDescent="0.3">
      <c r="A500" s="79"/>
      <c r="B500" s="64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</row>
    <row r="501" spans="1:26" ht="14.25" customHeight="1" x14ac:dyDescent="0.3">
      <c r="A501" s="79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</row>
    <row r="502" spans="1:26" ht="14.25" customHeight="1" x14ac:dyDescent="0.3">
      <c r="A502" s="79"/>
      <c r="B502" s="64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</row>
    <row r="503" spans="1:26" ht="14.25" customHeight="1" x14ac:dyDescent="0.3">
      <c r="A503" s="79"/>
      <c r="B503" s="64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</row>
    <row r="504" spans="1:26" ht="14.25" customHeight="1" x14ac:dyDescent="0.3">
      <c r="A504" s="79"/>
      <c r="B504" s="64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</row>
    <row r="505" spans="1:26" ht="14.25" customHeight="1" x14ac:dyDescent="0.3">
      <c r="A505" s="79"/>
      <c r="B505" s="64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</row>
    <row r="506" spans="1:26" ht="14.25" customHeight="1" x14ac:dyDescent="0.3">
      <c r="A506" s="79"/>
      <c r="B506" s="64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</row>
    <row r="507" spans="1:26" ht="14.25" customHeight="1" x14ac:dyDescent="0.3">
      <c r="A507" s="79"/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</row>
    <row r="508" spans="1:26" ht="14.25" customHeight="1" x14ac:dyDescent="0.3">
      <c r="A508" s="79"/>
      <c r="B508" s="64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</row>
    <row r="509" spans="1:26" ht="14.25" customHeight="1" x14ac:dyDescent="0.3">
      <c r="A509" s="79"/>
      <c r="B509" s="64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</row>
    <row r="510" spans="1:26" ht="14.25" customHeight="1" x14ac:dyDescent="0.3">
      <c r="A510" s="79"/>
      <c r="B510" s="64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</row>
    <row r="511" spans="1:26" ht="14.25" customHeight="1" x14ac:dyDescent="0.3">
      <c r="A511" s="79"/>
      <c r="B511" s="64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</row>
    <row r="512" spans="1:26" ht="14.25" customHeight="1" x14ac:dyDescent="0.3">
      <c r="A512" s="79"/>
      <c r="B512" s="64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</row>
    <row r="513" spans="1:26" ht="14.25" customHeight="1" x14ac:dyDescent="0.3">
      <c r="A513" s="79"/>
      <c r="B513" s="64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</row>
    <row r="514" spans="1:26" ht="14.25" customHeight="1" x14ac:dyDescent="0.3">
      <c r="A514" s="79"/>
      <c r="B514" s="64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</row>
    <row r="515" spans="1:26" ht="14.25" customHeight="1" x14ac:dyDescent="0.3">
      <c r="A515" s="79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</row>
    <row r="516" spans="1:26" ht="14.25" customHeight="1" x14ac:dyDescent="0.3">
      <c r="A516" s="79"/>
      <c r="B516" s="64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</row>
    <row r="517" spans="1:26" ht="14.25" customHeight="1" x14ac:dyDescent="0.3">
      <c r="A517" s="79"/>
      <c r="B517" s="64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</row>
    <row r="518" spans="1:26" ht="14.25" customHeight="1" x14ac:dyDescent="0.3">
      <c r="A518" s="79"/>
      <c r="B518" s="64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</row>
    <row r="519" spans="1:26" ht="14.25" customHeight="1" x14ac:dyDescent="0.3">
      <c r="A519" s="79"/>
      <c r="B519" s="64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</row>
    <row r="520" spans="1:26" ht="14.25" customHeight="1" x14ac:dyDescent="0.3">
      <c r="A520" s="79"/>
      <c r="B520" s="64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</row>
    <row r="521" spans="1:26" ht="14.25" customHeight="1" x14ac:dyDescent="0.3">
      <c r="A521" s="79"/>
      <c r="B521" s="64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</row>
    <row r="522" spans="1:26" ht="14.25" customHeight="1" x14ac:dyDescent="0.3">
      <c r="A522" s="79"/>
      <c r="B522" s="64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</row>
    <row r="523" spans="1:26" ht="14.25" customHeight="1" x14ac:dyDescent="0.3">
      <c r="A523" s="79"/>
      <c r="B523" s="64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</row>
    <row r="524" spans="1:26" ht="14.25" customHeight="1" x14ac:dyDescent="0.3">
      <c r="A524" s="79"/>
      <c r="B524" s="64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</row>
    <row r="525" spans="1:26" ht="14.25" customHeight="1" x14ac:dyDescent="0.3">
      <c r="A525" s="79"/>
      <c r="B525" s="64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</row>
    <row r="526" spans="1:26" ht="14.25" customHeight="1" x14ac:dyDescent="0.3">
      <c r="A526" s="79"/>
      <c r="B526" s="64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</row>
    <row r="527" spans="1:26" ht="14.25" customHeight="1" x14ac:dyDescent="0.3">
      <c r="A527" s="79"/>
      <c r="B527" s="64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</row>
    <row r="528" spans="1:26" ht="14.25" customHeight="1" x14ac:dyDescent="0.3">
      <c r="A528" s="79"/>
      <c r="B528" s="64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</row>
    <row r="529" spans="1:26" ht="14.25" customHeight="1" x14ac:dyDescent="0.3">
      <c r="A529" s="79"/>
      <c r="B529" s="64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</row>
    <row r="530" spans="1:26" ht="14.25" customHeight="1" x14ac:dyDescent="0.3">
      <c r="A530" s="79"/>
      <c r="B530" s="64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</row>
    <row r="531" spans="1:26" ht="14.25" customHeight="1" x14ac:dyDescent="0.3">
      <c r="A531" s="79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</row>
    <row r="532" spans="1:26" ht="14.25" customHeight="1" x14ac:dyDescent="0.3">
      <c r="A532" s="79"/>
      <c r="B532" s="64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</row>
    <row r="533" spans="1:26" ht="14.25" customHeight="1" x14ac:dyDescent="0.3">
      <c r="A533" s="79"/>
      <c r="B533" s="64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</row>
    <row r="534" spans="1:26" ht="14.25" customHeight="1" x14ac:dyDescent="0.3">
      <c r="A534" s="79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</row>
    <row r="535" spans="1:26" ht="14.25" customHeight="1" x14ac:dyDescent="0.3">
      <c r="A535" s="79"/>
      <c r="B535" s="64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</row>
    <row r="536" spans="1:26" ht="14.25" customHeight="1" x14ac:dyDescent="0.3">
      <c r="A536" s="79"/>
      <c r="B536" s="64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</row>
    <row r="537" spans="1:26" ht="14.25" customHeight="1" x14ac:dyDescent="0.3">
      <c r="A537" s="79"/>
      <c r="B537" s="64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</row>
    <row r="538" spans="1:26" ht="14.25" customHeight="1" x14ac:dyDescent="0.3">
      <c r="A538" s="79"/>
      <c r="B538" s="64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</row>
    <row r="539" spans="1:26" ht="14.25" customHeight="1" x14ac:dyDescent="0.3">
      <c r="A539" s="79"/>
      <c r="B539" s="64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</row>
    <row r="540" spans="1:26" ht="14.25" customHeight="1" x14ac:dyDescent="0.3">
      <c r="A540" s="79"/>
      <c r="B540" s="64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</row>
    <row r="541" spans="1:26" ht="14.25" customHeight="1" x14ac:dyDescent="0.3">
      <c r="A541" s="79"/>
      <c r="B541" s="64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</row>
    <row r="542" spans="1:26" ht="14.25" customHeight="1" x14ac:dyDescent="0.3">
      <c r="A542" s="79"/>
      <c r="B542" s="64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</row>
    <row r="543" spans="1:26" ht="14.25" customHeight="1" x14ac:dyDescent="0.3">
      <c r="A543" s="79"/>
      <c r="B543" s="64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</row>
    <row r="544" spans="1:26" ht="14.25" customHeight="1" x14ac:dyDescent="0.3">
      <c r="A544" s="79"/>
      <c r="B544" s="64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</row>
    <row r="545" spans="1:26" ht="14.25" customHeight="1" x14ac:dyDescent="0.3">
      <c r="A545" s="79"/>
      <c r="B545" s="64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</row>
    <row r="546" spans="1:26" ht="14.25" customHeight="1" x14ac:dyDescent="0.3">
      <c r="A546" s="79"/>
      <c r="B546" s="64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</row>
    <row r="547" spans="1:26" ht="14.25" customHeight="1" x14ac:dyDescent="0.3">
      <c r="A547" s="79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</row>
    <row r="548" spans="1:26" ht="14.25" customHeight="1" x14ac:dyDescent="0.3">
      <c r="A548" s="79"/>
      <c r="B548" s="64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</row>
    <row r="549" spans="1:26" ht="14.25" customHeight="1" x14ac:dyDescent="0.3">
      <c r="A549" s="79"/>
      <c r="B549" s="64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</row>
    <row r="550" spans="1:26" ht="14.25" customHeight="1" x14ac:dyDescent="0.3">
      <c r="A550" s="79"/>
      <c r="B550" s="64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</row>
    <row r="551" spans="1:26" ht="14.25" customHeight="1" x14ac:dyDescent="0.3">
      <c r="A551" s="79"/>
      <c r="B551" s="64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</row>
    <row r="552" spans="1:26" ht="14.25" customHeight="1" x14ac:dyDescent="0.3">
      <c r="A552" s="79"/>
      <c r="B552" s="64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</row>
    <row r="553" spans="1:26" ht="14.25" customHeight="1" x14ac:dyDescent="0.3">
      <c r="A553" s="79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</row>
    <row r="554" spans="1:26" ht="14.25" customHeight="1" x14ac:dyDescent="0.3">
      <c r="A554" s="79"/>
      <c r="B554" s="64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</row>
    <row r="555" spans="1:26" ht="14.25" customHeight="1" x14ac:dyDescent="0.3">
      <c r="A555" s="79"/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</row>
    <row r="556" spans="1:26" ht="14.25" customHeight="1" x14ac:dyDescent="0.3">
      <c r="A556" s="79"/>
      <c r="B556" s="64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</row>
    <row r="557" spans="1:26" ht="14.25" customHeight="1" x14ac:dyDescent="0.3">
      <c r="A557" s="79"/>
      <c r="B557" s="64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</row>
    <row r="558" spans="1:26" ht="14.25" customHeight="1" x14ac:dyDescent="0.3">
      <c r="A558" s="79"/>
      <c r="B558" s="64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</row>
    <row r="559" spans="1:26" ht="14.25" customHeight="1" x14ac:dyDescent="0.3">
      <c r="A559" s="79"/>
      <c r="B559" s="64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</row>
    <row r="560" spans="1:26" ht="14.25" customHeight="1" x14ac:dyDescent="0.3">
      <c r="A560" s="79"/>
      <c r="B560" s="64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</row>
    <row r="561" spans="1:26" ht="14.25" customHeight="1" x14ac:dyDescent="0.3">
      <c r="A561" s="79"/>
      <c r="B561" s="64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</row>
    <row r="562" spans="1:26" ht="14.25" customHeight="1" x14ac:dyDescent="0.3">
      <c r="A562" s="79"/>
      <c r="B562" s="64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</row>
    <row r="563" spans="1:26" ht="14.25" customHeight="1" x14ac:dyDescent="0.3">
      <c r="A563" s="79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</row>
    <row r="564" spans="1:26" ht="14.25" customHeight="1" x14ac:dyDescent="0.3">
      <c r="A564" s="79"/>
      <c r="B564" s="64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</row>
    <row r="565" spans="1:26" ht="14.25" customHeight="1" x14ac:dyDescent="0.3">
      <c r="A565" s="79"/>
      <c r="B565" s="64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</row>
    <row r="566" spans="1:26" ht="14.25" customHeight="1" x14ac:dyDescent="0.3">
      <c r="A566" s="79"/>
      <c r="B566" s="64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</row>
    <row r="567" spans="1:26" ht="14.25" customHeight="1" x14ac:dyDescent="0.3">
      <c r="A567" s="79"/>
      <c r="B567" s="64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</row>
    <row r="568" spans="1:26" ht="14.25" customHeight="1" x14ac:dyDescent="0.3">
      <c r="A568" s="79"/>
      <c r="B568" s="64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</row>
    <row r="569" spans="1:26" ht="14.25" customHeight="1" x14ac:dyDescent="0.3">
      <c r="A569" s="79"/>
      <c r="B569" s="64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</row>
    <row r="570" spans="1:26" ht="14.25" customHeight="1" x14ac:dyDescent="0.3">
      <c r="A570" s="79"/>
      <c r="B570" s="64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</row>
    <row r="571" spans="1:26" ht="14.25" customHeight="1" x14ac:dyDescent="0.3">
      <c r="A571" s="79"/>
      <c r="B571" s="64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</row>
    <row r="572" spans="1:26" ht="14.25" customHeight="1" x14ac:dyDescent="0.3">
      <c r="A572" s="79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</row>
    <row r="573" spans="1:26" ht="14.25" customHeight="1" x14ac:dyDescent="0.3">
      <c r="A573" s="79"/>
      <c r="B573" s="64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</row>
    <row r="574" spans="1:26" ht="14.25" customHeight="1" x14ac:dyDescent="0.3">
      <c r="A574" s="79"/>
      <c r="B574" s="64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</row>
    <row r="575" spans="1:26" ht="14.25" customHeight="1" x14ac:dyDescent="0.3">
      <c r="A575" s="79"/>
      <c r="B575" s="64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</row>
    <row r="576" spans="1:26" ht="14.25" customHeight="1" x14ac:dyDescent="0.3">
      <c r="A576" s="79"/>
      <c r="B576" s="64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</row>
    <row r="577" spans="1:26" ht="14.25" customHeight="1" x14ac:dyDescent="0.3">
      <c r="A577" s="79"/>
      <c r="B577" s="64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</row>
    <row r="578" spans="1:26" ht="14.25" customHeight="1" x14ac:dyDescent="0.3">
      <c r="A578" s="79"/>
      <c r="B578" s="64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</row>
    <row r="579" spans="1:26" ht="14.25" customHeight="1" x14ac:dyDescent="0.3">
      <c r="A579" s="79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</row>
    <row r="580" spans="1:26" ht="14.25" customHeight="1" x14ac:dyDescent="0.3">
      <c r="A580" s="79"/>
      <c r="B580" s="64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</row>
    <row r="581" spans="1:26" ht="14.25" customHeight="1" x14ac:dyDescent="0.3">
      <c r="A581" s="79"/>
      <c r="B581" s="64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</row>
    <row r="582" spans="1:26" ht="14.25" customHeight="1" x14ac:dyDescent="0.3">
      <c r="A582" s="79"/>
      <c r="B582" s="64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</row>
    <row r="583" spans="1:26" ht="14.25" customHeight="1" x14ac:dyDescent="0.3">
      <c r="A583" s="79"/>
      <c r="B583" s="64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</row>
    <row r="584" spans="1:26" ht="14.25" customHeight="1" x14ac:dyDescent="0.3">
      <c r="A584" s="79"/>
      <c r="B584" s="64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</row>
    <row r="585" spans="1:26" ht="14.25" customHeight="1" x14ac:dyDescent="0.3">
      <c r="A585" s="79"/>
      <c r="B585" s="64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</row>
    <row r="586" spans="1:26" ht="14.25" customHeight="1" x14ac:dyDescent="0.3">
      <c r="A586" s="79"/>
      <c r="B586" s="64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</row>
    <row r="587" spans="1:26" ht="14.25" customHeight="1" x14ac:dyDescent="0.3">
      <c r="A587" s="79"/>
      <c r="B587" s="64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</row>
    <row r="588" spans="1:26" ht="14.25" customHeight="1" x14ac:dyDescent="0.3">
      <c r="A588" s="79"/>
      <c r="B588" s="64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</row>
    <row r="589" spans="1:26" ht="14.25" customHeight="1" x14ac:dyDescent="0.3">
      <c r="A589" s="79"/>
      <c r="B589" s="64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</row>
    <row r="590" spans="1:26" ht="14.25" customHeight="1" x14ac:dyDescent="0.3">
      <c r="A590" s="79"/>
      <c r="B590" s="64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</row>
    <row r="591" spans="1:26" ht="14.25" customHeight="1" x14ac:dyDescent="0.3">
      <c r="A591" s="79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</row>
    <row r="592" spans="1:26" ht="14.25" customHeight="1" x14ac:dyDescent="0.3">
      <c r="A592" s="79"/>
      <c r="B592" s="64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</row>
    <row r="593" spans="1:26" ht="14.25" customHeight="1" x14ac:dyDescent="0.3">
      <c r="A593" s="79"/>
      <c r="B593" s="64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</row>
    <row r="594" spans="1:26" ht="14.25" customHeight="1" x14ac:dyDescent="0.3">
      <c r="A594" s="79"/>
      <c r="B594" s="64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</row>
    <row r="595" spans="1:26" ht="14.25" customHeight="1" x14ac:dyDescent="0.3">
      <c r="A595" s="79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</row>
    <row r="596" spans="1:26" ht="14.25" customHeight="1" x14ac:dyDescent="0.3">
      <c r="A596" s="79"/>
      <c r="B596" s="64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</row>
    <row r="597" spans="1:26" ht="14.25" customHeight="1" x14ac:dyDescent="0.3">
      <c r="A597" s="79"/>
      <c r="B597" s="64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</row>
    <row r="598" spans="1:26" ht="14.25" customHeight="1" x14ac:dyDescent="0.3">
      <c r="A598" s="79"/>
      <c r="B598" s="64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</row>
    <row r="599" spans="1:26" ht="14.25" customHeight="1" x14ac:dyDescent="0.3">
      <c r="A599" s="79"/>
      <c r="B599" s="64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</row>
    <row r="600" spans="1:26" ht="14.25" customHeight="1" x14ac:dyDescent="0.3">
      <c r="A600" s="79"/>
      <c r="B600" s="64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</row>
    <row r="601" spans="1:26" ht="14.25" customHeight="1" x14ac:dyDescent="0.3">
      <c r="A601" s="79"/>
      <c r="B601" s="64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</row>
    <row r="602" spans="1:26" ht="14.25" customHeight="1" x14ac:dyDescent="0.3">
      <c r="A602" s="79"/>
      <c r="B602" s="64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</row>
    <row r="603" spans="1:26" ht="14.25" customHeight="1" x14ac:dyDescent="0.3">
      <c r="A603" s="79"/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</row>
    <row r="604" spans="1:26" ht="14.25" customHeight="1" x14ac:dyDescent="0.3">
      <c r="A604" s="79"/>
      <c r="B604" s="64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</row>
    <row r="605" spans="1:26" ht="14.25" customHeight="1" x14ac:dyDescent="0.3">
      <c r="A605" s="79"/>
      <c r="B605" s="64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</row>
    <row r="606" spans="1:26" ht="14.25" customHeight="1" x14ac:dyDescent="0.3">
      <c r="A606" s="79"/>
      <c r="B606" s="64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</row>
    <row r="607" spans="1:26" ht="14.25" customHeight="1" x14ac:dyDescent="0.3">
      <c r="A607" s="79"/>
      <c r="B607" s="64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</row>
    <row r="608" spans="1:26" ht="14.25" customHeight="1" x14ac:dyDescent="0.3">
      <c r="A608" s="79"/>
      <c r="B608" s="64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</row>
    <row r="609" spans="1:26" ht="14.25" customHeight="1" x14ac:dyDescent="0.3">
      <c r="A609" s="79"/>
      <c r="B609" s="64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</row>
    <row r="610" spans="1:26" ht="14.25" customHeight="1" x14ac:dyDescent="0.3">
      <c r="A610" s="79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</row>
    <row r="611" spans="1:26" ht="14.25" customHeight="1" x14ac:dyDescent="0.3">
      <c r="A611" s="79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</row>
    <row r="612" spans="1:26" ht="14.25" customHeight="1" x14ac:dyDescent="0.3">
      <c r="A612" s="79"/>
      <c r="B612" s="64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</row>
    <row r="613" spans="1:26" ht="14.25" customHeight="1" x14ac:dyDescent="0.3">
      <c r="A613" s="79"/>
      <c r="B613" s="64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</row>
    <row r="614" spans="1:26" ht="14.25" customHeight="1" x14ac:dyDescent="0.3">
      <c r="A614" s="79"/>
      <c r="B614" s="64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</row>
    <row r="615" spans="1:26" ht="14.25" customHeight="1" x14ac:dyDescent="0.3">
      <c r="A615" s="79"/>
      <c r="B615" s="64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</row>
    <row r="616" spans="1:26" ht="14.25" customHeight="1" x14ac:dyDescent="0.3">
      <c r="A616" s="79"/>
      <c r="B616" s="64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</row>
    <row r="617" spans="1:26" ht="14.25" customHeight="1" x14ac:dyDescent="0.3">
      <c r="A617" s="79"/>
      <c r="B617" s="64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</row>
    <row r="618" spans="1:26" ht="14.25" customHeight="1" x14ac:dyDescent="0.3">
      <c r="A618" s="79"/>
      <c r="B618" s="64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</row>
    <row r="619" spans="1:26" ht="14.25" customHeight="1" x14ac:dyDescent="0.3">
      <c r="A619" s="79"/>
      <c r="B619" s="64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</row>
    <row r="620" spans="1:26" ht="14.25" customHeight="1" x14ac:dyDescent="0.3">
      <c r="A620" s="79"/>
      <c r="B620" s="64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</row>
    <row r="621" spans="1:26" ht="14.25" customHeight="1" x14ac:dyDescent="0.3">
      <c r="A621" s="79"/>
      <c r="B621" s="64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</row>
    <row r="622" spans="1:26" ht="14.25" customHeight="1" x14ac:dyDescent="0.3">
      <c r="A622" s="79"/>
      <c r="B622" s="64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</row>
    <row r="623" spans="1:26" ht="14.25" customHeight="1" x14ac:dyDescent="0.3">
      <c r="A623" s="79"/>
      <c r="B623" s="64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</row>
    <row r="624" spans="1:26" ht="14.25" customHeight="1" x14ac:dyDescent="0.3">
      <c r="A624" s="79"/>
      <c r="B624" s="64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</row>
    <row r="625" spans="1:26" ht="14.25" customHeight="1" x14ac:dyDescent="0.3">
      <c r="A625" s="79"/>
      <c r="B625" s="64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</row>
    <row r="626" spans="1:26" ht="14.25" customHeight="1" x14ac:dyDescent="0.3">
      <c r="A626" s="79"/>
      <c r="B626" s="64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</row>
    <row r="627" spans="1:26" ht="14.25" customHeight="1" x14ac:dyDescent="0.3">
      <c r="A627" s="79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</row>
    <row r="628" spans="1:26" ht="14.25" customHeight="1" x14ac:dyDescent="0.3">
      <c r="A628" s="79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</row>
    <row r="629" spans="1:26" ht="14.25" customHeight="1" x14ac:dyDescent="0.3">
      <c r="A629" s="79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</row>
    <row r="630" spans="1:26" ht="14.25" customHeight="1" x14ac:dyDescent="0.3">
      <c r="A630" s="79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</row>
    <row r="631" spans="1:26" ht="14.25" customHeight="1" x14ac:dyDescent="0.3">
      <c r="A631" s="79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</row>
    <row r="632" spans="1:26" ht="14.25" customHeight="1" x14ac:dyDescent="0.3">
      <c r="A632" s="79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</row>
    <row r="633" spans="1:26" ht="14.25" customHeight="1" x14ac:dyDescent="0.3">
      <c r="A633" s="79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</row>
    <row r="634" spans="1:26" ht="14.25" customHeight="1" x14ac:dyDescent="0.3">
      <c r="A634" s="79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</row>
    <row r="635" spans="1:26" ht="14.25" customHeight="1" x14ac:dyDescent="0.3">
      <c r="A635" s="79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</row>
    <row r="636" spans="1:26" ht="14.25" customHeight="1" x14ac:dyDescent="0.3">
      <c r="A636" s="79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</row>
    <row r="637" spans="1:26" ht="14.25" customHeight="1" x14ac:dyDescent="0.3">
      <c r="A637" s="79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</row>
    <row r="638" spans="1:26" ht="14.25" customHeight="1" x14ac:dyDescent="0.3">
      <c r="A638" s="79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</row>
    <row r="639" spans="1:26" ht="14.25" customHeight="1" x14ac:dyDescent="0.3">
      <c r="A639" s="79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</row>
    <row r="640" spans="1:26" ht="14.25" customHeight="1" x14ac:dyDescent="0.3">
      <c r="A640" s="79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</row>
    <row r="641" spans="1:26" ht="14.25" customHeight="1" x14ac:dyDescent="0.3">
      <c r="A641" s="79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</row>
    <row r="642" spans="1:26" ht="14.25" customHeight="1" x14ac:dyDescent="0.3">
      <c r="A642" s="79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</row>
    <row r="643" spans="1:26" ht="14.25" customHeight="1" x14ac:dyDescent="0.3">
      <c r="A643" s="79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</row>
    <row r="644" spans="1:26" ht="14.25" customHeight="1" x14ac:dyDescent="0.3">
      <c r="A644" s="79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</row>
    <row r="645" spans="1:26" ht="14.25" customHeight="1" x14ac:dyDescent="0.3">
      <c r="A645" s="79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</row>
    <row r="646" spans="1:26" ht="14.25" customHeight="1" x14ac:dyDescent="0.3">
      <c r="A646" s="79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</row>
    <row r="647" spans="1:26" ht="14.25" customHeight="1" x14ac:dyDescent="0.3">
      <c r="A647" s="79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</row>
    <row r="648" spans="1:26" ht="14.25" customHeight="1" x14ac:dyDescent="0.3">
      <c r="A648" s="79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</row>
    <row r="649" spans="1:26" ht="14.25" customHeight="1" x14ac:dyDescent="0.3">
      <c r="A649" s="79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</row>
    <row r="650" spans="1:26" ht="14.25" customHeight="1" x14ac:dyDescent="0.3">
      <c r="A650" s="79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</row>
    <row r="651" spans="1:26" ht="14.25" customHeight="1" x14ac:dyDescent="0.3">
      <c r="A651" s="79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</row>
    <row r="652" spans="1:26" ht="14.25" customHeight="1" x14ac:dyDescent="0.3">
      <c r="A652" s="79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</row>
    <row r="653" spans="1:26" ht="14.25" customHeight="1" x14ac:dyDescent="0.3">
      <c r="A653" s="79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</row>
    <row r="654" spans="1:26" ht="14.25" customHeight="1" x14ac:dyDescent="0.3">
      <c r="A654" s="79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</row>
    <row r="655" spans="1:26" ht="14.25" customHeight="1" x14ac:dyDescent="0.3">
      <c r="A655" s="79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</row>
    <row r="656" spans="1:26" ht="14.25" customHeight="1" x14ac:dyDescent="0.3">
      <c r="A656" s="79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</row>
    <row r="657" spans="1:26" ht="14.25" customHeight="1" x14ac:dyDescent="0.3">
      <c r="A657" s="79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</row>
    <row r="658" spans="1:26" ht="14.25" customHeight="1" x14ac:dyDescent="0.3">
      <c r="A658" s="79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</row>
    <row r="659" spans="1:26" ht="14.25" customHeight="1" x14ac:dyDescent="0.3">
      <c r="A659" s="79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</row>
    <row r="660" spans="1:26" ht="14.25" customHeight="1" x14ac:dyDescent="0.3">
      <c r="A660" s="79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</row>
    <row r="661" spans="1:26" ht="14.25" customHeight="1" x14ac:dyDescent="0.3">
      <c r="A661" s="79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</row>
    <row r="662" spans="1:26" ht="14.25" customHeight="1" x14ac:dyDescent="0.3">
      <c r="A662" s="79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</row>
    <row r="663" spans="1:26" ht="14.25" customHeight="1" x14ac:dyDescent="0.3">
      <c r="A663" s="79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</row>
    <row r="664" spans="1:26" ht="14.25" customHeight="1" x14ac:dyDescent="0.3">
      <c r="A664" s="79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</row>
    <row r="665" spans="1:26" ht="14.25" customHeight="1" x14ac:dyDescent="0.3">
      <c r="A665" s="79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</row>
    <row r="666" spans="1:26" ht="14.25" customHeight="1" x14ac:dyDescent="0.3">
      <c r="A666" s="79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</row>
    <row r="667" spans="1:26" ht="14.25" customHeight="1" x14ac:dyDescent="0.3">
      <c r="A667" s="79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</row>
    <row r="668" spans="1:26" ht="14.25" customHeight="1" x14ac:dyDescent="0.3">
      <c r="A668" s="79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</row>
    <row r="669" spans="1:26" ht="14.25" customHeight="1" x14ac:dyDescent="0.3">
      <c r="A669" s="79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</row>
    <row r="670" spans="1:26" ht="14.25" customHeight="1" x14ac:dyDescent="0.3">
      <c r="A670" s="79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</row>
    <row r="671" spans="1:26" ht="14.25" customHeight="1" x14ac:dyDescent="0.3">
      <c r="A671" s="79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</row>
    <row r="672" spans="1:26" ht="14.25" customHeight="1" x14ac:dyDescent="0.3">
      <c r="A672" s="79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</row>
    <row r="673" spans="1:26" ht="14.25" customHeight="1" x14ac:dyDescent="0.3">
      <c r="A673" s="79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</row>
    <row r="674" spans="1:26" ht="14.25" customHeight="1" x14ac:dyDescent="0.3">
      <c r="A674" s="79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</row>
    <row r="675" spans="1:26" ht="14.25" customHeight="1" x14ac:dyDescent="0.3">
      <c r="A675" s="79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</row>
    <row r="676" spans="1:26" ht="14.25" customHeight="1" x14ac:dyDescent="0.3">
      <c r="A676" s="79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</row>
    <row r="677" spans="1:26" ht="14.25" customHeight="1" x14ac:dyDescent="0.3">
      <c r="A677" s="79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</row>
    <row r="678" spans="1:26" ht="14.25" customHeight="1" x14ac:dyDescent="0.3">
      <c r="A678" s="79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</row>
    <row r="679" spans="1:26" ht="14.25" customHeight="1" x14ac:dyDescent="0.3">
      <c r="A679" s="79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</row>
    <row r="680" spans="1:26" ht="14.25" customHeight="1" x14ac:dyDescent="0.3">
      <c r="A680" s="79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</row>
    <row r="681" spans="1:26" ht="14.25" customHeight="1" x14ac:dyDescent="0.3">
      <c r="A681" s="79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</row>
    <row r="682" spans="1:26" ht="14.25" customHeight="1" x14ac:dyDescent="0.3">
      <c r="A682" s="79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</row>
    <row r="683" spans="1:26" ht="14.25" customHeight="1" x14ac:dyDescent="0.3">
      <c r="A683" s="79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</row>
    <row r="684" spans="1:26" ht="14.25" customHeight="1" x14ac:dyDescent="0.3">
      <c r="A684" s="79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</row>
    <row r="685" spans="1:26" ht="14.25" customHeight="1" x14ac:dyDescent="0.3">
      <c r="A685" s="79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</row>
    <row r="686" spans="1:26" ht="14.25" customHeight="1" x14ac:dyDescent="0.3">
      <c r="A686" s="79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</row>
    <row r="687" spans="1:26" ht="14.25" customHeight="1" x14ac:dyDescent="0.3">
      <c r="A687" s="79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</row>
    <row r="688" spans="1:26" ht="14.25" customHeight="1" x14ac:dyDescent="0.3">
      <c r="A688" s="79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</row>
    <row r="689" spans="1:26" ht="14.25" customHeight="1" x14ac:dyDescent="0.3">
      <c r="A689" s="79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</row>
    <row r="690" spans="1:26" ht="14.25" customHeight="1" x14ac:dyDescent="0.3">
      <c r="A690" s="79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</row>
    <row r="691" spans="1:26" ht="14.25" customHeight="1" x14ac:dyDescent="0.3">
      <c r="A691" s="79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</row>
    <row r="692" spans="1:26" ht="14.25" customHeight="1" x14ac:dyDescent="0.3">
      <c r="A692" s="79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</row>
    <row r="693" spans="1:26" ht="14.25" customHeight="1" x14ac:dyDescent="0.3">
      <c r="A693" s="79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</row>
    <row r="694" spans="1:26" ht="14.25" customHeight="1" x14ac:dyDescent="0.3">
      <c r="A694" s="79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</row>
    <row r="695" spans="1:26" ht="14.25" customHeight="1" x14ac:dyDescent="0.3">
      <c r="A695" s="79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</row>
    <row r="696" spans="1:26" ht="14.25" customHeight="1" x14ac:dyDescent="0.3">
      <c r="A696" s="79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</row>
    <row r="697" spans="1:26" ht="14.25" customHeight="1" x14ac:dyDescent="0.3">
      <c r="A697" s="79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</row>
    <row r="698" spans="1:26" ht="14.25" customHeight="1" x14ac:dyDescent="0.3">
      <c r="A698" s="79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</row>
    <row r="699" spans="1:26" ht="14.25" customHeight="1" x14ac:dyDescent="0.3">
      <c r="A699" s="79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</row>
    <row r="700" spans="1:26" ht="14.25" customHeight="1" x14ac:dyDescent="0.3">
      <c r="A700" s="79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</row>
    <row r="701" spans="1:26" ht="14.25" customHeight="1" x14ac:dyDescent="0.3">
      <c r="A701" s="79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</row>
    <row r="702" spans="1:26" ht="14.25" customHeight="1" x14ac:dyDescent="0.3">
      <c r="A702" s="79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</row>
    <row r="703" spans="1:26" ht="14.25" customHeight="1" x14ac:dyDescent="0.3">
      <c r="A703" s="79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</row>
    <row r="704" spans="1:26" ht="14.25" customHeight="1" x14ac:dyDescent="0.3">
      <c r="A704" s="79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</row>
    <row r="705" spans="1:26" ht="14.25" customHeight="1" x14ac:dyDescent="0.3">
      <c r="A705" s="79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</row>
    <row r="706" spans="1:26" ht="14.25" customHeight="1" x14ac:dyDescent="0.3">
      <c r="A706" s="79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</row>
    <row r="707" spans="1:26" ht="14.25" customHeight="1" x14ac:dyDescent="0.3">
      <c r="A707" s="79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</row>
    <row r="708" spans="1:26" ht="14.25" customHeight="1" x14ac:dyDescent="0.3">
      <c r="A708" s="79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</row>
    <row r="709" spans="1:26" ht="14.25" customHeight="1" x14ac:dyDescent="0.3">
      <c r="A709" s="79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</row>
    <row r="710" spans="1:26" ht="14.25" customHeight="1" x14ac:dyDescent="0.3">
      <c r="A710" s="79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</row>
    <row r="711" spans="1:26" ht="14.25" customHeight="1" x14ac:dyDescent="0.3">
      <c r="A711" s="79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</row>
    <row r="712" spans="1:26" ht="14.25" customHeight="1" x14ac:dyDescent="0.3">
      <c r="A712" s="79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</row>
    <row r="713" spans="1:26" ht="14.25" customHeight="1" x14ac:dyDescent="0.3">
      <c r="A713" s="79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</row>
    <row r="714" spans="1:26" ht="14.25" customHeight="1" x14ac:dyDescent="0.3">
      <c r="A714" s="79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</row>
    <row r="715" spans="1:26" ht="14.25" customHeight="1" x14ac:dyDescent="0.3">
      <c r="A715" s="79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</row>
    <row r="716" spans="1:26" ht="14.25" customHeight="1" x14ac:dyDescent="0.3">
      <c r="A716" s="79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</row>
    <row r="717" spans="1:26" ht="14.25" customHeight="1" x14ac:dyDescent="0.3">
      <c r="A717" s="79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</row>
    <row r="718" spans="1:26" ht="14.25" customHeight="1" x14ac:dyDescent="0.3">
      <c r="A718" s="79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</row>
    <row r="719" spans="1:26" ht="14.25" customHeight="1" x14ac:dyDescent="0.3">
      <c r="A719" s="79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</row>
    <row r="720" spans="1:26" ht="14.25" customHeight="1" x14ac:dyDescent="0.3">
      <c r="A720" s="79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</row>
    <row r="721" spans="1:26" ht="14.25" customHeight="1" x14ac:dyDescent="0.3">
      <c r="A721" s="79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</row>
    <row r="722" spans="1:26" ht="14.25" customHeight="1" x14ac:dyDescent="0.3">
      <c r="A722" s="79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</row>
    <row r="723" spans="1:26" ht="14.25" customHeight="1" x14ac:dyDescent="0.3">
      <c r="A723" s="79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</row>
    <row r="724" spans="1:26" ht="14.25" customHeight="1" x14ac:dyDescent="0.3">
      <c r="A724" s="79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</row>
    <row r="725" spans="1:26" ht="14.25" customHeight="1" x14ac:dyDescent="0.3">
      <c r="A725" s="79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</row>
    <row r="726" spans="1:26" ht="14.25" customHeight="1" x14ac:dyDescent="0.3">
      <c r="A726" s="79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</row>
    <row r="727" spans="1:26" ht="14.25" customHeight="1" x14ac:dyDescent="0.3">
      <c r="A727" s="79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</row>
    <row r="728" spans="1:26" ht="14.25" customHeight="1" x14ac:dyDescent="0.3">
      <c r="A728" s="79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</row>
    <row r="729" spans="1:26" ht="14.25" customHeight="1" x14ac:dyDescent="0.3">
      <c r="A729" s="79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</row>
    <row r="730" spans="1:26" ht="14.25" customHeight="1" x14ac:dyDescent="0.3">
      <c r="A730" s="79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</row>
    <row r="731" spans="1:26" ht="14.25" customHeight="1" x14ac:dyDescent="0.3">
      <c r="A731" s="79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</row>
    <row r="732" spans="1:26" ht="14.25" customHeight="1" x14ac:dyDescent="0.3">
      <c r="A732" s="79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</row>
    <row r="733" spans="1:26" ht="14.25" customHeight="1" x14ac:dyDescent="0.3">
      <c r="A733" s="79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</row>
    <row r="734" spans="1:26" ht="14.25" customHeight="1" x14ac:dyDescent="0.3">
      <c r="A734" s="79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</row>
    <row r="735" spans="1:26" ht="14.25" customHeight="1" x14ac:dyDescent="0.3">
      <c r="A735" s="79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</row>
    <row r="736" spans="1:26" ht="14.25" customHeight="1" x14ac:dyDescent="0.3">
      <c r="A736" s="79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</row>
    <row r="737" spans="1:26" ht="14.25" customHeight="1" x14ac:dyDescent="0.3">
      <c r="A737" s="79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</row>
    <row r="738" spans="1:26" ht="14.25" customHeight="1" x14ac:dyDescent="0.3">
      <c r="A738" s="79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</row>
    <row r="739" spans="1:26" ht="14.25" customHeight="1" x14ac:dyDescent="0.3">
      <c r="A739" s="79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</row>
    <row r="740" spans="1:26" ht="14.25" customHeight="1" x14ac:dyDescent="0.3">
      <c r="A740" s="79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</row>
    <row r="741" spans="1:26" ht="14.25" customHeight="1" x14ac:dyDescent="0.3">
      <c r="A741" s="79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</row>
    <row r="742" spans="1:26" ht="14.25" customHeight="1" x14ac:dyDescent="0.3">
      <c r="A742" s="79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</row>
    <row r="743" spans="1:26" ht="14.25" customHeight="1" x14ac:dyDescent="0.3">
      <c r="A743" s="79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</row>
    <row r="744" spans="1:26" ht="14.25" customHeight="1" x14ac:dyDescent="0.3">
      <c r="A744" s="79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</row>
    <row r="745" spans="1:26" ht="14.25" customHeight="1" x14ac:dyDescent="0.3">
      <c r="A745" s="79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</row>
    <row r="746" spans="1:26" ht="14.25" customHeight="1" x14ac:dyDescent="0.3">
      <c r="A746" s="79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</row>
    <row r="747" spans="1:26" ht="14.25" customHeight="1" x14ac:dyDescent="0.3">
      <c r="A747" s="79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</row>
    <row r="748" spans="1:26" ht="14.25" customHeight="1" x14ac:dyDescent="0.3">
      <c r="A748" s="79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</row>
    <row r="749" spans="1:26" ht="14.25" customHeight="1" x14ac:dyDescent="0.3">
      <c r="A749" s="79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</row>
    <row r="750" spans="1:26" ht="14.25" customHeight="1" x14ac:dyDescent="0.3">
      <c r="A750" s="79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</row>
    <row r="751" spans="1:26" ht="14.25" customHeight="1" x14ac:dyDescent="0.3">
      <c r="A751" s="79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</row>
    <row r="752" spans="1:26" ht="14.25" customHeight="1" x14ac:dyDescent="0.3">
      <c r="A752" s="79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</row>
    <row r="753" spans="1:26" ht="14.25" customHeight="1" x14ac:dyDescent="0.3">
      <c r="A753" s="79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</row>
    <row r="754" spans="1:26" ht="14.25" customHeight="1" x14ac:dyDescent="0.3">
      <c r="A754" s="79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</row>
    <row r="755" spans="1:26" ht="14.25" customHeight="1" x14ac:dyDescent="0.3">
      <c r="A755" s="79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</row>
    <row r="756" spans="1:26" ht="14.25" customHeight="1" x14ac:dyDescent="0.3">
      <c r="A756" s="79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</row>
    <row r="757" spans="1:26" ht="14.25" customHeight="1" x14ac:dyDescent="0.3">
      <c r="A757" s="79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</row>
    <row r="758" spans="1:26" ht="14.25" customHeight="1" x14ac:dyDescent="0.3">
      <c r="A758" s="79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</row>
    <row r="759" spans="1:26" ht="14.25" customHeight="1" x14ac:dyDescent="0.3">
      <c r="A759" s="79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</row>
    <row r="760" spans="1:26" ht="14.25" customHeight="1" x14ac:dyDescent="0.3">
      <c r="A760" s="79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</row>
    <row r="761" spans="1:26" ht="14.25" customHeight="1" x14ac:dyDescent="0.3">
      <c r="A761" s="79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</row>
    <row r="762" spans="1:26" ht="14.25" customHeight="1" x14ac:dyDescent="0.3">
      <c r="A762" s="79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</row>
    <row r="763" spans="1:26" ht="14.25" customHeight="1" x14ac:dyDescent="0.3">
      <c r="A763" s="79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</row>
    <row r="764" spans="1:26" ht="14.25" customHeight="1" x14ac:dyDescent="0.3">
      <c r="A764" s="79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</row>
    <row r="765" spans="1:26" ht="14.25" customHeight="1" x14ac:dyDescent="0.3">
      <c r="A765" s="79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</row>
    <row r="766" spans="1:26" ht="14.25" customHeight="1" x14ac:dyDescent="0.3">
      <c r="A766" s="79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</row>
    <row r="767" spans="1:26" ht="14.25" customHeight="1" x14ac:dyDescent="0.3">
      <c r="A767" s="79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</row>
    <row r="768" spans="1:26" ht="14.25" customHeight="1" x14ac:dyDescent="0.3">
      <c r="A768" s="79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</row>
    <row r="769" spans="1:26" ht="14.25" customHeight="1" x14ac:dyDescent="0.3">
      <c r="A769" s="79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</row>
    <row r="770" spans="1:26" ht="14.25" customHeight="1" x14ac:dyDescent="0.3">
      <c r="A770" s="79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</row>
    <row r="771" spans="1:26" ht="14.25" customHeight="1" x14ac:dyDescent="0.3">
      <c r="A771" s="79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</row>
    <row r="772" spans="1:26" ht="14.25" customHeight="1" x14ac:dyDescent="0.3">
      <c r="A772" s="79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</row>
    <row r="773" spans="1:26" ht="14.25" customHeight="1" x14ac:dyDescent="0.3">
      <c r="A773" s="79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</row>
    <row r="774" spans="1:26" ht="14.25" customHeight="1" x14ac:dyDescent="0.3">
      <c r="A774" s="79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</row>
    <row r="775" spans="1:26" ht="14.25" customHeight="1" x14ac:dyDescent="0.3">
      <c r="A775" s="79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</row>
    <row r="776" spans="1:26" ht="14.25" customHeight="1" x14ac:dyDescent="0.3">
      <c r="A776" s="79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</row>
    <row r="777" spans="1:26" ht="14.25" customHeight="1" x14ac:dyDescent="0.3">
      <c r="A777" s="79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</row>
    <row r="778" spans="1:26" ht="14.25" customHeight="1" x14ac:dyDescent="0.3">
      <c r="A778" s="79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</row>
    <row r="779" spans="1:26" ht="14.25" customHeight="1" x14ac:dyDescent="0.3">
      <c r="A779" s="79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</row>
    <row r="780" spans="1:26" ht="14.25" customHeight="1" x14ac:dyDescent="0.3">
      <c r="A780" s="79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</row>
    <row r="781" spans="1:26" ht="14.25" customHeight="1" x14ac:dyDescent="0.3">
      <c r="A781" s="79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</row>
    <row r="782" spans="1:26" ht="14.25" customHeight="1" x14ac:dyDescent="0.3">
      <c r="A782" s="79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</row>
    <row r="783" spans="1:26" ht="14.25" customHeight="1" x14ac:dyDescent="0.3">
      <c r="A783" s="79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</row>
    <row r="784" spans="1:26" ht="14.25" customHeight="1" x14ac:dyDescent="0.3">
      <c r="A784" s="79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</row>
    <row r="785" spans="1:26" ht="14.25" customHeight="1" x14ac:dyDescent="0.3">
      <c r="A785" s="79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</row>
    <row r="786" spans="1:26" ht="14.25" customHeight="1" x14ac:dyDescent="0.3">
      <c r="A786" s="79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</row>
    <row r="787" spans="1:26" ht="14.25" customHeight="1" x14ac:dyDescent="0.3">
      <c r="A787" s="79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</row>
    <row r="788" spans="1:26" ht="14.25" customHeight="1" x14ac:dyDescent="0.3">
      <c r="A788" s="79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</row>
    <row r="789" spans="1:26" ht="14.25" customHeight="1" x14ac:dyDescent="0.3">
      <c r="A789" s="79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</row>
    <row r="790" spans="1:26" ht="14.25" customHeight="1" x14ac:dyDescent="0.3">
      <c r="A790" s="79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</row>
    <row r="791" spans="1:26" ht="14.25" customHeight="1" x14ac:dyDescent="0.3">
      <c r="A791" s="79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</row>
    <row r="792" spans="1:26" ht="14.25" customHeight="1" x14ac:dyDescent="0.3">
      <c r="A792" s="79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</row>
    <row r="793" spans="1:26" ht="14.25" customHeight="1" x14ac:dyDescent="0.3">
      <c r="A793" s="79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</row>
    <row r="794" spans="1:26" ht="14.25" customHeight="1" x14ac:dyDescent="0.3">
      <c r="A794" s="79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</row>
    <row r="795" spans="1:26" ht="14.25" customHeight="1" x14ac:dyDescent="0.3">
      <c r="A795" s="79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</row>
    <row r="796" spans="1:26" ht="14.25" customHeight="1" x14ac:dyDescent="0.3">
      <c r="A796" s="79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</row>
    <row r="797" spans="1:26" ht="14.25" customHeight="1" x14ac:dyDescent="0.3">
      <c r="A797" s="79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</row>
    <row r="798" spans="1:26" ht="14.25" customHeight="1" x14ac:dyDescent="0.3">
      <c r="A798" s="79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</row>
    <row r="799" spans="1:26" ht="14.25" customHeight="1" x14ac:dyDescent="0.3">
      <c r="A799" s="79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</row>
    <row r="800" spans="1:26" ht="14.25" customHeight="1" x14ac:dyDescent="0.3">
      <c r="A800" s="79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</row>
    <row r="801" spans="1:26" ht="14.25" customHeight="1" x14ac:dyDescent="0.3">
      <c r="A801" s="79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</row>
    <row r="802" spans="1:26" ht="14.25" customHeight="1" x14ac:dyDescent="0.3">
      <c r="A802" s="79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</row>
    <row r="803" spans="1:26" ht="14.25" customHeight="1" x14ac:dyDescent="0.3">
      <c r="A803" s="79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</row>
    <row r="804" spans="1:26" ht="14.25" customHeight="1" x14ac:dyDescent="0.3">
      <c r="A804" s="79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</row>
    <row r="805" spans="1:26" ht="14.25" customHeight="1" x14ac:dyDescent="0.3">
      <c r="A805" s="79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</row>
    <row r="806" spans="1:26" ht="14.25" customHeight="1" x14ac:dyDescent="0.3">
      <c r="A806" s="79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</row>
    <row r="807" spans="1:26" ht="14.25" customHeight="1" x14ac:dyDescent="0.3">
      <c r="A807" s="79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</row>
    <row r="808" spans="1:26" ht="14.25" customHeight="1" x14ac:dyDescent="0.3">
      <c r="A808" s="79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</row>
    <row r="809" spans="1:26" ht="14.25" customHeight="1" x14ac:dyDescent="0.3">
      <c r="A809" s="79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</row>
    <row r="810" spans="1:26" ht="14.25" customHeight="1" x14ac:dyDescent="0.3">
      <c r="A810" s="79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</row>
    <row r="811" spans="1:26" ht="14.25" customHeight="1" x14ac:dyDescent="0.3">
      <c r="A811" s="79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</row>
    <row r="812" spans="1:26" ht="14.25" customHeight="1" x14ac:dyDescent="0.3">
      <c r="A812" s="79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</row>
    <row r="813" spans="1:26" ht="14.25" customHeight="1" x14ac:dyDescent="0.3">
      <c r="A813" s="79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</row>
    <row r="814" spans="1:26" ht="14.25" customHeight="1" x14ac:dyDescent="0.3">
      <c r="A814" s="79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</row>
    <row r="815" spans="1:26" ht="14.25" customHeight="1" x14ac:dyDescent="0.3">
      <c r="A815" s="79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</row>
    <row r="816" spans="1:26" ht="14.25" customHeight="1" x14ac:dyDescent="0.3">
      <c r="A816" s="79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</row>
    <row r="817" spans="1:26" ht="14.25" customHeight="1" x14ac:dyDescent="0.3">
      <c r="A817" s="79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</row>
    <row r="818" spans="1:26" ht="14.25" customHeight="1" x14ac:dyDescent="0.3">
      <c r="A818" s="79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</row>
    <row r="819" spans="1:26" ht="14.25" customHeight="1" x14ac:dyDescent="0.3">
      <c r="A819" s="79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</row>
    <row r="820" spans="1:26" ht="14.25" customHeight="1" x14ac:dyDescent="0.3">
      <c r="A820" s="79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</row>
    <row r="821" spans="1:26" ht="14.25" customHeight="1" x14ac:dyDescent="0.3">
      <c r="A821" s="79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</row>
    <row r="822" spans="1:26" ht="14.25" customHeight="1" x14ac:dyDescent="0.3">
      <c r="A822" s="79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</row>
    <row r="823" spans="1:26" ht="14.25" customHeight="1" x14ac:dyDescent="0.3">
      <c r="A823" s="79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</row>
    <row r="824" spans="1:26" ht="14.25" customHeight="1" x14ac:dyDescent="0.3">
      <c r="A824" s="79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</row>
    <row r="825" spans="1:26" ht="14.25" customHeight="1" x14ac:dyDescent="0.3">
      <c r="A825" s="79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</row>
    <row r="826" spans="1:26" ht="14.25" customHeight="1" x14ac:dyDescent="0.3">
      <c r="A826" s="79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</row>
    <row r="827" spans="1:26" ht="14.25" customHeight="1" x14ac:dyDescent="0.3">
      <c r="A827" s="79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</row>
    <row r="828" spans="1:26" ht="14.25" customHeight="1" x14ac:dyDescent="0.3">
      <c r="A828" s="79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</row>
    <row r="829" spans="1:26" ht="14.25" customHeight="1" x14ac:dyDescent="0.3">
      <c r="A829" s="79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</row>
    <row r="830" spans="1:26" ht="14.25" customHeight="1" x14ac:dyDescent="0.3">
      <c r="A830" s="79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</row>
    <row r="831" spans="1:26" ht="14.25" customHeight="1" x14ac:dyDescent="0.3">
      <c r="A831" s="79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</row>
    <row r="832" spans="1:26" ht="14.25" customHeight="1" x14ac:dyDescent="0.3">
      <c r="A832" s="79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</row>
    <row r="833" spans="1:26" ht="14.25" customHeight="1" x14ac:dyDescent="0.3">
      <c r="A833" s="79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</row>
    <row r="834" spans="1:26" ht="14.25" customHeight="1" x14ac:dyDescent="0.3">
      <c r="A834" s="79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</row>
    <row r="835" spans="1:26" ht="14.25" customHeight="1" x14ac:dyDescent="0.3">
      <c r="A835" s="79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</row>
    <row r="836" spans="1:26" ht="14.25" customHeight="1" x14ac:dyDescent="0.3">
      <c r="A836" s="79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</row>
    <row r="837" spans="1:26" ht="14.25" customHeight="1" x14ac:dyDescent="0.3">
      <c r="A837" s="79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</row>
    <row r="838" spans="1:26" ht="14.25" customHeight="1" x14ac:dyDescent="0.3">
      <c r="A838" s="79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</row>
    <row r="839" spans="1:26" ht="14.25" customHeight="1" x14ac:dyDescent="0.3">
      <c r="A839" s="79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</row>
    <row r="840" spans="1:26" ht="14.25" customHeight="1" x14ac:dyDescent="0.3">
      <c r="A840" s="79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</row>
    <row r="841" spans="1:26" ht="14.25" customHeight="1" x14ac:dyDescent="0.3">
      <c r="A841" s="79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</row>
    <row r="842" spans="1:26" ht="14.25" customHeight="1" x14ac:dyDescent="0.3">
      <c r="A842" s="79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</row>
    <row r="843" spans="1:26" ht="14.25" customHeight="1" x14ac:dyDescent="0.3">
      <c r="A843" s="79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</row>
    <row r="844" spans="1:26" ht="14.25" customHeight="1" x14ac:dyDescent="0.3">
      <c r="A844" s="79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</row>
    <row r="845" spans="1:26" ht="14.25" customHeight="1" x14ac:dyDescent="0.3">
      <c r="A845" s="79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</row>
    <row r="846" spans="1:26" ht="14.25" customHeight="1" x14ac:dyDescent="0.3">
      <c r="A846" s="79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</row>
    <row r="847" spans="1:26" ht="14.25" customHeight="1" x14ac:dyDescent="0.3">
      <c r="A847" s="79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</row>
    <row r="848" spans="1:26" ht="14.25" customHeight="1" x14ac:dyDescent="0.3">
      <c r="A848" s="79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</row>
    <row r="849" spans="1:26" ht="14.25" customHeight="1" x14ac:dyDescent="0.3">
      <c r="A849" s="79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</row>
    <row r="850" spans="1:26" ht="14.25" customHeight="1" x14ac:dyDescent="0.3">
      <c r="A850" s="79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</row>
    <row r="851" spans="1:26" ht="14.25" customHeight="1" x14ac:dyDescent="0.3">
      <c r="A851" s="79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</row>
    <row r="852" spans="1:26" ht="14.25" customHeight="1" x14ac:dyDescent="0.3">
      <c r="A852" s="79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</row>
    <row r="853" spans="1:26" ht="14.25" customHeight="1" x14ac:dyDescent="0.3">
      <c r="A853" s="79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</row>
    <row r="854" spans="1:26" ht="14.25" customHeight="1" x14ac:dyDescent="0.3">
      <c r="A854" s="79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</row>
    <row r="855" spans="1:26" ht="14.25" customHeight="1" x14ac:dyDescent="0.3">
      <c r="A855" s="79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</row>
    <row r="856" spans="1:26" ht="14.25" customHeight="1" x14ac:dyDescent="0.3">
      <c r="A856" s="79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</row>
    <row r="857" spans="1:26" ht="14.25" customHeight="1" x14ac:dyDescent="0.3">
      <c r="A857" s="79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</row>
    <row r="858" spans="1:26" ht="14.25" customHeight="1" x14ac:dyDescent="0.3">
      <c r="A858" s="79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</row>
    <row r="859" spans="1:26" ht="14.25" customHeight="1" x14ac:dyDescent="0.3">
      <c r="A859" s="79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</row>
    <row r="860" spans="1:26" ht="14.25" customHeight="1" x14ac:dyDescent="0.3">
      <c r="A860" s="79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</row>
    <row r="861" spans="1:26" ht="14.25" customHeight="1" x14ac:dyDescent="0.3">
      <c r="A861" s="79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</row>
    <row r="862" spans="1:26" ht="14.25" customHeight="1" x14ac:dyDescent="0.3">
      <c r="A862" s="79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</row>
    <row r="863" spans="1:26" ht="14.25" customHeight="1" x14ac:dyDescent="0.3">
      <c r="A863" s="79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</row>
    <row r="864" spans="1:26" ht="14.25" customHeight="1" x14ac:dyDescent="0.3">
      <c r="A864" s="79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</row>
    <row r="865" spans="1:26" ht="14.25" customHeight="1" x14ac:dyDescent="0.3">
      <c r="A865" s="79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</row>
    <row r="866" spans="1:26" ht="14.25" customHeight="1" x14ac:dyDescent="0.3">
      <c r="A866" s="79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</row>
    <row r="867" spans="1:26" ht="14.25" customHeight="1" x14ac:dyDescent="0.3">
      <c r="A867" s="79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</row>
    <row r="868" spans="1:26" ht="14.25" customHeight="1" x14ac:dyDescent="0.3">
      <c r="A868" s="79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</row>
    <row r="869" spans="1:26" ht="14.25" customHeight="1" x14ac:dyDescent="0.3">
      <c r="A869" s="79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</row>
    <row r="870" spans="1:26" ht="14.25" customHeight="1" x14ac:dyDescent="0.3">
      <c r="A870" s="79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</row>
    <row r="871" spans="1:26" ht="14.25" customHeight="1" x14ac:dyDescent="0.3">
      <c r="A871" s="79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</row>
    <row r="872" spans="1:26" ht="14.25" customHeight="1" x14ac:dyDescent="0.3">
      <c r="A872" s="79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</row>
    <row r="873" spans="1:26" ht="14.25" customHeight="1" x14ac:dyDescent="0.3">
      <c r="A873" s="79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</row>
    <row r="874" spans="1:26" ht="14.25" customHeight="1" x14ac:dyDescent="0.3">
      <c r="A874" s="79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</row>
    <row r="875" spans="1:26" ht="14.25" customHeight="1" x14ac:dyDescent="0.3">
      <c r="A875" s="79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</row>
    <row r="876" spans="1:26" ht="14.25" customHeight="1" x14ac:dyDescent="0.3">
      <c r="A876" s="79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</row>
    <row r="877" spans="1:26" ht="14.25" customHeight="1" x14ac:dyDescent="0.3">
      <c r="A877" s="79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</row>
    <row r="878" spans="1:26" ht="14.25" customHeight="1" x14ac:dyDescent="0.3">
      <c r="A878" s="79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</row>
    <row r="879" spans="1:26" ht="14.25" customHeight="1" x14ac:dyDescent="0.3">
      <c r="A879" s="79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</row>
    <row r="880" spans="1:26" ht="14.25" customHeight="1" x14ac:dyDescent="0.3">
      <c r="A880" s="79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</row>
    <row r="881" spans="1:26" ht="14.25" customHeight="1" x14ac:dyDescent="0.3">
      <c r="A881" s="79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</row>
    <row r="882" spans="1:26" ht="14.25" customHeight="1" x14ac:dyDescent="0.3">
      <c r="A882" s="79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</row>
    <row r="883" spans="1:26" ht="14.25" customHeight="1" x14ac:dyDescent="0.3">
      <c r="A883" s="79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</row>
    <row r="884" spans="1:26" ht="14.25" customHeight="1" x14ac:dyDescent="0.3">
      <c r="A884" s="79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</row>
    <row r="885" spans="1:26" ht="14.25" customHeight="1" x14ac:dyDescent="0.3">
      <c r="A885" s="79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</row>
    <row r="886" spans="1:26" ht="14.25" customHeight="1" x14ac:dyDescent="0.3">
      <c r="A886" s="79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</row>
    <row r="887" spans="1:26" ht="14.25" customHeight="1" x14ac:dyDescent="0.3">
      <c r="A887" s="79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</row>
    <row r="888" spans="1:26" ht="14.25" customHeight="1" x14ac:dyDescent="0.3">
      <c r="A888" s="79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</row>
    <row r="889" spans="1:26" ht="14.25" customHeight="1" x14ac:dyDescent="0.3">
      <c r="A889" s="79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</row>
    <row r="890" spans="1:26" ht="14.25" customHeight="1" x14ac:dyDescent="0.3">
      <c r="A890" s="79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</row>
    <row r="891" spans="1:26" ht="14.25" customHeight="1" x14ac:dyDescent="0.3">
      <c r="A891" s="79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</row>
    <row r="892" spans="1:26" ht="14.25" customHeight="1" x14ac:dyDescent="0.3">
      <c r="A892" s="79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</row>
    <row r="893" spans="1:26" ht="14.25" customHeight="1" x14ac:dyDescent="0.3">
      <c r="A893" s="79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</row>
    <row r="894" spans="1:26" ht="14.25" customHeight="1" x14ac:dyDescent="0.3">
      <c r="A894" s="79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</row>
    <row r="895" spans="1:26" ht="14.25" customHeight="1" x14ac:dyDescent="0.3">
      <c r="A895" s="79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</row>
    <row r="896" spans="1:26" ht="14.25" customHeight="1" x14ac:dyDescent="0.3">
      <c r="A896" s="79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</row>
    <row r="897" spans="1:26" ht="14.25" customHeight="1" x14ac:dyDescent="0.3">
      <c r="A897" s="79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</row>
    <row r="898" spans="1:26" ht="14.25" customHeight="1" x14ac:dyDescent="0.3">
      <c r="A898" s="79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</row>
    <row r="899" spans="1:26" ht="14.25" customHeight="1" x14ac:dyDescent="0.3">
      <c r="A899" s="79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</row>
    <row r="900" spans="1:26" ht="14.25" customHeight="1" x14ac:dyDescent="0.3">
      <c r="A900" s="79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</row>
    <row r="901" spans="1:26" ht="14.25" customHeight="1" x14ac:dyDescent="0.3">
      <c r="A901" s="79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</row>
    <row r="902" spans="1:26" ht="14.25" customHeight="1" x14ac:dyDescent="0.3">
      <c r="A902" s="79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</row>
    <row r="903" spans="1:26" ht="14.25" customHeight="1" x14ac:dyDescent="0.3">
      <c r="A903" s="79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</row>
    <row r="904" spans="1:26" ht="14.25" customHeight="1" x14ac:dyDescent="0.3">
      <c r="A904" s="79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</row>
    <row r="905" spans="1:26" ht="14.25" customHeight="1" x14ac:dyDescent="0.3">
      <c r="A905" s="79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</row>
    <row r="906" spans="1:26" ht="14.25" customHeight="1" x14ac:dyDescent="0.3">
      <c r="A906" s="79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</row>
    <row r="907" spans="1:26" ht="14.25" customHeight="1" x14ac:dyDescent="0.3">
      <c r="A907" s="79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</row>
    <row r="908" spans="1:26" ht="14.25" customHeight="1" x14ac:dyDescent="0.3">
      <c r="A908" s="79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</row>
    <row r="909" spans="1:26" ht="14.25" customHeight="1" x14ac:dyDescent="0.3">
      <c r="A909" s="79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</row>
    <row r="910" spans="1:26" ht="14.25" customHeight="1" x14ac:dyDescent="0.3">
      <c r="A910" s="79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</row>
    <row r="911" spans="1:26" ht="14.25" customHeight="1" x14ac:dyDescent="0.3">
      <c r="A911" s="79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</row>
    <row r="912" spans="1:26" ht="14.25" customHeight="1" x14ac:dyDescent="0.3">
      <c r="A912" s="79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</row>
    <row r="913" spans="1:26" ht="14.25" customHeight="1" x14ac:dyDescent="0.3">
      <c r="A913" s="79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</row>
    <row r="914" spans="1:26" ht="14.25" customHeight="1" x14ac:dyDescent="0.3">
      <c r="A914" s="79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</row>
    <row r="915" spans="1:26" ht="14.25" customHeight="1" x14ac:dyDescent="0.3">
      <c r="A915" s="79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</row>
    <row r="916" spans="1:26" ht="14.25" customHeight="1" x14ac:dyDescent="0.3">
      <c r="A916" s="79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</row>
    <row r="917" spans="1:26" ht="14.25" customHeight="1" x14ac:dyDescent="0.3">
      <c r="A917" s="79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</row>
    <row r="918" spans="1:26" ht="14.25" customHeight="1" x14ac:dyDescent="0.3">
      <c r="A918" s="79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</row>
    <row r="919" spans="1:26" ht="14.25" customHeight="1" x14ac:dyDescent="0.3">
      <c r="A919" s="79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</row>
    <row r="920" spans="1:26" ht="14.25" customHeight="1" x14ac:dyDescent="0.3">
      <c r="A920" s="79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</row>
    <row r="921" spans="1:26" ht="14.25" customHeight="1" x14ac:dyDescent="0.3">
      <c r="A921" s="79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</row>
    <row r="922" spans="1:26" ht="14.25" customHeight="1" x14ac:dyDescent="0.3">
      <c r="A922" s="79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</row>
    <row r="923" spans="1:26" ht="14.25" customHeight="1" x14ac:dyDescent="0.3">
      <c r="A923" s="79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</row>
    <row r="924" spans="1:26" ht="14.25" customHeight="1" x14ac:dyDescent="0.3">
      <c r="A924" s="79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</row>
    <row r="925" spans="1:26" ht="14.25" customHeight="1" x14ac:dyDescent="0.3">
      <c r="A925" s="79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</row>
    <row r="926" spans="1:26" ht="14.25" customHeight="1" x14ac:dyDescent="0.3">
      <c r="A926" s="79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</row>
    <row r="927" spans="1:26" ht="14.25" customHeight="1" x14ac:dyDescent="0.3">
      <c r="A927" s="79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</row>
    <row r="928" spans="1:26" ht="14.25" customHeight="1" x14ac:dyDescent="0.3">
      <c r="A928" s="79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</row>
    <row r="929" spans="1:26" ht="14.25" customHeight="1" x14ac:dyDescent="0.3">
      <c r="A929" s="79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</row>
    <row r="930" spans="1:26" ht="14.25" customHeight="1" x14ac:dyDescent="0.3">
      <c r="A930" s="79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</row>
    <row r="931" spans="1:26" ht="14.25" customHeight="1" x14ac:dyDescent="0.3">
      <c r="A931" s="79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</row>
    <row r="932" spans="1:26" ht="14.25" customHeight="1" x14ac:dyDescent="0.3">
      <c r="A932" s="79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</row>
    <row r="933" spans="1:26" ht="14.25" customHeight="1" x14ac:dyDescent="0.3">
      <c r="A933" s="79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</row>
    <row r="934" spans="1:26" ht="14.25" customHeight="1" x14ac:dyDescent="0.3">
      <c r="A934" s="79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</row>
    <row r="935" spans="1:26" ht="14.25" customHeight="1" x14ac:dyDescent="0.3">
      <c r="A935" s="79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</row>
    <row r="936" spans="1:26" ht="14.25" customHeight="1" x14ac:dyDescent="0.3">
      <c r="A936" s="79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</row>
    <row r="937" spans="1:26" ht="14.25" customHeight="1" x14ac:dyDescent="0.3">
      <c r="A937" s="79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</row>
    <row r="938" spans="1:26" ht="14.25" customHeight="1" x14ac:dyDescent="0.3">
      <c r="A938" s="79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</row>
    <row r="939" spans="1:26" ht="14.25" customHeight="1" x14ac:dyDescent="0.3">
      <c r="A939" s="79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</row>
    <row r="940" spans="1:26" ht="14.25" customHeight="1" x14ac:dyDescent="0.3">
      <c r="A940" s="79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</row>
    <row r="941" spans="1:26" ht="14.25" customHeight="1" x14ac:dyDescent="0.3">
      <c r="A941" s="79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</row>
    <row r="942" spans="1:26" ht="14.25" customHeight="1" x14ac:dyDescent="0.3">
      <c r="A942" s="79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</row>
    <row r="943" spans="1:26" ht="14.25" customHeight="1" x14ac:dyDescent="0.3">
      <c r="A943" s="79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</row>
    <row r="944" spans="1:26" ht="14.25" customHeight="1" x14ac:dyDescent="0.3">
      <c r="A944" s="79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</row>
    <row r="945" spans="1:26" ht="14.25" customHeight="1" x14ac:dyDescent="0.3">
      <c r="A945" s="79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</row>
    <row r="946" spans="1:26" ht="14.25" customHeight="1" x14ac:dyDescent="0.3">
      <c r="A946" s="79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</row>
    <row r="947" spans="1:26" ht="14.25" customHeight="1" x14ac:dyDescent="0.3">
      <c r="A947" s="79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</row>
    <row r="948" spans="1:26" ht="14.25" customHeight="1" x14ac:dyDescent="0.3">
      <c r="A948" s="79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</row>
    <row r="949" spans="1:26" ht="14.25" customHeight="1" x14ac:dyDescent="0.3">
      <c r="A949" s="79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</row>
    <row r="950" spans="1:26" ht="14.25" customHeight="1" x14ac:dyDescent="0.3">
      <c r="A950" s="79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</row>
    <row r="951" spans="1:26" ht="14.25" customHeight="1" x14ac:dyDescent="0.3">
      <c r="A951" s="79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</row>
    <row r="952" spans="1:26" ht="14.25" customHeight="1" x14ac:dyDescent="0.3">
      <c r="A952" s="79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</row>
    <row r="953" spans="1:26" ht="14.25" customHeight="1" x14ac:dyDescent="0.3">
      <c r="A953" s="79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</row>
    <row r="954" spans="1:26" ht="14.25" customHeight="1" x14ac:dyDescent="0.3">
      <c r="A954" s="79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</row>
    <row r="955" spans="1:26" ht="14.25" customHeight="1" x14ac:dyDescent="0.3">
      <c r="A955" s="79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</row>
    <row r="956" spans="1:26" ht="14.25" customHeight="1" x14ac:dyDescent="0.3">
      <c r="A956" s="79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</row>
    <row r="957" spans="1:26" ht="14.25" customHeight="1" x14ac:dyDescent="0.3">
      <c r="A957" s="79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</row>
    <row r="958" spans="1:26" ht="14.25" customHeight="1" x14ac:dyDescent="0.3">
      <c r="A958" s="79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</row>
    <row r="959" spans="1:26" ht="14.25" customHeight="1" x14ac:dyDescent="0.3">
      <c r="A959" s="79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</row>
    <row r="960" spans="1:26" ht="14.25" customHeight="1" x14ac:dyDescent="0.3">
      <c r="A960" s="79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</row>
    <row r="961" spans="1:26" ht="14.25" customHeight="1" x14ac:dyDescent="0.3">
      <c r="A961" s="79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</row>
    <row r="962" spans="1:26" ht="14.25" customHeight="1" x14ac:dyDescent="0.3">
      <c r="A962" s="79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</row>
    <row r="963" spans="1:26" ht="14.25" customHeight="1" x14ac:dyDescent="0.3">
      <c r="A963" s="79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</row>
    <row r="964" spans="1:26" ht="14.25" customHeight="1" x14ac:dyDescent="0.3">
      <c r="A964" s="79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</row>
    <row r="965" spans="1:26" ht="14.25" customHeight="1" x14ac:dyDescent="0.3">
      <c r="A965" s="79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</row>
    <row r="966" spans="1:26" ht="14.25" customHeight="1" x14ac:dyDescent="0.3">
      <c r="A966" s="79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</row>
    <row r="967" spans="1:26" ht="14.25" customHeight="1" x14ac:dyDescent="0.3">
      <c r="A967" s="79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</row>
    <row r="968" spans="1:26" ht="14.25" customHeight="1" x14ac:dyDescent="0.3">
      <c r="A968" s="79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</row>
    <row r="969" spans="1:26" ht="14.25" customHeight="1" x14ac:dyDescent="0.3">
      <c r="A969" s="79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</row>
    <row r="970" spans="1:26" ht="14.25" customHeight="1" x14ac:dyDescent="0.3">
      <c r="A970" s="79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</row>
    <row r="971" spans="1:26" ht="14.25" customHeight="1" x14ac:dyDescent="0.3">
      <c r="A971" s="79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</row>
    <row r="972" spans="1:26" ht="14.25" customHeight="1" x14ac:dyDescent="0.3">
      <c r="A972" s="79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</row>
    <row r="973" spans="1:26" ht="14.25" customHeight="1" x14ac:dyDescent="0.3">
      <c r="A973" s="79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</row>
    <row r="974" spans="1:26" ht="14.25" customHeight="1" x14ac:dyDescent="0.3">
      <c r="A974" s="79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</row>
    <row r="975" spans="1:26" ht="14.25" customHeight="1" x14ac:dyDescent="0.3">
      <c r="A975" s="79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</row>
    <row r="976" spans="1:26" ht="14.25" customHeight="1" x14ac:dyDescent="0.3">
      <c r="A976" s="79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</row>
    <row r="977" spans="1:26" ht="14.25" customHeight="1" x14ac:dyDescent="0.3">
      <c r="A977" s="79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</row>
    <row r="978" spans="1:26" ht="14.25" customHeight="1" x14ac:dyDescent="0.3">
      <c r="A978" s="79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</row>
    <row r="979" spans="1:26" ht="14.25" customHeight="1" x14ac:dyDescent="0.3">
      <c r="A979" s="79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</row>
    <row r="980" spans="1:26" ht="14.25" customHeight="1" x14ac:dyDescent="0.3">
      <c r="A980" s="79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</row>
    <row r="981" spans="1:26" ht="14.25" customHeight="1" x14ac:dyDescent="0.3">
      <c r="A981" s="79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</row>
    <row r="982" spans="1:26" ht="14.25" customHeight="1" x14ac:dyDescent="0.3">
      <c r="A982" s="79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</row>
    <row r="983" spans="1:26" ht="14.25" customHeight="1" x14ac:dyDescent="0.3">
      <c r="A983" s="79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</row>
    <row r="984" spans="1:26" ht="14.25" customHeight="1" x14ac:dyDescent="0.3">
      <c r="A984" s="79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</row>
    <row r="985" spans="1:26" ht="14.25" customHeight="1" x14ac:dyDescent="0.3">
      <c r="A985" s="79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</row>
    <row r="986" spans="1:26" ht="14.25" customHeight="1" x14ac:dyDescent="0.3">
      <c r="A986" s="79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</row>
    <row r="987" spans="1:26" ht="14.25" customHeight="1" x14ac:dyDescent="0.3">
      <c r="A987" s="79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</row>
    <row r="988" spans="1:26" ht="14.25" customHeight="1" x14ac:dyDescent="0.3">
      <c r="A988" s="79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</row>
    <row r="989" spans="1:26" ht="14.25" customHeight="1" x14ac:dyDescent="0.3">
      <c r="A989" s="79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</row>
    <row r="990" spans="1:26" ht="14.25" customHeight="1" x14ac:dyDescent="0.3">
      <c r="A990" s="79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</row>
    <row r="991" spans="1:26" ht="14.25" customHeight="1" x14ac:dyDescent="0.3">
      <c r="A991" s="79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</row>
    <row r="992" spans="1:26" ht="14.25" customHeight="1" x14ac:dyDescent="0.3">
      <c r="A992" s="79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</row>
    <row r="993" spans="1:26" ht="14.25" customHeight="1" x14ac:dyDescent="0.3">
      <c r="A993" s="79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</row>
    <row r="994" spans="1:26" ht="14.25" customHeight="1" x14ac:dyDescent="0.3">
      <c r="A994" s="79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</row>
    <row r="995" spans="1:26" ht="14.25" customHeight="1" x14ac:dyDescent="0.3">
      <c r="A995" s="79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</row>
    <row r="996" spans="1:26" ht="14.25" customHeight="1" x14ac:dyDescent="0.3">
      <c r="A996" s="79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</row>
    <row r="997" spans="1:26" ht="14.25" customHeight="1" x14ac:dyDescent="0.3">
      <c r="A997" s="79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</row>
    <row r="998" spans="1:26" ht="14.25" customHeight="1" x14ac:dyDescent="0.3">
      <c r="A998" s="79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</row>
    <row r="999" spans="1:26" ht="14.25" customHeight="1" x14ac:dyDescent="0.3">
      <c r="A999" s="79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</row>
    <row r="1000" spans="1:26" ht="14.25" customHeight="1" x14ac:dyDescent="0.3">
      <c r="A1000" s="79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</row>
    <row r="1001" spans="1:26" ht="14.25" customHeight="1" x14ac:dyDescent="0.3">
      <c r="A1001" s="79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</row>
  </sheetData>
  <mergeCells count="6">
    <mergeCell ref="D79:G79"/>
    <mergeCell ref="D80:G80"/>
    <mergeCell ref="E1:F1"/>
    <mergeCell ref="E2:F2"/>
    <mergeCell ref="B4:G4"/>
    <mergeCell ref="A5:G5"/>
  </mergeCells>
  <conditionalFormatting sqref="D7:F76 D81:F81">
    <cfRule type="cellIs" dxfId="22" priority="24" operator="greaterThan">
      <formula>3</formula>
    </cfRule>
  </conditionalFormatting>
  <conditionalFormatting sqref="D7:F76 D81:F81">
    <cfRule type="cellIs" dxfId="21" priority="25" operator="greaterThan">
      <formula>3</formula>
    </cfRule>
  </conditionalFormatting>
  <conditionalFormatting sqref="C7:C76 C81">
    <cfRule type="cellIs" dxfId="20" priority="26" operator="greaterThan">
      <formula>3</formula>
    </cfRule>
  </conditionalFormatting>
  <conditionalFormatting sqref="C7:C76 C81">
    <cfRule type="cellIs" dxfId="19" priority="27" operator="greaterThan">
      <formula>3</formula>
    </cfRule>
  </conditionalFormatting>
  <conditionalFormatting sqref="G7:G76 G81">
    <cfRule type="cellIs" dxfId="18" priority="28" operator="equal">
      <formula>"failed"</formula>
    </cfRule>
  </conditionalFormatting>
  <conditionalFormatting sqref="G7:G76 G81">
    <cfRule type="cellIs" dxfId="17" priority="29" operator="equal">
      <formula>"passed"</formula>
    </cfRule>
  </conditionalFormatting>
  <conditionalFormatting sqref="G7:G76 G81">
    <cfRule type="cellIs" dxfId="16" priority="30" operator="greaterThan">
      <formula>3</formula>
    </cfRule>
  </conditionalFormatting>
  <conditionalFormatting sqref="D67:F74">
    <cfRule type="cellIs" dxfId="15" priority="17" operator="greaterThan">
      <formula>3</formula>
    </cfRule>
  </conditionalFormatting>
  <conditionalFormatting sqref="D67:F74">
    <cfRule type="cellIs" dxfId="14" priority="18" operator="greaterThan">
      <formula>3</formula>
    </cfRule>
  </conditionalFormatting>
  <conditionalFormatting sqref="C67:C75">
    <cfRule type="cellIs" dxfId="13" priority="19" operator="greaterThan">
      <formula>3</formula>
    </cfRule>
  </conditionalFormatting>
  <conditionalFormatting sqref="C67:C75">
    <cfRule type="cellIs" dxfId="12" priority="20" operator="greaterThan">
      <formula>3</formula>
    </cfRule>
  </conditionalFormatting>
  <conditionalFormatting sqref="G67:G75">
    <cfRule type="cellIs" dxfId="11" priority="21" operator="equal">
      <formula>"failed"</formula>
    </cfRule>
  </conditionalFormatting>
  <conditionalFormatting sqref="G67:G75">
    <cfRule type="cellIs" dxfId="10" priority="22" operator="equal">
      <formula>"passed"</formula>
    </cfRule>
  </conditionalFormatting>
  <conditionalFormatting sqref="G67:G75">
    <cfRule type="cellIs" dxfId="9" priority="23" operator="greaterThan">
      <formula>3</formula>
    </cfRule>
  </conditionalFormatting>
  <conditionalFormatting sqref="D75:F75">
    <cfRule type="cellIs" dxfId="8" priority="15" operator="greaterThan">
      <formula>3</formula>
    </cfRule>
  </conditionalFormatting>
  <conditionalFormatting sqref="D75:F75">
    <cfRule type="cellIs" dxfId="7" priority="16" operator="greaterThan">
      <formula>3</formula>
    </cfRule>
  </conditionalFormatting>
  <conditionalFormatting sqref="D81:F81">
    <cfRule type="cellIs" dxfId="6" priority="1" operator="greaterThan">
      <formula>3</formula>
    </cfRule>
  </conditionalFormatting>
  <conditionalFormatting sqref="D81:F81">
    <cfRule type="cellIs" dxfId="5" priority="2" operator="greaterThan">
      <formula>3</formula>
    </cfRule>
  </conditionalFormatting>
  <conditionalFormatting sqref="C81">
    <cfRule type="cellIs" dxfId="4" priority="3" operator="greaterThan">
      <formula>3</formula>
    </cfRule>
  </conditionalFormatting>
  <conditionalFormatting sqref="C81">
    <cfRule type="cellIs" dxfId="3" priority="4" operator="greaterThan">
      <formula>3</formula>
    </cfRule>
  </conditionalFormatting>
  <conditionalFormatting sqref="G81">
    <cfRule type="cellIs" dxfId="2" priority="5" operator="equal">
      <formula>"failed"</formula>
    </cfRule>
  </conditionalFormatting>
  <conditionalFormatting sqref="G81">
    <cfRule type="cellIs" dxfId="1" priority="6" operator="equal">
      <formula>"passed"</formula>
    </cfRule>
  </conditionalFormatting>
  <conditionalFormatting sqref="G81">
    <cfRule type="cellIs" dxfId="0" priority="7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1000"/>
  <sheetViews>
    <sheetView workbookViewId="0">
      <selection activeCell="N261" sqref="N261"/>
    </sheetView>
  </sheetViews>
  <sheetFormatPr defaultColWidth="14.44140625" defaultRowHeight="15" customHeight="1" x14ac:dyDescent="0.3"/>
  <cols>
    <col min="1" max="1" width="8" customWidth="1"/>
    <col min="2" max="2" width="22.88671875" customWidth="1"/>
    <col min="3" max="3" width="10.6640625" customWidth="1"/>
    <col min="4" max="4" width="10.44140625" customWidth="1"/>
    <col min="5" max="5" width="8" customWidth="1"/>
    <col min="6" max="6" width="10.77734375" customWidth="1"/>
    <col min="7" max="26" width="8" customWidth="1"/>
  </cols>
  <sheetData>
    <row r="1" spans="1:15" ht="14.25" customHeight="1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</row>
    <row r="2" spans="1:15" ht="14.25" customHeight="1" x14ac:dyDescent="0.3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</row>
    <row r="3" spans="1:15" ht="14.25" customHeight="1" x14ac:dyDescent="0.3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</row>
    <row r="4" spans="1:15" ht="14.25" customHeight="1" x14ac:dyDescent="0.3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</row>
    <row r="5" spans="1:15" ht="14.25" customHeight="1" x14ac:dyDescent="0.3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</row>
    <row r="6" spans="1:15" ht="14.25" customHeight="1" x14ac:dyDescent="0.3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</row>
    <row r="7" spans="1:15" ht="14.25" customHeight="1" x14ac:dyDescent="0.3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</row>
    <row r="8" spans="1:15" ht="14.25" customHeight="1" x14ac:dyDescent="0.3">
      <c r="G8" s="67" t="s">
        <v>55</v>
      </c>
    </row>
    <row r="9" spans="1:15" ht="14.25" customHeight="1" x14ac:dyDescent="0.3">
      <c r="E9" s="91" t="s">
        <v>56</v>
      </c>
      <c r="G9" s="324"/>
      <c r="H9" s="260"/>
      <c r="I9" s="93" t="s">
        <v>57</v>
      </c>
      <c r="J9" s="324" t="str">
        <f>IF(Settings!$B$1&lt;&gt;0,Settings!$B$1,"")</f>
        <v/>
      </c>
      <c r="K9" s="260"/>
    </row>
    <row r="10" spans="1:15" ht="14.25" customHeight="1" x14ac:dyDescent="0.3"/>
    <row r="11" spans="1:15" ht="14.25" customHeight="1" x14ac:dyDescent="0.3">
      <c r="B11" s="94" t="s">
        <v>8</v>
      </c>
      <c r="C11" s="95"/>
      <c r="D11" s="96" t="str">
        <f>IF(Settings!$B$5&lt;&gt;0,Settings!$B$5,"")</f>
        <v/>
      </c>
      <c r="E11" s="95"/>
      <c r="F11" s="91" t="s">
        <v>58</v>
      </c>
      <c r="H11" s="324" t="str">
        <f>IF(Settings!$B$7&lt;&gt;0,Settings!$B$7,"")</f>
        <v/>
      </c>
      <c r="I11" s="260"/>
      <c r="J11" s="260"/>
      <c r="K11" s="260"/>
      <c r="L11" s="260"/>
    </row>
    <row r="12" spans="1:15" ht="14.25" customHeight="1" x14ac:dyDescent="0.3"/>
    <row r="13" spans="1:15" ht="14.25" customHeight="1" x14ac:dyDescent="0.3">
      <c r="B13" s="91" t="s">
        <v>59</v>
      </c>
      <c r="C13" s="95"/>
      <c r="D13" s="92" t="str">
        <f>IF(Settings!$B$4&lt;&gt;0,Settings!$B$4,"")</f>
        <v/>
      </c>
      <c r="E13" s="95"/>
      <c r="F13" s="91" t="s">
        <v>4</v>
      </c>
      <c r="G13" s="324" t="str">
        <f>IF(Settings!$H$2&lt;&gt;0,Settings!$H$2,"")</f>
        <v/>
      </c>
      <c r="H13" s="260"/>
      <c r="I13" s="260"/>
      <c r="J13" s="91" t="s">
        <v>5</v>
      </c>
      <c r="K13" s="324" t="str">
        <f>IF(Settings!$H$3&lt;&gt;0,Settings!$H$3,"")</f>
        <v/>
      </c>
      <c r="L13" s="260"/>
    </row>
    <row r="14" spans="1:15" ht="14.25" customHeight="1" x14ac:dyDescent="0.3"/>
    <row r="15" spans="1:15" ht="14.25" customHeight="1" x14ac:dyDescent="0.3">
      <c r="B15" s="91" t="s">
        <v>60</v>
      </c>
      <c r="D15" s="96">
        <f>SUM(H15,L15)</f>
        <v>0</v>
      </c>
      <c r="G15" s="93" t="s">
        <v>61</v>
      </c>
      <c r="H15" s="92">
        <f>COUNTIF(Attendance!B7:B60,"M")</f>
        <v>0</v>
      </c>
      <c r="K15" s="93" t="s">
        <v>62</v>
      </c>
      <c r="L15" s="92">
        <f>COUNTIF(Attendance!B7:B60,"F")</f>
        <v>0</v>
      </c>
    </row>
    <row r="16" spans="1:15" ht="14.25" customHeight="1" x14ac:dyDescent="0.3"/>
    <row r="17" spans="2:15" ht="14.25" customHeight="1" x14ac:dyDescent="0.3">
      <c r="B17" s="91" t="s">
        <v>63</v>
      </c>
      <c r="D17" s="97" t="e">
        <f>(E53+G53)/C53</f>
        <v>#DIV/0!</v>
      </c>
      <c r="G17" s="91" t="s">
        <v>64</v>
      </c>
      <c r="K17" s="97" t="e">
        <f>(F53+H53)/D53</f>
        <v>#DIV/0!</v>
      </c>
    </row>
    <row r="18" spans="2:15" ht="14.25" customHeight="1" x14ac:dyDescent="0.3">
      <c r="B18" s="92"/>
    </row>
    <row r="19" spans="2:15" ht="15" customHeight="1" x14ac:dyDescent="0.3">
      <c r="B19" s="325" t="s">
        <v>65</v>
      </c>
      <c r="C19" s="317" t="s">
        <v>66</v>
      </c>
      <c r="D19" s="318"/>
      <c r="E19" s="322" t="s">
        <v>67</v>
      </c>
      <c r="F19" s="236"/>
      <c r="G19" s="236"/>
      <c r="H19" s="230"/>
      <c r="I19" s="328" t="s">
        <v>68</v>
      </c>
      <c r="J19" s="263"/>
      <c r="K19" s="263"/>
      <c r="L19" s="318"/>
    </row>
    <row r="20" spans="2:15" ht="14.25" customHeight="1" x14ac:dyDescent="0.3">
      <c r="B20" s="326"/>
      <c r="C20" s="319"/>
      <c r="D20" s="239"/>
      <c r="E20" s="322" t="s">
        <v>69</v>
      </c>
      <c r="F20" s="230"/>
      <c r="G20" s="322" t="s">
        <v>70</v>
      </c>
      <c r="H20" s="230"/>
      <c r="I20" s="319"/>
      <c r="J20" s="241"/>
      <c r="K20" s="241"/>
      <c r="L20" s="239"/>
    </row>
    <row r="21" spans="2:15" ht="14.25" customHeight="1" x14ac:dyDescent="0.3">
      <c r="B21" s="327"/>
      <c r="C21" s="320"/>
      <c r="D21" s="321"/>
      <c r="E21" s="98"/>
      <c r="F21" s="98"/>
      <c r="G21" s="98"/>
      <c r="H21" s="98"/>
      <c r="I21" s="320"/>
      <c r="J21" s="260"/>
      <c r="K21" s="260"/>
      <c r="L21" s="321"/>
    </row>
    <row r="22" spans="2:15" ht="12" customHeight="1" x14ac:dyDescent="0.3">
      <c r="B22" s="99"/>
      <c r="C22" s="100" t="s">
        <v>71</v>
      </c>
      <c r="D22" s="100" t="s">
        <v>72</v>
      </c>
      <c r="E22" s="100" t="s">
        <v>71</v>
      </c>
      <c r="F22" s="100" t="s">
        <v>72</v>
      </c>
      <c r="G22" s="100" t="s">
        <v>71</v>
      </c>
      <c r="H22" s="100" t="s">
        <v>72</v>
      </c>
      <c r="I22" s="323"/>
      <c r="J22" s="236"/>
      <c r="K22" s="236"/>
      <c r="L22" s="230"/>
      <c r="O22" s="91"/>
    </row>
    <row r="23" spans="2:15" ht="12" customHeight="1" x14ac:dyDescent="0.3">
      <c r="B23" s="101"/>
      <c r="C23" s="100"/>
      <c r="D23" s="102"/>
      <c r="E23" s="103"/>
      <c r="F23" s="79"/>
      <c r="G23" s="103"/>
      <c r="H23" s="79"/>
      <c r="I23" s="323"/>
      <c r="J23" s="236"/>
      <c r="K23" s="236"/>
      <c r="L23" s="230"/>
    </row>
    <row r="24" spans="2:15" ht="12" customHeight="1" x14ac:dyDescent="0.3">
      <c r="B24" s="101"/>
      <c r="C24" s="100" t="s">
        <v>85</v>
      </c>
      <c r="D24" s="102" t="s">
        <v>85</v>
      </c>
      <c r="E24" s="100"/>
      <c r="F24" s="100"/>
      <c r="G24" s="102"/>
      <c r="H24" s="102"/>
      <c r="I24" s="323"/>
      <c r="J24" s="236"/>
      <c r="K24" s="236"/>
      <c r="L24" s="230"/>
    </row>
    <row r="25" spans="2:15" ht="12" customHeight="1" x14ac:dyDescent="0.3">
      <c r="B25" s="101"/>
      <c r="C25" s="100" t="s">
        <v>85</v>
      </c>
      <c r="D25" s="102" t="s">
        <v>85</v>
      </c>
      <c r="E25" s="100"/>
      <c r="F25" s="100"/>
      <c r="G25" s="104"/>
      <c r="H25" s="104"/>
      <c r="I25" s="323"/>
      <c r="J25" s="236"/>
      <c r="K25" s="236"/>
      <c r="L25" s="230"/>
    </row>
    <row r="26" spans="2:15" ht="12" customHeight="1" x14ac:dyDescent="0.3">
      <c r="B26" s="101"/>
      <c r="C26" s="100" t="s">
        <v>85</v>
      </c>
      <c r="D26" s="102" t="s">
        <v>85</v>
      </c>
      <c r="E26" s="100"/>
      <c r="F26" s="100"/>
      <c r="G26" s="102"/>
      <c r="H26" s="102"/>
      <c r="I26" s="323"/>
      <c r="J26" s="236"/>
      <c r="K26" s="236"/>
      <c r="L26" s="230"/>
    </row>
    <row r="27" spans="2:15" ht="12" customHeight="1" x14ac:dyDescent="0.3">
      <c r="B27" s="101"/>
      <c r="C27" s="100" t="s">
        <v>85</v>
      </c>
      <c r="D27" s="102" t="s">
        <v>85</v>
      </c>
      <c r="E27" s="100"/>
      <c r="F27" s="100"/>
      <c r="G27" s="102"/>
      <c r="H27" s="102"/>
      <c r="I27" s="323"/>
      <c r="J27" s="236"/>
      <c r="K27" s="236"/>
      <c r="L27" s="230"/>
    </row>
    <row r="28" spans="2:15" ht="12" customHeight="1" x14ac:dyDescent="0.3">
      <c r="B28" s="101"/>
      <c r="C28" s="100" t="s">
        <v>85</v>
      </c>
      <c r="D28" s="100" t="s">
        <v>85</v>
      </c>
      <c r="E28" s="100"/>
      <c r="F28" s="100"/>
      <c r="G28" s="102"/>
      <c r="H28" s="102"/>
      <c r="I28" s="323"/>
      <c r="J28" s="236"/>
      <c r="K28" s="236"/>
      <c r="L28" s="230"/>
    </row>
    <row r="29" spans="2:15" ht="12" customHeight="1" x14ac:dyDescent="0.3">
      <c r="B29" s="101"/>
      <c r="C29" s="100" t="s">
        <v>85</v>
      </c>
      <c r="D29" s="100" t="s">
        <v>85</v>
      </c>
      <c r="E29" s="100"/>
      <c r="F29" s="100"/>
      <c r="G29" s="102"/>
      <c r="H29" s="102"/>
      <c r="I29" s="323"/>
      <c r="J29" s="236"/>
      <c r="K29" s="236"/>
      <c r="L29" s="230"/>
    </row>
    <row r="30" spans="2:15" ht="12" customHeight="1" x14ac:dyDescent="0.3">
      <c r="B30" s="105"/>
      <c r="C30" s="100" t="s">
        <v>85</v>
      </c>
      <c r="D30" s="100" t="s">
        <v>85</v>
      </c>
      <c r="E30" s="106"/>
      <c r="F30" s="106"/>
      <c r="G30" s="102"/>
      <c r="H30" s="102"/>
      <c r="I30" s="323"/>
      <c r="J30" s="236"/>
      <c r="K30" s="236"/>
      <c r="L30" s="230"/>
    </row>
    <row r="31" spans="2:15" ht="12" customHeight="1" x14ac:dyDescent="0.3">
      <c r="B31" s="107"/>
      <c r="C31" s="100" t="s">
        <v>85</v>
      </c>
      <c r="D31" s="106" t="s">
        <v>85</v>
      </c>
      <c r="E31" s="106"/>
      <c r="F31" s="106"/>
      <c r="G31" s="106"/>
      <c r="H31" s="106"/>
      <c r="I31" s="323"/>
      <c r="J31" s="236"/>
      <c r="K31" s="236"/>
      <c r="L31" s="230"/>
    </row>
    <row r="32" spans="2:15" ht="12" customHeight="1" x14ac:dyDescent="0.3">
      <c r="B32" s="107"/>
      <c r="C32" s="106" t="s">
        <v>85</v>
      </c>
      <c r="D32" s="106" t="s">
        <v>85</v>
      </c>
      <c r="E32" s="106"/>
      <c r="F32" s="106"/>
      <c r="G32" s="106"/>
      <c r="H32" s="106"/>
      <c r="I32" s="323"/>
      <c r="J32" s="236"/>
      <c r="K32" s="236"/>
      <c r="L32" s="230"/>
    </row>
    <row r="33" spans="2:12" ht="12" customHeight="1" x14ac:dyDescent="0.3">
      <c r="B33" s="107"/>
      <c r="C33" s="106" t="s">
        <v>85</v>
      </c>
      <c r="D33" s="106" t="s">
        <v>85</v>
      </c>
      <c r="E33" s="106"/>
      <c r="F33" s="106"/>
      <c r="G33" s="106"/>
      <c r="H33" s="106"/>
      <c r="I33" s="323"/>
      <c r="J33" s="236"/>
      <c r="K33" s="236"/>
      <c r="L33" s="230"/>
    </row>
    <row r="34" spans="2:12" ht="12" customHeight="1" x14ac:dyDescent="0.3">
      <c r="B34" s="107"/>
      <c r="C34" s="106" t="s">
        <v>85</v>
      </c>
      <c r="D34" s="106" t="s">
        <v>85</v>
      </c>
      <c r="E34" s="106"/>
      <c r="F34" s="106"/>
      <c r="G34" s="106"/>
      <c r="H34" s="106"/>
      <c r="I34" s="323"/>
      <c r="J34" s="236"/>
      <c r="K34" s="236"/>
      <c r="L34" s="230"/>
    </row>
    <row r="35" spans="2:12" ht="12" customHeight="1" x14ac:dyDescent="0.3">
      <c r="B35" s="107"/>
      <c r="C35" s="106" t="s">
        <v>85</v>
      </c>
      <c r="D35" s="106" t="s">
        <v>85</v>
      </c>
      <c r="E35" s="106"/>
      <c r="F35" s="106"/>
      <c r="G35" s="106"/>
      <c r="H35" s="106"/>
      <c r="I35" s="323"/>
      <c r="J35" s="236"/>
      <c r="K35" s="236"/>
      <c r="L35" s="230"/>
    </row>
    <row r="36" spans="2:12" ht="12" customHeight="1" x14ac:dyDescent="0.3">
      <c r="B36" s="107"/>
      <c r="C36" s="106" t="s">
        <v>85</v>
      </c>
      <c r="D36" s="106" t="s">
        <v>85</v>
      </c>
      <c r="E36" s="106"/>
      <c r="F36" s="106"/>
      <c r="G36" s="106"/>
      <c r="H36" s="106"/>
      <c r="I36" s="323"/>
      <c r="J36" s="236"/>
      <c r="K36" s="236"/>
      <c r="L36" s="230"/>
    </row>
    <row r="37" spans="2:12" ht="12" customHeight="1" x14ac:dyDescent="0.3">
      <c r="B37" s="107"/>
      <c r="C37" s="106" t="s">
        <v>85</v>
      </c>
      <c r="D37" s="106" t="s">
        <v>85</v>
      </c>
      <c r="E37" s="106"/>
      <c r="F37" s="106"/>
      <c r="G37" s="106"/>
      <c r="H37" s="106"/>
      <c r="I37" s="323"/>
      <c r="J37" s="236"/>
      <c r="K37" s="236"/>
      <c r="L37" s="230"/>
    </row>
    <row r="38" spans="2:12" ht="12" customHeight="1" x14ac:dyDescent="0.3">
      <c r="B38" s="107"/>
      <c r="C38" s="106" t="s">
        <v>85</v>
      </c>
      <c r="D38" s="106" t="s">
        <v>85</v>
      </c>
      <c r="E38" s="106"/>
      <c r="F38" s="106"/>
      <c r="G38" s="106"/>
      <c r="H38" s="106"/>
      <c r="I38" s="323"/>
      <c r="J38" s="236"/>
      <c r="K38" s="236"/>
      <c r="L38" s="230"/>
    </row>
    <row r="39" spans="2:12" ht="12" customHeight="1" x14ac:dyDescent="0.3">
      <c r="B39" s="107"/>
      <c r="C39" s="106" t="s">
        <v>85</v>
      </c>
      <c r="D39" s="106" t="s">
        <v>85</v>
      </c>
      <c r="E39" s="106"/>
      <c r="F39" s="106"/>
      <c r="G39" s="106"/>
      <c r="H39" s="106"/>
      <c r="I39" s="323"/>
      <c r="J39" s="236"/>
      <c r="K39" s="236"/>
      <c r="L39" s="230"/>
    </row>
    <row r="40" spans="2:12" ht="12" customHeight="1" x14ac:dyDescent="0.3">
      <c r="B40" s="107"/>
      <c r="C40" s="106" t="s">
        <v>85</v>
      </c>
      <c r="D40" s="106" t="s">
        <v>85</v>
      </c>
      <c r="E40" s="106"/>
      <c r="F40" s="106"/>
      <c r="G40" s="106"/>
      <c r="H40" s="106"/>
      <c r="I40" s="323"/>
      <c r="J40" s="236"/>
      <c r="K40" s="236"/>
      <c r="L40" s="230"/>
    </row>
    <row r="41" spans="2:12" ht="12" customHeight="1" x14ac:dyDescent="0.3">
      <c r="B41" s="107"/>
      <c r="C41" s="106" t="s">
        <v>85</v>
      </c>
      <c r="D41" s="106" t="s">
        <v>85</v>
      </c>
      <c r="E41" s="106"/>
      <c r="F41" s="106"/>
      <c r="G41" s="106"/>
      <c r="H41" s="106"/>
      <c r="I41" s="323"/>
      <c r="J41" s="236"/>
      <c r="K41" s="236"/>
      <c r="L41" s="230"/>
    </row>
    <row r="42" spans="2:12" ht="12" customHeight="1" x14ac:dyDescent="0.3">
      <c r="B42" s="107"/>
      <c r="C42" s="106" t="s">
        <v>85</v>
      </c>
      <c r="D42" s="106" t="s">
        <v>85</v>
      </c>
      <c r="E42" s="106"/>
      <c r="F42" s="106"/>
      <c r="G42" s="106"/>
      <c r="H42" s="106"/>
      <c r="I42" s="323"/>
      <c r="J42" s="236"/>
      <c r="K42" s="236"/>
      <c r="L42" s="230"/>
    </row>
    <row r="43" spans="2:12" ht="12" customHeight="1" x14ac:dyDescent="0.3">
      <c r="B43" s="107"/>
      <c r="C43" s="106" t="s">
        <v>85</v>
      </c>
      <c r="D43" s="106" t="s">
        <v>85</v>
      </c>
      <c r="E43" s="106"/>
      <c r="F43" s="106"/>
      <c r="G43" s="106"/>
      <c r="H43" s="106"/>
      <c r="I43" s="323"/>
      <c r="J43" s="236"/>
      <c r="K43" s="236"/>
      <c r="L43" s="230"/>
    </row>
    <row r="44" spans="2:12" ht="12" customHeight="1" x14ac:dyDescent="0.3">
      <c r="B44" s="107"/>
      <c r="C44" s="106" t="s">
        <v>85</v>
      </c>
      <c r="D44" s="106" t="s">
        <v>85</v>
      </c>
      <c r="E44" s="106"/>
      <c r="F44" s="106"/>
      <c r="G44" s="106"/>
      <c r="H44" s="106"/>
      <c r="I44" s="323"/>
      <c r="J44" s="236"/>
      <c r="K44" s="236"/>
      <c r="L44" s="230"/>
    </row>
    <row r="45" spans="2:12" ht="12" customHeight="1" x14ac:dyDescent="0.3">
      <c r="B45" s="107"/>
      <c r="C45" s="106" t="s">
        <v>85</v>
      </c>
      <c r="D45" s="106" t="s">
        <v>85</v>
      </c>
      <c r="E45" s="106"/>
      <c r="F45" s="106"/>
      <c r="G45" s="106"/>
      <c r="H45" s="106"/>
      <c r="I45" s="323"/>
      <c r="J45" s="236"/>
      <c r="K45" s="236"/>
      <c r="L45" s="230"/>
    </row>
    <row r="46" spans="2:12" ht="12" customHeight="1" x14ac:dyDescent="0.3">
      <c r="B46" s="107"/>
      <c r="C46" s="106" t="s">
        <v>85</v>
      </c>
      <c r="D46" s="106" t="s">
        <v>85</v>
      </c>
      <c r="E46" s="106"/>
      <c r="F46" s="106"/>
      <c r="G46" s="106"/>
      <c r="H46" s="106"/>
      <c r="I46" s="323"/>
      <c r="J46" s="236"/>
      <c r="K46" s="236"/>
      <c r="L46" s="230"/>
    </row>
    <row r="47" spans="2:12" ht="12" customHeight="1" x14ac:dyDescent="0.3">
      <c r="B47" s="107"/>
      <c r="C47" s="106" t="s">
        <v>85</v>
      </c>
      <c r="D47" s="106" t="s">
        <v>85</v>
      </c>
      <c r="E47" s="106"/>
      <c r="F47" s="106"/>
      <c r="G47" s="106"/>
      <c r="H47" s="106"/>
      <c r="I47" s="323"/>
      <c r="J47" s="236"/>
      <c r="K47" s="236"/>
      <c r="L47" s="230"/>
    </row>
    <row r="48" spans="2:12" ht="12" customHeight="1" x14ac:dyDescent="0.3">
      <c r="B48" s="107"/>
      <c r="C48" s="106" t="s">
        <v>85</v>
      </c>
      <c r="D48" s="106" t="s">
        <v>85</v>
      </c>
      <c r="E48" s="106"/>
      <c r="F48" s="106"/>
      <c r="G48" s="106"/>
      <c r="H48" s="106"/>
      <c r="I48" s="323"/>
      <c r="J48" s="236"/>
      <c r="K48" s="236"/>
      <c r="L48" s="230"/>
    </row>
    <row r="49" spans="1:13" ht="12" customHeight="1" x14ac:dyDescent="0.3">
      <c r="B49" s="107"/>
      <c r="C49" s="106" t="s">
        <v>85</v>
      </c>
      <c r="D49" s="106" t="s">
        <v>85</v>
      </c>
      <c r="E49" s="106"/>
      <c r="F49" s="106"/>
      <c r="G49" s="106"/>
      <c r="H49" s="106"/>
      <c r="I49" s="323"/>
      <c r="J49" s="236"/>
      <c r="K49" s="236"/>
      <c r="L49" s="230"/>
    </row>
    <row r="50" spans="1:13" ht="12" customHeight="1" x14ac:dyDescent="0.3">
      <c r="B50" s="107"/>
      <c r="C50" s="106" t="s">
        <v>85</v>
      </c>
      <c r="D50" s="106" t="s">
        <v>85</v>
      </c>
      <c r="E50" s="106"/>
      <c r="F50" s="106"/>
      <c r="G50" s="106"/>
      <c r="H50" s="106"/>
      <c r="I50" s="323"/>
      <c r="J50" s="236"/>
      <c r="K50" s="236"/>
      <c r="L50" s="230"/>
    </row>
    <row r="51" spans="1:13" ht="12" customHeight="1" x14ac:dyDescent="0.3">
      <c r="B51" s="107"/>
      <c r="C51" s="106" t="s">
        <v>85</v>
      </c>
      <c r="D51" s="106" t="s">
        <v>85</v>
      </c>
      <c r="E51" s="106"/>
      <c r="F51" s="106"/>
      <c r="G51" s="106"/>
      <c r="H51" s="106"/>
      <c r="I51" s="323"/>
      <c r="J51" s="236"/>
      <c r="K51" s="236"/>
      <c r="L51" s="230"/>
    </row>
    <row r="52" spans="1:13" ht="12" customHeight="1" x14ac:dyDescent="0.3">
      <c r="B52" s="107"/>
      <c r="C52" s="106" t="s">
        <v>85</v>
      </c>
      <c r="D52" s="106" t="s">
        <v>85</v>
      </c>
      <c r="E52" s="106"/>
      <c r="F52" s="106"/>
      <c r="G52" s="106"/>
      <c r="H52" s="106"/>
      <c r="I52" s="323"/>
      <c r="J52" s="236"/>
      <c r="K52" s="236"/>
      <c r="L52" s="230"/>
    </row>
    <row r="53" spans="1:13" ht="12" customHeight="1" x14ac:dyDescent="0.3">
      <c r="B53" s="108" t="s">
        <v>73</v>
      </c>
      <c r="C53" s="106">
        <f t="shared" ref="C53:D53" si="0">SUM(C23:C52)</f>
        <v>0</v>
      </c>
      <c r="D53" s="106">
        <f t="shared" si="0"/>
        <v>0</v>
      </c>
      <c r="E53" s="106">
        <f t="shared" ref="E53:F53" si="1">SUM(E24:E52)</f>
        <v>0</v>
      </c>
      <c r="F53" s="106">
        <f t="shared" si="1"/>
        <v>0</v>
      </c>
      <c r="G53" s="106">
        <f t="shared" ref="G53:H53" si="2">SUM(G23:G37)</f>
        <v>0</v>
      </c>
      <c r="H53" s="106">
        <f t="shared" si="2"/>
        <v>0</v>
      </c>
      <c r="I53" s="323"/>
      <c r="J53" s="236"/>
      <c r="K53" s="236"/>
      <c r="L53" s="230"/>
    </row>
    <row r="54" spans="1:13" ht="14.25" customHeight="1" x14ac:dyDescent="0.3">
      <c r="B54" s="109" t="s">
        <v>74</v>
      </c>
    </row>
    <row r="55" spans="1:13" ht="14.25" customHeight="1" x14ac:dyDescent="0.3"/>
    <row r="56" spans="1:13" ht="14.25" customHeight="1" x14ac:dyDescent="0.3">
      <c r="B56" s="314" t="str">
        <f>IF(Settings!$B$6&lt;&gt;0,Settings!$B$6,"")</f>
        <v/>
      </c>
      <c r="C56" s="314"/>
      <c r="D56" s="314"/>
    </row>
    <row r="57" spans="1:13" ht="14.25" customHeight="1" x14ac:dyDescent="0.3">
      <c r="B57" s="316" t="s">
        <v>75</v>
      </c>
      <c r="C57" s="316"/>
      <c r="D57" s="316"/>
    </row>
    <row r="58" spans="1:13" ht="14.25" customHeight="1" x14ac:dyDescent="0.3">
      <c r="G58" s="91" t="s">
        <v>76</v>
      </c>
      <c r="H58" s="314" t="str">
        <f>IF(Settings!$B$8&lt;&gt;0,Settings!$B$8,"")</f>
        <v/>
      </c>
      <c r="I58" s="314"/>
      <c r="J58" s="314"/>
      <c r="K58" s="314"/>
      <c r="L58" s="314"/>
    </row>
    <row r="59" spans="1:13" ht="14.25" customHeight="1" x14ac:dyDescent="0.3">
      <c r="H59" s="315" t="s">
        <v>77</v>
      </c>
      <c r="I59" s="315"/>
      <c r="J59" s="315"/>
      <c r="K59" s="315"/>
      <c r="L59" s="315"/>
    </row>
    <row r="60" spans="1:13" ht="14.25" customHeight="1" x14ac:dyDescent="0.3"/>
    <row r="61" spans="1:13" ht="14.25" customHeight="1" x14ac:dyDescent="0.3"/>
    <row r="62" spans="1:13" ht="14.25" customHeight="1" x14ac:dyDescent="0.3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</row>
    <row r="63" spans="1:13" ht="14.25" customHeight="1" x14ac:dyDescent="0.3"/>
    <row r="64" spans="1:13" ht="14.25" customHeight="1" x14ac:dyDescent="0.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 ht="14.25" customHeight="1" x14ac:dyDescent="0.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 ht="14.25" customHeight="1" x14ac:dyDescent="0.3">
      <c r="A66" s="64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</row>
    <row r="67" spans="1:13" ht="14.25" customHeight="1" x14ac:dyDescent="0.3">
      <c r="A67" s="6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 ht="14.25" customHeight="1" x14ac:dyDescent="0.3">
      <c r="A68" s="64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</row>
    <row r="69" spans="1:13" ht="14.25" customHeight="1" x14ac:dyDescent="0.3">
      <c r="A69" s="64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</row>
    <row r="70" spans="1:13" ht="14.25" customHeight="1" x14ac:dyDescent="0.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 ht="14.25" customHeight="1" x14ac:dyDescent="0.3">
      <c r="G71" s="67" t="s">
        <v>55</v>
      </c>
    </row>
    <row r="72" spans="1:13" ht="14.25" customHeight="1" x14ac:dyDescent="0.3">
      <c r="E72" s="91" t="s">
        <v>56</v>
      </c>
      <c r="G72" s="324"/>
      <c r="H72" s="260"/>
      <c r="I72" s="93" t="s">
        <v>57</v>
      </c>
      <c r="J72" s="324" t="str">
        <f>IF(Settings!$B$1&lt;&gt;0,Settings!$B$1,"")</f>
        <v/>
      </c>
      <c r="K72" s="260"/>
    </row>
    <row r="73" spans="1:13" ht="14.25" customHeight="1" x14ac:dyDescent="0.3"/>
    <row r="74" spans="1:13" ht="14.25" customHeight="1" x14ac:dyDescent="0.3">
      <c r="B74" s="94" t="s">
        <v>8</v>
      </c>
      <c r="C74" s="95"/>
      <c r="D74" s="96" t="str">
        <f>IF(Settings!$B$5&lt;&gt;0,Settings!$B$5,"")</f>
        <v/>
      </c>
      <c r="E74" s="95"/>
      <c r="F74" s="91" t="s">
        <v>58</v>
      </c>
      <c r="H74" s="324" t="str">
        <f>IF(Settings!$B$7&lt;&gt;0,Settings!$B$7,"")</f>
        <v/>
      </c>
      <c r="I74" s="260"/>
      <c r="J74" s="260"/>
      <c r="K74" s="260"/>
      <c r="L74" s="260"/>
    </row>
    <row r="75" spans="1:13" ht="14.25" customHeight="1" x14ac:dyDescent="0.3"/>
    <row r="76" spans="1:13" ht="14.25" customHeight="1" x14ac:dyDescent="0.3">
      <c r="B76" s="91" t="s">
        <v>59</v>
      </c>
      <c r="C76" s="95"/>
      <c r="D76" s="92" t="str">
        <f>IF(Settings!$B$4&lt;&gt;0,Settings!$B$4,"")</f>
        <v/>
      </c>
      <c r="E76" s="95"/>
      <c r="F76" s="91" t="s">
        <v>4</v>
      </c>
      <c r="G76" s="324" t="str">
        <f>IF(Settings!$H$2&lt;&gt;0,Settings!$H$2,"")</f>
        <v/>
      </c>
      <c r="H76" s="260"/>
      <c r="I76" s="260"/>
      <c r="J76" s="91" t="s">
        <v>5</v>
      </c>
      <c r="K76" s="324" t="str">
        <f>IF(Settings!$H$3&lt;&gt;0,Settings!$H$3,"")</f>
        <v/>
      </c>
      <c r="L76" s="260"/>
    </row>
    <row r="77" spans="1:13" ht="14.25" customHeight="1" x14ac:dyDescent="0.3"/>
    <row r="78" spans="1:13" ht="14.25" customHeight="1" x14ac:dyDescent="0.3">
      <c r="B78" s="91" t="s">
        <v>60</v>
      </c>
      <c r="D78" s="96">
        <f>SUM(H78,L78)</f>
        <v>0</v>
      </c>
      <c r="G78" s="93" t="s">
        <v>61</v>
      </c>
      <c r="H78" s="92">
        <f>H15</f>
        <v>0</v>
      </c>
      <c r="K78" s="93" t="s">
        <v>62</v>
      </c>
      <c r="L78" s="92">
        <f>L15</f>
        <v>0</v>
      </c>
    </row>
    <row r="79" spans="1:13" ht="14.25" customHeight="1" x14ac:dyDescent="0.3"/>
    <row r="80" spans="1:13" ht="14.25" customHeight="1" x14ac:dyDescent="0.3">
      <c r="B80" s="91" t="s">
        <v>63</v>
      </c>
      <c r="D80" s="97" t="e">
        <f>(E116+G116)/C116</f>
        <v>#DIV/0!</v>
      </c>
      <c r="G80" s="91" t="s">
        <v>64</v>
      </c>
      <c r="K80" s="97" t="e">
        <f>(F116+H116)/D116</f>
        <v>#DIV/0!</v>
      </c>
    </row>
    <row r="81" spans="2:12" ht="14.25" customHeight="1" x14ac:dyDescent="0.3">
      <c r="B81" s="92"/>
    </row>
    <row r="82" spans="2:12" ht="14.25" customHeight="1" x14ac:dyDescent="0.3">
      <c r="B82" s="325" t="s">
        <v>65</v>
      </c>
      <c r="C82" s="317" t="s">
        <v>66</v>
      </c>
      <c r="D82" s="318"/>
      <c r="E82" s="322" t="s">
        <v>67</v>
      </c>
      <c r="F82" s="236"/>
      <c r="G82" s="236"/>
      <c r="H82" s="230"/>
      <c r="I82" s="328" t="s">
        <v>68</v>
      </c>
      <c r="J82" s="263"/>
      <c r="K82" s="263"/>
      <c r="L82" s="318"/>
    </row>
    <row r="83" spans="2:12" ht="14.25" customHeight="1" x14ac:dyDescent="0.3">
      <c r="B83" s="326"/>
      <c r="C83" s="319"/>
      <c r="D83" s="239"/>
      <c r="E83" s="322" t="s">
        <v>69</v>
      </c>
      <c r="F83" s="230"/>
      <c r="G83" s="322" t="s">
        <v>70</v>
      </c>
      <c r="H83" s="230"/>
      <c r="I83" s="319"/>
      <c r="J83" s="241"/>
      <c r="K83" s="241"/>
      <c r="L83" s="239"/>
    </row>
    <row r="84" spans="2:12" ht="14.25" customHeight="1" x14ac:dyDescent="0.3">
      <c r="B84" s="327"/>
      <c r="C84" s="320"/>
      <c r="D84" s="321"/>
      <c r="E84" s="98"/>
      <c r="F84" s="98"/>
      <c r="G84" s="98"/>
      <c r="H84" s="98"/>
      <c r="I84" s="320"/>
      <c r="J84" s="260"/>
      <c r="K84" s="260"/>
      <c r="L84" s="321"/>
    </row>
    <row r="85" spans="2:12" ht="14.25" customHeight="1" x14ac:dyDescent="0.3">
      <c r="B85" s="107"/>
      <c r="C85" s="100" t="s">
        <v>71</v>
      </c>
      <c r="D85" s="100" t="s">
        <v>72</v>
      </c>
      <c r="E85" s="100" t="s">
        <v>71</v>
      </c>
      <c r="F85" s="100" t="s">
        <v>72</v>
      </c>
      <c r="G85" s="100" t="s">
        <v>71</v>
      </c>
      <c r="H85" s="100" t="s">
        <v>72</v>
      </c>
      <c r="I85" s="323"/>
      <c r="J85" s="236"/>
      <c r="K85" s="236"/>
      <c r="L85" s="230"/>
    </row>
    <row r="86" spans="2:12" ht="15.75" customHeight="1" x14ac:dyDescent="0.3">
      <c r="B86" s="105"/>
      <c r="C86" s="100"/>
      <c r="D86" s="100"/>
      <c r="E86" s="103"/>
      <c r="F86" s="79"/>
      <c r="G86" s="102"/>
      <c r="H86" s="102"/>
      <c r="I86" s="323"/>
      <c r="J86" s="236"/>
      <c r="K86" s="236"/>
      <c r="L86" s="230"/>
    </row>
    <row r="87" spans="2:12" ht="15.75" customHeight="1" x14ac:dyDescent="0.3">
      <c r="B87" s="105"/>
      <c r="C87" s="100"/>
      <c r="D87" s="102"/>
      <c r="E87" s="102"/>
      <c r="F87" s="102"/>
      <c r="G87" s="102"/>
      <c r="H87" s="102"/>
      <c r="I87" s="323"/>
      <c r="J87" s="236"/>
      <c r="K87" s="236"/>
      <c r="L87" s="230"/>
    </row>
    <row r="88" spans="2:12" ht="15.75" customHeight="1" x14ac:dyDescent="0.3">
      <c r="B88" s="105"/>
      <c r="C88" s="100"/>
      <c r="D88" s="100"/>
      <c r="E88" s="102"/>
      <c r="F88" s="102"/>
      <c r="G88" s="104"/>
      <c r="H88" s="104"/>
      <c r="I88" s="323"/>
      <c r="J88" s="236"/>
      <c r="K88" s="236"/>
      <c r="L88" s="230"/>
    </row>
    <row r="89" spans="2:12" ht="15.75" customHeight="1" x14ac:dyDescent="0.3">
      <c r="B89" s="105"/>
      <c r="C89" s="100"/>
      <c r="D89" s="100"/>
      <c r="E89" s="102"/>
      <c r="F89" s="102"/>
      <c r="G89" s="102"/>
      <c r="H89" s="102"/>
      <c r="I89" s="323"/>
      <c r="J89" s="236"/>
      <c r="K89" s="236"/>
      <c r="L89" s="230"/>
    </row>
    <row r="90" spans="2:12" ht="15.75" customHeight="1" x14ac:dyDescent="0.3">
      <c r="B90" s="105"/>
      <c r="C90" s="100" t="s">
        <v>85</v>
      </c>
      <c r="D90" s="100" t="s">
        <v>85</v>
      </c>
      <c r="E90" s="102"/>
      <c r="F90" s="102"/>
      <c r="G90" s="102"/>
      <c r="H90" s="102"/>
      <c r="I90" s="323"/>
      <c r="J90" s="236"/>
      <c r="K90" s="236"/>
      <c r="L90" s="230"/>
    </row>
    <row r="91" spans="2:12" ht="15.75" customHeight="1" x14ac:dyDescent="0.3">
      <c r="B91" s="105"/>
      <c r="C91" s="100" t="s">
        <v>85</v>
      </c>
      <c r="D91" s="100" t="s">
        <v>85</v>
      </c>
      <c r="E91" s="102"/>
      <c r="F91" s="102"/>
      <c r="G91" s="102"/>
      <c r="H91" s="102"/>
      <c r="I91" s="323"/>
      <c r="J91" s="236"/>
      <c r="K91" s="236"/>
      <c r="L91" s="230"/>
    </row>
    <row r="92" spans="2:12" ht="15.75" customHeight="1" x14ac:dyDescent="0.3">
      <c r="B92" s="105"/>
      <c r="C92" s="100" t="s">
        <v>85</v>
      </c>
      <c r="D92" s="100" t="s">
        <v>85</v>
      </c>
      <c r="E92" s="102"/>
      <c r="F92" s="102"/>
      <c r="G92" s="102"/>
      <c r="H92" s="102"/>
      <c r="I92" s="323"/>
      <c r="J92" s="236"/>
      <c r="K92" s="236"/>
      <c r="L92" s="230"/>
    </row>
    <row r="93" spans="2:12" ht="15.75" customHeight="1" x14ac:dyDescent="0.3">
      <c r="B93" s="105"/>
      <c r="C93" s="100" t="s">
        <v>85</v>
      </c>
      <c r="D93" s="100" t="s">
        <v>85</v>
      </c>
      <c r="E93" s="102"/>
      <c r="F93" s="102"/>
      <c r="G93" s="102"/>
      <c r="H93" s="102"/>
      <c r="I93" s="323"/>
      <c r="J93" s="236"/>
      <c r="K93" s="236"/>
      <c r="L93" s="230"/>
    </row>
    <row r="94" spans="2:12" ht="14.25" customHeight="1" x14ac:dyDescent="0.3">
      <c r="B94" s="107"/>
      <c r="C94" s="100" t="s">
        <v>85</v>
      </c>
      <c r="D94" s="106" t="s">
        <v>85</v>
      </c>
      <c r="E94" s="106"/>
      <c r="F94" s="106"/>
      <c r="G94" s="106"/>
      <c r="H94" s="106"/>
      <c r="I94" s="323"/>
      <c r="J94" s="236"/>
      <c r="K94" s="236"/>
      <c r="L94" s="230"/>
    </row>
    <row r="95" spans="2:12" ht="14.25" customHeight="1" x14ac:dyDescent="0.3">
      <c r="B95" s="107"/>
      <c r="C95" s="106" t="s">
        <v>85</v>
      </c>
      <c r="D95" s="106" t="s">
        <v>85</v>
      </c>
      <c r="E95" s="106"/>
      <c r="F95" s="106"/>
      <c r="G95" s="106"/>
      <c r="H95" s="106"/>
      <c r="I95" s="323"/>
      <c r="J95" s="236"/>
      <c r="K95" s="236"/>
      <c r="L95" s="230"/>
    </row>
    <row r="96" spans="2:12" ht="14.25" customHeight="1" x14ac:dyDescent="0.3">
      <c r="B96" s="107"/>
      <c r="C96" s="106" t="s">
        <v>85</v>
      </c>
      <c r="D96" s="106" t="s">
        <v>85</v>
      </c>
      <c r="E96" s="106"/>
      <c r="F96" s="106"/>
      <c r="G96" s="106"/>
      <c r="H96" s="106"/>
      <c r="I96" s="323"/>
      <c r="J96" s="236"/>
      <c r="K96" s="236"/>
      <c r="L96" s="230"/>
    </row>
    <row r="97" spans="2:12" ht="14.25" customHeight="1" x14ac:dyDescent="0.3">
      <c r="B97" s="107"/>
      <c r="C97" s="106" t="s">
        <v>85</v>
      </c>
      <c r="D97" s="106" t="s">
        <v>85</v>
      </c>
      <c r="E97" s="106"/>
      <c r="F97" s="106"/>
      <c r="G97" s="106"/>
      <c r="H97" s="106"/>
      <c r="I97" s="323"/>
      <c r="J97" s="236"/>
      <c r="K97" s="236"/>
      <c r="L97" s="230"/>
    </row>
    <row r="98" spans="2:12" ht="14.25" customHeight="1" x14ac:dyDescent="0.3">
      <c r="B98" s="107"/>
      <c r="C98" s="106" t="s">
        <v>85</v>
      </c>
      <c r="D98" s="106" t="s">
        <v>85</v>
      </c>
      <c r="E98" s="106"/>
      <c r="F98" s="106"/>
      <c r="G98" s="106"/>
      <c r="H98" s="106"/>
      <c r="I98" s="323"/>
      <c r="J98" s="236"/>
      <c r="K98" s="236"/>
      <c r="L98" s="230"/>
    </row>
    <row r="99" spans="2:12" ht="14.25" customHeight="1" x14ac:dyDescent="0.3">
      <c r="B99" s="107"/>
      <c r="C99" s="106" t="s">
        <v>85</v>
      </c>
      <c r="D99" s="106" t="s">
        <v>85</v>
      </c>
      <c r="E99" s="106"/>
      <c r="F99" s="106"/>
      <c r="G99" s="106"/>
      <c r="H99" s="106"/>
      <c r="I99" s="323"/>
      <c r="J99" s="236"/>
      <c r="K99" s="236"/>
      <c r="L99" s="230"/>
    </row>
    <row r="100" spans="2:12" ht="14.25" customHeight="1" x14ac:dyDescent="0.3">
      <c r="B100" s="107"/>
      <c r="C100" s="106" t="s">
        <v>85</v>
      </c>
      <c r="D100" s="106" t="s">
        <v>85</v>
      </c>
      <c r="E100" s="106"/>
      <c r="F100" s="106"/>
      <c r="G100" s="106"/>
      <c r="H100" s="106"/>
      <c r="I100" s="323"/>
      <c r="J100" s="236"/>
      <c r="K100" s="236"/>
      <c r="L100" s="230"/>
    </row>
    <row r="101" spans="2:12" ht="14.25" customHeight="1" x14ac:dyDescent="0.3">
      <c r="B101" s="107"/>
      <c r="C101" s="106" t="s">
        <v>85</v>
      </c>
      <c r="D101" s="106" t="s">
        <v>85</v>
      </c>
      <c r="E101" s="106"/>
      <c r="F101" s="106"/>
      <c r="G101" s="106"/>
      <c r="H101" s="106"/>
      <c r="I101" s="323"/>
      <c r="J101" s="236"/>
      <c r="K101" s="236"/>
      <c r="L101" s="230"/>
    </row>
    <row r="102" spans="2:12" ht="14.25" customHeight="1" x14ac:dyDescent="0.3">
      <c r="B102" s="107"/>
      <c r="C102" s="106" t="s">
        <v>85</v>
      </c>
      <c r="D102" s="106" t="s">
        <v>85</v>
      </c>
      <c r="E102" s="106"/>
      <c r="F102" s="106"/>
      <c r="G102" s="106"/>
      <c r="H102" s="106"/>
      <c r="I102" s="323"/>
      <c r="J102" s="236"/>
      <c r="K102" s="236"/>
      <c r="L102" s="230"/>
    </row>
    <row r="103" spans="2:12" ht="14.25" customHeight="1" x14ac:dyDescent="0.3">
      <c r="B103" s="107"/>
      <c r="C103" s="106" t="s">
        <v>85</v>
      </c>
      <c r="D103" s="106" t="s">
        <v>85</v>
      </c>
      <c r="E103" s="106"/>
      <c r="F103" s="106"/>
      <c r="G103" s="106"/>
      <c r="H103" s="106"/>
      <c r="I103" s="323"/>
      <c r="J103" s="236"/>
      <c r="K103" s="236"/>
      <c r="L103" s="230"/>
    </row>
    <row r="104" spans="2:12" ht="14.25" customHeight="1" x14ac:dyDescent="0.3">
      <c r="B104" s="107"/>
      <c r="C104" s="106" t="s">
        <v>85</v>
      </c>
      <c r="D104" s="106" t="s">
        <v>85</v>
      </c>
      <c r="E104" s="106"/>
      <c r="F104" s="106"/>
      <c r="G104" s="106"/>
      <c r="H104" s="106"/>
      <c r="I104" s="323"/>
      <c r="J104" s="236"/>
      <c r="K104" s="236"/>
      <c r="L104" s="230"/>
    </row>
    <row r="105" spans="2:12" ht="14.25" customHeight="1" x14ac:dyDescent="0.3">
      <c r="B105" s="107"/>
      <c r="C105" s="106" t="s">
        <v>85</v>
      </c>
      <c r="D105" s="106" t="s">
        <v>85</v>
      </c>
      <c r="E105" s="106"/>
      <c r="F105" s="106"/>
      <c r="G105" s="106"/>
      <c r="H105" s="106"/>
      <c r="I105" s="323"/>
      <c r="J105" s="236"/>
      <c r="K105" s="236"/>
      <c r="L105" s="230"/>
    </row>
    <row r="106" spans="2:12" ht="14.25" customHeight="1" x14ac:dyDescent="0.3">
      <c r="B106" s="107"/>
      <c r="C106" s="106" t="s">
        <v>85</v>
      </c>
      <c r="D106" s="106" t="s">
        <v>85</v>
      </c>
      <c r="E106" s="106"/>
      <c r="F106" s="106"/>
      <c r="G106" s="106"/>
      <c r="H106" s="106"/>
      <c r="I106" s="323"/>
      <c r="J106" s="236"/>
      <c r="K106" s="236"/>
      <c r="L106" s="230"/>
    </row>
    <row r="107" spans="2:12" ht="14.25" customHeight="1" x14ac:dyDescent="0.3">
      <c r="B107" s="107"/>
      <c r="C107" s="106" t="s">
        <v>85</v>
      </c>
      <c r="D107" s="106" t="s">
        <v>85</v>
      </c>
      <c r="E107" s="106"/>
      <c r="F107" s="106"/>
      <c r="G107" s="106"/>
      <c r="H107" s="106"/>
      <c r="I107" s="323"/>
      <c r="J107" s="236"/>
      <c r="K107" s="236"/>
      <c r="L107" s="230"/>
    </row>
    <row r="108" spans="2:12" ht="14.25" customHeight="1" x14ac:dyDescent="0.3">
      <c r="B108" s="107"/>
      <c r="C108" s="106" t="s">
        <v>85</v>
      </c>
      <c r="D108" s="106" t="s">
        <v>85</v>
      </c>
      <c r="E108" s="106"/>
      <c r="F108" s="106"/>
      <c r="G108" s="106"/>
      <c r="H108" s="106"/>
      <c r="I108" s="323"/>
      <c r="J108" s="236"/>
      <c r="K108" s="236"/>
      <c r="L108" s="230"/>
    </row>
    <row r="109" spans="2:12" ht="14.25" customHeight="1" x14ac:dyDescent="0.3">
      <c r="B109" s="107"/>
      <c r="C109" s="106" t="s">
        <v>85</v>
      </c>
      <c r="D109" s="106" t="s">
        <v>85</v>
      </c>
      <c r="E109" s="106"/>
      <c r="F109" s="106"/>
      <c r="G109" s="106"/>
      <c r="H109" s="106"/>
      <c r="I109" s="323"/>
      <c r="J109" s="236"/>
      <c r="K109" s="236"/>
      <c r="L109" s="230"/>
    </row>
    <row r="110" spans="2:12" ht="14.25" customHeight="1" x14ac:dyDescent="0.3">
      <c r="B110" s="107"/>
      <c r="C110" s="106" t="s">
        <v>85</v>
      </c>
      <c r="D110" s="106" t="s">
        <v>85</v>
      </c>
      <c r="E110" s="106"/>
      <c r="F110" s="106"/>
      <c r="G110" s="106"/>
      <c r="H110" s="106"/>
      <c r="I110" s="323"/>
      <c r="J110" s="236"/>
      <c r="K110" s="236"/>
      <c r="L110" s="230"/>
    </row>
    <row r="111" spans="2:12" ht="14.25" customHeight="1" x14ac:dyDescent="0.3">
      <c r="B111" s="107"/>
      <c r="C111" s="106" t="s">
        <v>85</v>
      </c>
      <c r="D111" s="106" t="s">
        <v>85</v>
      </c>
      <c r="E111" s="106"/>
      <c r="F111" s="106"/>
      <c r="G111" s="106"/>
      <c r="H111" s="106"/>
      <c r="I111" s="323"/>
      <c r="J111" s="236"/>
      <c r="K111" s="236"/>
      <c r="L111" s="230"/>
    </row>
    <row r="112" spans="2:12" ht="14.25" customHeight="1" x14ac:dyDescent="0.3">
      <c r="B112" s="107"/>
      <c r="C112" s="106" t="s">
        <v>85</v>
      </c>
      <c r="D112" s="106" t="s">
        <v>85</v>
      </c>
      <c r="E112" s="106"/>
      <c r="F112" s="106"/>
      <c r="G112" s="106"/>
      <c r="H112" s="106"/>
      <c r="I112" s="323"/>
      <c r="J112" s="236"/>
      <c r="K112" s="236"/>
      <c r="L112" s="230"/>
    </row>
    <row r="113" spans="1:13" ht="14.25" customHeight="1" x14ac:dyDescent="0.3">
      <c r="B113" s="107"/>
      <c r="C113" s="106" t="s">
        <v>85</v>
      </c>
      <c r="D113" s="106" t="s">
        <v>85</v>
      </c>
      <c r="E113" s="106"/>
      <c r="F113" s="106"/>
      <c r="G113" s="106"/>
      <c r="H113" s="106"/>
      <c r="I113" s="323"/>
      <c r="J113" s="236"/>
      <c r="K113" s="236"/>
      <c r="L113" s="230"/>
    </row>
    <row r="114" spans="1:13" ht="14.25" customHeight="1" x14ac:dyDescent="0.3">
      <c r="B114" s="107"/>
      <c r="C114" s="106" t="s">
        <v>85</v>
      </c>
      <c r="D114" s="106" t="s">
        <v>85</v>
      </c>
      <c r="E114" s="106"/>
      <c r="F114" s="106"/>
      <c r="G114" s="106"/>
      <c r="H114" s="106"/>
      <c r="I114" s="323"/>
      <c r="J114" s="236"/>
      <c r="K114" s="236"/>
      <c r="L114" s="230"/>
    </row>
    <row r="115" spans="1:13" ht="14.25" customHeight="1" x14ac:dyDescent="0.3">
      <c r="B115" s="107"/>
      <c r="C115" s="106" t="s">
        <v>85</v>
      </c>
      <c r="D115" s="106" t="s">
        <v>85</v>
      </c>
      <c r="E115" s="106"/>
      <c r="F115" s="106"/>
      <c r="G115" s="106"/>
      <c r="H115" s="106"/>
      <c r="I115" s="323"/>
      <c r="J115" s="236"/>
      <c r="K115" s="236"/>
      <c r="L115" s="230"/>
    </row>
    <row r="116" spans="1:13" ht="14.25" customHeight="1" x14ac:dyDescent="0.3">
      <c r="B116" s="108" t="s">
        <v>73</v>
      </c>
      <c r="C116" s="106">
        <f t="shared" ref="C116:F116" si="3">SUM(C86:C115)</f>
        <v>0</v>
      </c>
      <c r="D116" s="106">
        <f t="shared" si="3"/>
        <v>0</v>
      </c>
      <c r="E116" s="106">
        <f t="shared" si="3"/>
        <v>0</v>
      </c>
      <c r="F116" s="106">
        <f t="shared" si="3"/>
        <v>0</v>
      </c>
      <c r="G116" s="106">
        <f t="shared" ref="G116:H116" si="4">SUM(G86:G100)</f>
        <v>0</v>
      </c>
      <c r="H116" s="106">
        <f t="shared" si="4"/>
        <v>0</v>
      </c>
      <c r="I116" s="323"/>
      <c r="J116" s="236"/>
      <c r="K116" s="236"/>
      <c r="L116" s="230"/>
    </row>
    <row r="117" spans="1:13" ht="14.25" customHeight="1" x14ac:dyDescent="0.3">
      <c r="B117" s="109" t="s">
        <v>74</v>
      </c>
    </row>
    <row r="118" spans="1:13" ht="14.25" customHeight="1" x14ac:dyDescent="0.3"/>
    <row r="119" spans="1:13" ht="14.25" customHeight="1" x14ac:dyDescent="0.3">
      <c r="B119" s="314" t="str">
        <f>IF(Settings!$B$6&lt;&gt;0,Settings!$B$6,"")</f>
        <v/>
      </c>
      <c r="C119" s="314"/>
      <c r="D119" s="314"/>
    </row>
    <row r="120" spans="1:13" ht="14.25" customHeight="1" x14ac:dyDescent="0.3">
      <c r="B120" s="316" t="s">
        <v>75</v>
      </c>
      <c r="C120" s="316"/>
      <c r="D120" s="316"/>
    </row>
    <row r="121" spans="1:13" ht="14.25" customHeight="1" x14ac:dyDescent="0.3">
      <c r="G121" s="91" t="s">
        <v>76</v>
      </c>
      <c r="H121" s="314" t="str">
        <f>IF(Settings!$B$8&lt;&gt;0,Settings!$B$8,"")</f>
        <v/>
      </c>
      <c r="I121" s="314"/>
      <c r="J121" s="314"/>
      <c r="K121" s="314"/>
      <c r="L121" s="314"/>
    </row>
    <row r="122" spans="1:13" ht="14.25" customHeight="1" x14ac:dyDescent="0.3">
      <c r="H122" s="315" t="s">
        <v>77</v>
      </c>
      <c r="I122" s="315"/>
      <c r="J122" s="315"/>
      <c r="K122" s="315"/>
      <c r="L122" s="315"/>
    </row>
    <row r="123" spans="1:13" ht="14.25" customHeight="1" x14ac:dyDescent="0.3"/>
    <row r="124" spans="1:13" ht="14.25" customHeight="1" x14ac:dyDescent="0.3"/>
    <row r="125" spans="1:13" ht="14.25" customHeight="1" x14ac:dyDescent="0.3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</row>
    <row r="126" spans="1:13" ht="14.25" customHeight="1" x14ac:dyDescent="0.3"/>
    <row r="127" spans="1:13" ht="14.25" customHeight="1" x14ac:dyDescent="0.3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</row>
    <row r="128" spans="1:13" ht="14.25" customHeight="1" x14ac:dyDescent="0.3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</row>
    <row r="129" spans="1:13" ht="14.25" customHeight="1" x14ac:dyDescent="0.3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</row>
    <row r="130" spans="1:13" ht="14.25" customHeight="1" x14ac:dyDescent="0.3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</row>
    <row r="131" spans="1:13" ht="14.25" customHeight="1" x14ac:dyDescent="0.3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</row>
    <row r="132" spans="1:13" ht="14.25" customHeight="1" x14ac:dyDescent="0.3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</row>
    <row r="133" spans="1:13" ht="14.25" customHeight="1" x14ac:dyDescent="0.3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</row>
    <row r="134" spans="1:13" ht="14.25" customHeight="1" x14ac:dyDescent="0.3">
      <c r="G134" s="67" t="s">
        <v>55</v>
      </c>
    </row>
    <row r="135" spans="1:13" ht="14.25" customHeight="1" x14ac:dyDescent="0.3">
      <c r="E135" s="91" t="s">
        <v>56</v>
      </c>
      <c r="G135" s="324"/>
      <c r="H135" s="260"/>
      <c r="I135" s="93" t="s">
        <v>57</v>
      </c>
      <c r="J135" s="324" t="str">
        <f>IF(Settings!$B$1&lt;&gt;0,Settings!$B$1,"")</f>
        <v/>
      </c>
      <c r="K135" s="260"/>
    </row>
    <row r="136" spans="1:13" ht="14.25" customHeight="1" x14ac:dyDescent="0.3"/>
    <row r="137" spans="1:13" ht="14.25" customHeight="1" x14ac:dyDescent="0.3">
      <c r="B137" s="94" t="s">
        <v>8</v>
      </c>
      <c r="C137" s="95"/>
      <c r="D137" s="96" t="str">
        <f>IF(Settings!$B$5&lt;&gt;0,Settings!$B$5,"")</f>
        <v/>
      </c>
      <c r="E137" s="95"/>
      <c r="F137" s="91" t="s">
        <v>58</v>
      </c>
      <c r="H137" s="324" t="str">
        <f>IF(Settings!$B$7&lt;&gt;0,Settings!$B$7,"")</f>
        <v/>
      </c>
      <c r="I137" s="260"/>
      <c r="J137" s="260"/>
      <c r="K137" s="260"/>
      <c r="L137" s="260"/>
    </row>
    <row r="138" spans="1:13" ht="14.25" customHeight="1" x14ac:dyDescent="0.3"/>
    <row r="139" spans="1:13" ht="14.25" customHeight="1" x14ac:dyDescent="0.3">
      <c r="B139" s="91" t="s">
        <v>59</v>
      </c>
      <c r="C139" s="95"/>
      <c r="D139" s="92" t="str">
        <f>IF(Settings!$B$4&lt;&gt;0,Settings!$B$4,"")</f>
        <v/>
      </c>
      <c r="E139" s="95"/>
      <c r="F139" s="91" t="s">
        <v>4</v>
      </c>
      <c r="G139" s="324" t="str">
        <f>IF(Settings!$H$2&lt;&gt;0,Settings!$H$2,"")</f>
        <v/>
      </c>
      <c r="H139" s="260"/>
      <c r="I139" s="260"/>
      <c r="J139" s="91" t="s">
        <v>5</v>
      </c>
      <c r="K139" s="324" t="str">
        <f>IF(Settings!$H$3&lt;&gt;0,Settings!$H$3,"")</f>
        <v/>
      </c>
      <c r="L139" s="260"/>
    </row>
    <row r="140" spans="1:13" ht="14.25" customHeight="1" x14ac:dyDescent="0.3"/>
    <row r="141" spans="1:13" ht="14.25" customHeight="1" x14ac:dyDescent="0.3">
      <c r="B141" s="91" t="s">
        <v>60</v>
      </c>
      <c r="D141" s="96">
        <f>SUM(H141,L141)</f>
        <v>0</v>
      </c>
      <c r="G141" s="93" t="s">
        <v>61</v>
      </c>
      <c r="H141" s="92">
        <f>H15</f>
        <v>0</v>
      </c>
      <c r="K141" s="93" t="s">
        <v>62</v>
      </c>
      <c r="L141" s="92">
        <f>L15</f>
        <v>0</v>
      </c>
    </row>
    <row r="142" spans="1:13" ht="14.25" customHeight="1" x14ac:dyDescent="0.3"/>
    <row r="143" spans="1:13" ht="14.25" customHeight="1" x14ac:dyDescent="0.3">
      <c r="B143" s="91" t="s">
        <v>63</v>
      </c>
      <c r="D143" s="97" t="e">
        <f ca="1">(E179+G179)/C179</f>
        <v>#DIV/0!</v>
      </c>
      <c r="G143" s="91" t="s">
        <v>64</v>
      </c>
      <c r="K143" s="97" t="e">
        <f ca="1">(F179+H179)/D179</f>
        <v>#DIV/0!</v>
      </c>
    </row>
    <row r="144" spans="1:13" ht="14.25" customHeight="1" x14ac:dyDescent="0.3">
      <c r="B144" s="92"/>
    </row>
    <row r="145" spans="2:12" ht="14.25" customHeight="1" x14ac:dyDescent="0.3">
      <c r="B145" s="325" t="s">
        <v>65</v>
      </c>
      <c r="C145" s="317" t="s">
        <v>66</v>
      </c>
      <c r="D145" s="318"/>
      <c r="E145" s="322" t="s">
        <v>67</v>
      </c>
      <c r="F145" s="236"/>
      <c r="G145" s="236"/>
      <c r="H145" s="230"/>
      <c r="I145" s="328" t="s">
        <v>68</v>
      </c>
      <c r="J145" s="263"/>
      <c r="K145" s="263"/>
      <c r="L145" s="318"/>
    </row>
    <row r="146" spans="2:12" ht="14.25" customHeight="1" x14ac:dyDescent="0.3">
      <c r="B146" s="326"/>
      <c r="C146" s="319"/>
      <c r="D146" s="239"/>
      <c r="E146" s="322" t="s">
        <v>69</v>
      </c>
      <c r="F146" s="230"/>
      <c r="G146" s="322" t="s">
        <v>70</v>
      </c>
      <c r="H146" s="230"/>
      <c r="I146" s="319"/>
      <c r="J146" s="241"/>
      <c r="K146" s="241"/>
      <c r="L146" s="239"/>
    </row>
    <row r="147" spans="2:12" ht="14.25" customHeight="1" x14ac:dyDescent="0.3">
      <c r="B147" s="327"/>
      <c r="C147" s="320"/>
      <c r="D147" s="321"/>
      <c r="E147" s="98"/>
      <c r="F147" s="98"/>
      <c r="G147" s="98"/>
      <c r="H147" s="98"/>
      <c r="I147" s="320"/>
      <c r="J147" s="260"/>
      <c r="K147" s="260"/>
      <c r="L147" s="321"/>
    </row>
    <row r="148" spans="2:12" ht="14.25" customHeight="1" x14ac:dyDescent="0.3">
      <c r="B148" s="107"/>
      <c r="C148" s="100" t="s">
        <v>71</v>
      </c>
      <c r="D148" s="100" t="s">
        <v>72</v>
      </c>
      <c r="E148" s="100" t="s">
        <v>71</v>
      </c>
      <c r="F148" s="100" t="s">
        <v>72</v>
      </c>
      <c r="G148" s="100" t="s">
        <v>71</v>
      </c>
      <c r="H148" s="100" t="s">
        <v>72</v>
      </c>
      <c r="I148" s="323"/>
      <c r="J148" s="236"/>
      <c r="K148" s="236"/>
      <c r="L148" s="230"/>
    </row>
    <row r="149" spans="2:12" ht="15.75" customHeight="1" x14ac:dyDescent="0.3">
      <c r="B149" s="105" t="str">
        <f ca="1">IFERROR(__xludf.DUMMYFUNCTION("ARRAY_CONSTRAIN(
  TRANSPOSE(
    IFERROR(
      FILTER(Attendance!E6:BU6, (Attendance!E6:BU6&lt;&gt;"""") * (MONTH(Attendance!E6:BU6)=2))
    )
  ),
  15, 1
)
"),"")</f>
        <v/>
      </c>
      <c r="C149" s="100" t="str">
        <f t="array" ref="C149:C178" ca="1">IF(B149:B178&lt;&gt;"", COUNTIF(Attendance!B7:B66,"M"), "")</f>
        <v/>
      </c>
      <c r="D149" s="100" t="str">
        <f t="array" ref="D149:D178" ca="1">IF(B149:B178&lt;&gt;"", COUNTIF(Attendance!B7:B66,"F"), "")</f>
        <v/>
      </c>
      <c r="E149" s="103" t="str">
        <f ca="1">IFERROR(__xludf.DUMMYFUNCTION("TRANSPOSE(
  IFERROR(
    FILTER(
      Attendance!E68:BU68,
      (Attendance!E6:BU6&lt;&gt;"""")*(MONTH(Attendance!E6:BU6)=2)
    )
  )
)"),"")</f>
        <v/>
      </c>
      <c r="F149" s="79" t="str">
        <f ca="1">IFERROR(__xludf.DUMMYFUNCTION("TRANSPOSE(
  IFERROR(
    FILTER(
      Attendance!E69:BU69,
      (Attendance!E6:BU6&lt;&gt;"""")*(MONTH(Attendance!E6:BU6)=2)
    )
  )
)"),"")</f>
        <v/>
      </c>
      <c r="G149" s="102"/>
      <c r="H149" s="102"/>
      <c r="I149" s="323"/>
      <c r="J149" s="236"/>
      <c r="K149" s="236"/>
      <c r="L149" s="230"/>
    </row>
    <row r="150" spans="2:12" ht="15.75" customHeight="1" x14ac:dyDescent="0.3">
      <c r="B150" s="105"/>
      <c r="C150" s="100" t="str">
        <v/>
      </c>
      <c r="D150" s="102" t="str">
        <v/>
      </c>
      <c r="E150" s="100"/>
      <c r="F150" s="100"/>
      <c r="G150" s="102"/>
      <c r="H150" s="102"/>
      <c r="I150" s="323"/>
      <c r="J150" s="236"/>
      <c r="K150" s="236"/>
      <c r="L150" s="230"/>
    </row>
    <row r="151" spans="2:12" ht="15.75" customHeight="1" x14ac:dyDescent="0.3">
      <c r="B151" s="105"/>
      <c r="C151" s="100" t="str">
        <v/>
      </c>
      <c r="D151" s="100" t="str">
        <v/>
      </c>
      <c r="E151" s="100"/>
      <c r="F151" s="100"/>
      <c r="G151" s="104"/>
      <c r="H151" s="104"/>
      <c r="I151" s="323"/>
      <c r="J151" s="236"/>
      <c r="K151" s="236"/>
      <c r="L151" s="230"/>
    </row>
    <row r="152" spans="2:12" ht="15.75" customHeight="1" x14ac:dyDescent="0.3">
      <c r="B152" s="105"/>
      <c r="C152" s="100" t="str">
        <v/>
      </c>
      <c r="D152" s="100" t="str">
        <v/>
      </c>
      <c r="E152" s="100"/>
      <c r="F152" s="100"/>
      <c r="G152" s="102"/>
      <c r="H152" s="102"/>
      <c r="I152" s="323"/>
      <c r="J152" s="236"/>
      <c r="K152" s="236"/>
      <c r="L152" s="230"/>
    </row>
    <row r="153" spans="2:12" ht="15.75" customHeight="1" x14ac:dyDescent="0.3">
      <c r="B153" s="105"/>
      <c r="C153" s="100" t="str">
        <v/>
      </c>
      <c r="D153" s="100" t="str">
        <v/>
      </c>
      <c r="E153" s="100"/>
      <c r="F153" s="100"/>
      <c r="G153" s="102"/>
      <c r="H153" s="102"/>
      <c r="I153" s="323"/>
      <c r="J153" s="236"/>
      <c r="K153" s="236"/>
      <c r="L153" s="230"/>
    </row>
    <row r="154" spans="2:12" ht="15.75" customHeight="1" x14ac:dyDescent="0.3">
      <c r="B154" s="105"/>
      <c r="C154" s="100" t="str">
        <v/>
      </c>
      <c r="D154" s="100" t="str">
        <v/>
      </c>
      <c r="E154" s="100"/>
      <c r="F154" s="100"/>
      <c r="G154" s="102"/>
      <c r="H154" s="102"/>
      <c r="I154" s="323"/>
      <c r="J154" s="236"/>
      <c r="K154" s="236"/>
      <c r="L154" s="230"/>
    </row>
    <row r="155" spans="2:12" ht="15.75" customHeight="1" x14ac:dyDescent="0.3">
      <c r="B155" s="105"/>
      <c r="C155" s="100" t="str">
        <v/>
      </c>
      <c r="D155" s="100" t="str">
        <v/>
      </c>
      <c r="E155" s="100"/>
      <c r="F155" s="100"/>
      <c r="G155" s="102"/>
      <c r="H155" s="102"/>
      <c r="I155" s="323"/>
      <c r="J155" s="236"/>
      <c r="K155" s="236"/>
      <c r="L155" s="230"/>
    </row>
    <row r="156" spans="2:12" ht="15.75" customHeight="1" x14ac:dyDescent="0.3">
      <c r="B156" s="105"/>
      <c r="C156" s="100" t="str">
        <v/>
      </c>
      <c r="D156" s="100" t="str">
        <v/>
      </c>
      <c r="E156" s="100"/>
      <c r="F156" s="100"/>
      <c r="G156" s="102"/>
      <c r="H156" s="102"/>
      <c r="I156" s="323"/>
      <c r="J156" s="236"/>
      <c r="K156" s="236"/>
      <c r="L156" s="230"/>
    </row>
    <row r="157" spans="2:12" ht="14.25" customHeight="1" x14ac:dyDescent="0.3">
      <c r="B157" s="107"/>
      <c r="C157" s="100" t="str">
        <v/>
      </c>
      <c r="D157" s="106" t="str">
        <v/>
      </c>
      <c r="E157" s="106"/>
      <c r="F157" s="106"/>
      <c r="G157" s="106"/>
      <c r="H157" s="106"/>
      <c r="I157" s="323"/>
      <c r="J157" s="236"/>
      <c r="K157" s="236"/>
      <c r="L157" s="230"/>
    </row>
    <row r="158" spans="2:12" ht="14.25" customHeight="1" x14ac:dyDescent="0.3">
      <c r="B158" s="107"/>
      <c r="C158" s="106" t="str">
        <v/>
      </c>
      <c r="D158" s="106" t="str">
        <v/>
      </c>
      <c r="E158" s="106"/>
      <c r="F158" s="106"/>
      <c r="G158" s="106"/>
      <c r="H158" s="106"/>
      <c r="I158" s="323"/>
      <c r="J158" s="236"/>
      <c r="K158" s="236"/>
      <c r="L158" s="230"/>
    </row>
    <row r="159" spans="2:12" ht="14.25" customHeight="1" x14ac:dyDescent="0.3">
      <c r="B159" s="107"/>
      <c r="C159" s="106" t="str">
        <v/>
      </c>
      <c r="D159" s="106" t="str">
        <v/>
      </c>
      <c r="E159" s="106"/>
      <c r="F159" s="106"/>
      <c r="G159" s="106"/>
      <c r="H159" s="106"/>
      <c r="I159" s="323"/>
      <c r="J159" s="236"/>
      <c r="K159" s="236"/>
      <c r="L159" s="230"/>
    </row>
    <row r="160" spans="2:12" ht="14.25" customHeight="1" x14ac:dyDescent="0.3">
      <c r="B160" s="107"/>
      <c r="C160" s="106" t="str">
        <v/>
      </c>
      <c r="D160" s="106" t="str">
        <v/>
      </c>
      <c r="E160" s="106"/>
      <c r="F160" s="106"/>
      <c r="G160" s="106"/>
      <c r="H160" s="106"/>
      <c r="I160" s="323"/>
      <c r="J160" s="236"/>
      <c r="K160" s="236"/>
      <c r="L160" s="230"/>
    </row>
    <row r="161" spans="2:12" ht="14.25" customHeight="1" x14ac:dyDescent="0.3">
      <c r="B161" s="107"/>
      <c r="C161" s="106" t="str">
        <v/>
      </c>
      <c r="D161" s="106" t="str">
        <v/>
      </c>
      <c r="E161" s="106"/>
      <c r="F161" s="106"/>
      <c r="G161" s="106"/>
      <c r="H161" s="106"/>
      <c r="I161" s="323"/>
      <c r="J161" s="236"/>
      <c r="K161" s="236"/>
      <c r="L161" s="230"/>
    </row>
    <row r="162" spans="2:12" ht="14.25" customHeight="1" x14ac:dyDescent="0.3">
      <c r="B162" s="107"/>
      <c r="C162" s="106" t="str">
        <v/>
      </c>
      <c r="D162" s="106" t="str">
        <v/>
      </c>
      <c r="E162" s="106"/>
      <c r="F162" s="106"/>
      <c r="G162" s="106"/>
      <c r="H162" s="106"/>
      <c r="I162" s="323"/>
      <c r="J162" s="236"/>
      <c r="K162" s="236"/>
      <c r="L162" s="230"/>
    </row>
    <row r="163" spans="2:12" ht="14.25" customHeight="1" x14ac:dyDescent="0.3">
      <c r="B163" s="107"/>
      <c r="C163" s="106" t="str">
        <v/>
      </c>
      <c r="D163" s="106" t="str">
        <v/>
      </c>
      <c r="E163" s="106"/>
      <c r="F163" s="106"/>
      <c r="G163" s="106"/>
      <c r="H163" s="106"/>
      <c r="I163" s="323"/>
      <c r="J163" s="236"/>
      <c r="K163" s="236"/>
      <c r="L163" s="230"/>
    </row>
    <row r="164" spans="2:12" ht="14.25" customHeight="1" x14ac:dyDescent="0.3">
      <c r="B164" s="107"/>
      <c r="C164" s="106" t="str">
        <v/>
      </c>
      <c r="D164" s="106" t="str">
        <v/>
      </c>
      <c r="E164" s="106"/>
      <c r="F164" s="106"/>
      <c r="G164" s="106"/>
      <c r="H164" s="106"/>
      <c r="I164" s="323"/>
      <c r="J164" s="236"/>
      <c r="K164" s="236"/>
      <c r="L164" s="230"/>
    </row>
    <row r="165" spans="2:12" ht="14.25" customHeight="1" x14ac:dyDescent="0.3">
      <c r="B165" s="107"/>
      <c r="C165" s="106" t="str">
        <v/>
      </c>
      <c r="D165" s="106" t="str">
        <v/>
      </c>
      <c r="E165" s="106"/>
      <c r="F165" s="106"/>
      <c r="G165" s="106"/>
      <c r="H165" s="106"/>
      <c r="I165" s="323"/>
      <c r="J165" s="236"/>
      <c r="K165" s="236"/>
      <c r="L165" s="230"/>
    </row>
    <row r="166" spans="2:12" ht="14.25" customHeight="1" x14ac:dyDescent="0.3">
      <c r="B166" s="107"/>
      <c r="C166" s="106" t="str">
        <v/>
      </c>
      <c r="D166" s="106" t="str">
        <v/>
      </c>
      <c r="E166" s="106"/>
      <c r="F166" s="106"/>
      <c r="G166" s="106"/>
      <c r="H166" s="106"/>
      <c r="I166" s="323"/>
      <c r="J166" s="236"/>
      <c r="K166" s="236"/>
      <c r="L166" s="230"/>
    </row>
    <row r="167" spans="2:12" ht="14.25" customHeight="1" x14ac:dyDescent="0.3">
      <c r="B167" s="107"/>
      <c r="C167" s="106" t="str">
        <v/>
      </c>
      <c r="D167" s="106" t="str">
        <v/>
      </c>
      <c r="E167" s="106"/>
      <c r="F167" s="106"/>
      <c r="G167" s="106"/>
      <c r="H167" s="106"/>
      <c r="I167" s="323"/>
      <c r="J167" s="236"/>
      <c r="K167" s="236"/>
      <c r="L167" s="230"/>
    </row>
    <row r="168" spans="2:12" ht="14.25" customHeight="1" x14ac:dyDescent="0.3">
      <c r="B168" s="107"/>
      <c r="C168" s="106" t="str">
        <v/>
      </c>
      <c r="D168" s="106" t="str">
        <v/>
      </c>
      <c r="E168" s="106"/>
      <c r="F168" s="106"/>
      <c r="G168" s="106"/>
      <c r="H168" s="106"/>
      <c r="I168" s="323"/>
      <c r="J168" s="236"/>
      <c r="K168" s="236"/>
      <c r="L168" s="230"/>
    </row>
    <row r="169" spans="2:12" ht="14.25" customHeight="1" x14ac:dyDescent="0.3">
      <c r="B169" s="107"/>
      <c r="C169" s="106" t="str">
        <v/>
      </c>
      <c r="D169" s="106" t="str">
        <v/>
      </c>
      <c r="E169" s="106"/>
      <c r="F169" s="106"/>
      <c r="G169" s="106"/>
      <c r="H169" s="106"/>
      <c r="I169" s="323"/>
      <c r="J169" s="236"/>
      <c r="K169" s="236"/>
      <c r="L169" s="230"/>
    </row>
    <row r="170" spans="2:12" ht="14.25" customHeight="1" x14ac:dyDescent="0.3">
      <c r="B170" s="107"/>
      <c r="C170" s="106" t="str">
        <v/>
      </c>
      <c r="D170" s="106" t="str">
        <v/>
      </c>
      <c r="E170" s="106"/>
      <c r="F170" s="106"/>
      <c r="G170" s="106"/>
      <c r="H170" s="106"/>
      <c r="I170" s="323"/>
      <c r="J170" s="236"/>
      <c r="K170" s="236"/>
      <c r="L170" s="230"/>
    </row>
    <row r="171" spans="2:12" ht="14.25" customHeight="1" x14ac:dyDescent="0.3">
      <c r="B171" s="107"/>
      <c r="C171" s="106" t="str">
        <v/>
      </c>
      <c r="D171" s="106" t="str">
        <v/>
      </c>
      <c r="E171" s="106"/>
      <c r="F171" s="106"/>
      <c r="G171" s="106"/>
      <c r="H171" s="106"/>
      <c r="I171" s="323"/>
      <c r="J171" s="236"/>
      <c r="K171" s="236"/>
      <c r="L171" s="230"/>
    </row>
    <row r="172" spans="2:12" ht="14.25" customHeight="1" x14ac:dyDescent="0.3">
      <c r="B172" s="107"/>
      <c r="C172" s="106" t="str">
        <v/>
      </c>
      <c r="D172" s="106" t="str">
        <v/>
      </c>
      <c r="E172" s="106"/>
      <c r="F172" s="106"/>
      <c r="G172" s="106"/>
      <c r="H172" s="106"/>
      <c r="I172" s="323"/>
      <c r="J172" s="236"/>
      <c r="K172" s="236"/>
      <c r="L172" s="230"/>
    </row>
    <row r="173" spans="2:12" ht="14.25" customHeight="1" x14ac:dyDescent="0.3">
      <c r="B173" s="107"/>
      <c r="C173" s="106" t="str">
        <v/>
      </c>
      <c r="D173" s="106" t="str">
        <v/>
      </c>
      <c r="E173" s="106"/>
      <c r="F173" s="106"/>
      <c r="G173" s="106"/>
      <c r="H173" s="106"/>
      <c r="I173" s="323"/>
      <c r="J173" s="236"/>
      <c r="K173" s="236"/>
      <c r="L173" s="230"/>
    </row>
    <row r="174" spans="2:12" ht="14.25" customHeight="1" x14ac:dyDescent="0.3">
      <c r="B174" s="107"/>
      <c r="C174" s="106" t="str">
        <v/>
      </c>
      <c r="D174" s="106" t="str">
        <v/>
      </c>
      <c r="E174" s="106"/>
      <c r="F174" s="106"/>
      <c r="G174" s="106"/>
      <c r="H174" s="106"/>
      <c r="I174" s="323"/>
      <c r="J174" s="236"/>
      <c r="K174" s="236"/>
      <c r="L174" s="230"/>
    </row>
    <row r="175" spans="2:12" ht="14.25" customHeight="1" x14ac:dyDescent="0.3">
      <c r="B175" s="107"/>
      <c r="C175" s="106" t="str">
        <v/>
      </c>
      <c r="D175" s="106" t="str">
        <v/>
      </c>
      <c r="E175" s="106"/>
      <c r="F175" s="106"/>
      <c r="G175" s="106"/>
      <c r="H175" s="106"/>
      <c r="I175" s="323"/>
      <c r="J175" s="236"/>
      <c r="K175" s="236"/>
      <c r="L175" s="230"/>
    </row>
    <row r="176" spans="2:12" ht="14.25" customHeight="1" x14ac:dyDescent="0.3">
      <c r="B176" s="107"/>
      <c r="C176" s="106" t="str">
        <v/>
      </c>
      <c r="D176" s="106" t="str">
        <v/>
      </c>
      <c r="E176" s="106"/>
      <c r="F176" s="106"/>
      <c r="G176" s="106"/>
      <c r="H176" s="106"/>
      <c r="I176" s="323"/>
      <c r="J176" s="236"/>
      <c r="K176" s="236"/>
      <c r="L176" s="230"/>
    </row>
    <row r="177" spans="1:13" ht="14.25" customHeight="1" x14ac:dyDescent="0.3">
      <c r="B177" s="107"/>
      <c r="C177" s="106" t="str">
        <v/>
      </c>
      <c r="D177" s="106" t="str">
        <v/>
      </c>
      <c r="E177" s="106"/>
      <c r="F177" s="106"/>
      <c r="G177" s="106"/>
      <c r="H177" s="106"/>
      <c r="I177" s="323"/>
      <c r="J177" s="236"/>
      <c r="K177" s="236"/>
      <c r="L177" s="230"/>
    </row>
    <row r="178" spans="1:13" ht="14.25" customHeight="1" x14ac:dyDescent="0.3">
      <c r="B178" s="107"/>
      <c r="C178" s="106" t="str">
        <v/>
      </c>
      <c r="D178" s="106" t="str">
        <v/>
      </c>
      <c r="E178" s="106"/>
      <c r="F178" s="106"/>
      <c r="G178" s="106"/>
      <c r="H178" s="106"/>
      <c r="I178" s="323"/>
      <c r="J178" s="236"/>
      <c r="K178" s="236"/>
      <c r="L178" s="230"/>
    </row>
    <row r="179" spans="1:13" ht="14.25" customHeight="1" x14ac:dyDescent="0.3">
      <c r="B179" s="108" t="s">
        <v>73</v>
      </c>
      <c r="C179" s="106">
        <f t="shared" ref="C179:F179" ca="1" si="5">SUM(C149:C178)</f>
        <v>0</v>
      </c>
      <c r="D179" s="106">
        <f t="shared" ca="1" si="5"/>
        <v>0</v>
      </c>
      <c r="E179" s="106">
        <f t="shared" ca="1" si="5"/>
        <v>0</v>
      </c>
      <c r="F179" s="106">
        <f t="shared" ca="1" si="5"/>
        <v>0</v>
      </c>
      <c r="G179" s="106">
        <f t="shared" ref="G179:H179" si="6">SUM(G149:G163)</f>
        <v>0</v>
      </c>
      <c r="H179" s="106">
        <f t="shared" si="6"/>
        <v>0</v>
      </c>
      <c r="I179" s="323"/>
      <c r="J179" s="236"/>
      <c r="K179" s="236"/>
      <c r="L179" s="230"/>
    </row>
    <row r="180" spans="1:13" ht="14.25" customHeight="1" x14ac:dyDescent="0.3">
      <c r="B180" s="109" t="s">
        <v>74</v>
      </c>
    </row>
    <row r="181" spans="1:13" ht="14.25" customHeight="1" x14ac:dyDescent="0.3"/>
    <row r="182" spans="1:13" ht="14.25" customHeight="1" x14ac:dyDescent="0.3">
      <c r="B182" s="314" t="str">
        <f>IF(Settings!$B$6&lt;&gt;0,Settings!$B$6,"")</f>
        <v/>
      </c>
      <c r="C182" s="314"/>
      <c r="D182" s="314"/>
    </row>
    <row r="183" spans="1:13" ht="14.25" customHeight="1" x14ac:dyDescent="0.3">
      <c r="B183" s="316" t="s">
        <v>75</v>
      </c>
      <c r="C183" s="316"/>
      <c r="D183" s="316"/>
    </row>
    <row r="184" spans="1:13" ht="14.25" customHeight="1" x14ac:dyDescent="0.3">
      <c r="G184" s="91" t="s">
        <v>76</v>
      </c>
      <c r="H184" s="314" t="str">
        <f>IF(Settings!$B$8&lt;&gt;0,Settings!$B$8,"")</f>
        <v/>
      </c>
      <c r="I184" s="314"/>
      <c r="J184" s="314"/>
      <c r="K184" s="314"/>
      <c r="L184" s="314"/>
    </row>
    <row r="185" spans="1:13" ht="14.25" customHeight="1" x14ac:dyDescent="0.3">
      <c r="H185" s="315" t="s">
        <v>77</v>
      </c>
      <c r="I185" s="315"/>
      <c r="J185" s="315"/>
      <c r="K185" s="315"/>
      <c r="L185" s="315"/>
    </row>
    <row r="186" spans="1:13" ht="14.25" customHeight="1" x14ac:dyDescent="0.3"/>
    <row r="187" spans="1:13" ht="14.25" customHeight="1" x14ac:dyDescent="0.3"/>
    <row r="188" spans="1:13" ht="14.25" customHeight="1" x14ac:dyDescent="0.3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</row>
    <row r="189" spans="1:13" ht="14.25" customHeight="1" x14ac:dyDescent="0.3"/>
    <row r="190" spans="1:13" ht="14.25" customHeight="1" x14ac:dyDescent="0.3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</row>
    <row r="191" spans="1:13" ht="14.25" customHeight="1" x14ac:dyDescent="0.3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</row>
    <row r="192" spans="1:13" ht="14.25" customHeight="1" x14ac:dyDescent="0.3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</row>
    <row r="193" spans="1:13" ht="14.25" customHeight="1" x14ac:dyDescent="0.3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</row>
    <row r="194" spans="1:13" ht="14.25" customHeight="1" x14ac:dyDescent="0.3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</row>
    <row r="195" spans="1:13" ht="14.25" customHeight="1" x14ac:dyDescent="0.3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</row>
    <row r="196" spans="1:13" ht="14.25" customHeight="1" x14ac:dyDescent="0.3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</row>
    <row r="197" spans="1:13" ht="14.25" customHeight="1" x14ac:dyDescent="0.3">
      <c r="G197" s="67" t="s">
        <v>55</v>
      </c>
    </row>
    <row r="198" spans="1:13" ht="14.25" customHeight="1" x14ac:dyDescent="0.3">
      <c r="E198" s="91" t="s">
        <v>56</v>
      </c>
      <c r="G198" s="324"/>
      <c r="H198" s="260"/>
      <c r="I198" s="93" t="s">
        <v>57</v>
      </c>
      <c r="J198" s="324" t="str">
        <f>IF(Settings!$B$1&lt;&gt;0,Settings!$B$1,"")</f>
        <v/>
      </c>
      <c r="K198" s="260"/>
    </row>
    <row r="199" spans="1:13" ht="14.25" customHeight="1" x14ac:dyDescent="0.3"/>
    <row r="200" spans="1:13" ht="14.25" customHeight="1" x14ac:dyDescent="0.3">
      <c r="B200" s="94" t="s">
        <v>8</v>
      </c>
      <c r="C200" s="95"/>
      <c r="D200" s="96" t="str">
        <f>IF(Settings!$B$5&lt;&gt;0,Settings!$B$5,"")</f>
        <v/>
      </c>
      <c r="E200" s="95"/>
      <c r="F200" s="91" t="s">
        <v>58</v>
      </c>
      <c r="H200" s="324" t="str">
        <f>IF(Settings!$B$7&lt;&gt;0,Settings!$B$7,"")</f>
        <v/>
      </c>
      <c r="I200" s="260"/>
      <c r="J200" s="260"/>
      <c r="K200" s="260"/>
      <c r="L200" s="260"/>
    </row>
    <row r="201" spans="1:13" ht="14.25" customHeight="1" x14ac:dyDescent="0.3"/>
    <row r="202" spans="1:13" ht="14.25" customHeight="1" x14ac:dyDescent="0.3">
      <c r="B202" s="91" t="s">
        <v>59</v>
      </c>
      <c r="C202" s="95"/>
      <c r="D202" s="92" t="str">
        <f>IF(Settings!$B$4&lt;&gt;0,Settings!$B$4,"")</f>
        <v/>
      </c>
      <c r="E202" s="95"/>
      <c r="F202" s="91" t="s">
        <v>4</v>
      </c>
      <c r="G202" s="324" t="str">
        <f>IF(Settings!$H$2&lt;&gt;0,Settings!$H$2,"")</f>
        <v/>
      </c>
      <c r="H202" s="260"/>
      <c r="I202" s="260"/>
      <c r="J202" s="91" t="s">
        <v>5</v>
      </c>
      <c r="K202" s="324" t="str">
        <f>IF(Settings!$H$3&lt;&gt;0,Settings!$H$3,"")</f>
        <v/>
      </c>
      <c r="L202" s="260"/>
    </row>
    <row r="203" spans="1:13" ht="14.25" customHeight="1" x14ac:dyDescent="0.3"/>
    <row r="204" spans="1:13" ht="14.25" customHeight="1" x14ac:dyDescent="0.3">
      <c r="B204" s="91" t="s">
        <v>60</v>
      </c>
      <c r="D204" s="96">
        <f>SUM(H204,L204)</f>
        <v>0</v>
      </c>
      <c r="G204" s="93" t="s">
        <v>61</v>
      </c>
      <c r="H204" s="92">
        <f>H15</f>
        <v>0</v>
      </c>
      <c r="K204" s="93" t="s">
        <v>62</v>
      </c>
      <c r="L204" s="92">
        <f>L15</f>
        <v>0</v>
      </c>
    </row>
    <row r="205" spans="1:13" ht="14.25" customHeight="1" x14ac:dyDescent="0.3"/>
    <row r="206" spans="1:13" ht="14.25" customHeight="1" x14ac:dyDescent="0.3">
      <c r="B206" s="91" t="s">
        <v>63</v>
      </c>
      <c r="D206" s="97" t="e">
        <f ca="1">(E242+G242)/C242</f>
        <v>#DIV/0!</v>
      </c>
      <c r="G206" s="91" t="s">
        <v>64</v>
      </c>
      <c r="K206" s="97" t="e">
        <f ca="1">(F242+H242)/D242</f>
        <v>#DIV/0!</v>
      </c>
    </row>
    <row r="207" spans="1:13" ht="14.25" customHeight="1" x14ac:dyDescent="0.3">
      <c r="B207" s="92"/>
    </row>
    <row r="208" spans="1:13" ht="14.25" customHeight="1" x14ac:dyDescent="0.3">
      <c r="B208" s="325" t="s">
        <v>65</v>
      </c>
      <c r="C208" s="317" t="s">
        <v>66</v>
      </c>
      <c r="D208" s="318"/>
      <c r="E208" s="322" t="s">
        <v>67</v>
      </c>
      <c r="F208" s="236"/>
      <c r="G208" s="236"/>
      <c r="H208" s="230"/>
      <c r="I208" s="328" t="s">
        <v>68</v>
      </c>
      <c r="J208" s="263"/>
      <c r="K208" s="263"/>
      <c r="L208" s="318"/>
    </row>
    <row r="209" spans="2:12" ht="14.25" customHeight="1" x14ac:dyDescent="0.3">
      <c r="B209" s="326"/>
      <c r="C209" s="319"/>
      <c r="D209" s="239"/>
      <c r="E209" s="322" t="s">
        <v>69</v>
      </c>
      <c r="F209" s="230"/>
      <c r="G209" s="322" t="s">
        <v>70</v>
      </c>
      <c r="H209" s="230"/>
      <c r="I209" s="319"/>
      <c r="J209" s="241"/>
      <c r="K209" s="241"/>
      <c r="L209" s="239"/>
    </row>
    <row r="210" spans="2:12" ht="14.25" customHeight="1" x14ac:dyDescent="0.3">
      <c r="B210" s="327"/>
      <c r="C210" s="320"/>
      <c r="D210" s="321"/>
      <c r="E210" s="98"/>
      <c r="F210" s="98"/>
      <c r="G210" s="98"/>
      <c r="H210" s="98"/>
      <c r="I210" s="320"/>
      <c r="J210" s="260"/>
      <c r="K210" s="260"/>
      <c r="L210" s="321"/>
    </row>
    <row r="211" spans="2:12" ht="14.25" customHeight="1" x14ac:dyDescent="0.3">
      <c r="B211" s="107"/>
      <c r="C211" s="100" t="s">
        <v>71</v>
      </c>
      <c r="D211" s="100" t="s">
        <v>72</v>
      </c>
      <c r="E211" s="100" t="s">
        <v>71</v>
      </c>
      <c r="F211" s="100" t="s">
        <v>72</v>
      </c>
      <c r="G211" s="100" t="s">
        <v>71</v>
      </c>
      <c r="H211" s="100" t="s">
        <v>72</v>
      </c>
      <c r="I211" s="323"/>
      <c r="J211" s="236"/>
      <c r="K211" s="236"/>
      <c r="L211" s="230"/>
    </row>
    <row r="212" spans="2:12" ht="15.75" customHeight="1" x14ac:dyDescent="0.3">
      <c r="B212" s="105" t="str">
        <f ca="1">IFERROR(__xludf.DUMMYFUNCTION("ARRAY_CONSTRAIN(
  TRANSPOSE(
    IFERROR(
      FILTER(Attendance!E6:BU6, (Attendance!E6:BU6&lt;&gt;"""") * (MONTH(Attendance!E6:BU6)=3))
    )
  ),
  15, 1
)
"),"")</f>
        <v/>
      </c>
      <c r="C212" s="100" t="str">
        <f t="array" ref="C212:C241" ca="1">IF(B212:B241&lt;&gt;"", COUNTIF(Attendance!B7:B66,"M"), "")</f>
        <v/>
      </c>
      <c r="D212" s="100" t="str">
        <f t="array" ref="D212:D241" ca="1">IF(B212:B241&lt;&gt;"", COUNTIF(Attendance!B7:B66,"F"), "")</f>
        <v/>
      </c>
      <c r="E212" s="104" t="str">
        <f ca="1">IFERROR(__xludf.DUMMYFUNCTION("TRANSPOSE(
  IFERROR(
    FILTER(
      Attendance!E68:BU68,
      (Attendance!E6:BU6&lt;&gt;"""")*(MONTH(Attendance!E6:BU6)=3)
    )
  )
)"),"")</f>
        <v/>
      </c>
      <c r="F212" s="79" t="str">
        <f ca="1">IFERROR(__xludf.DUMMYFUNCTION("TRANSPOSE(
  IFERROR(
    FILTER(
      Attendance!E69:BU69,
      (Attendance!E6:BU6&lt;&gt;"""")*(MONTH(Attendance!E6:BU6)=3)
    )
  )
)"),"")</f>
        <v/>
      </c>
      <c r="G212" s="102"/>
      <c r="H212" s="102"/>
      <c r="I212" s="323"/>
      <c r="J212" s="236"/>
      <c r="K212" s="236"/>
      <c r="L212" s="230"/>
    </row>
    <row r="213" spans="2:12" ht="15.75" customHeight="1" x14ac:dyDescent="0.3">
      <c r="B213" s="105"/>
      <c r="C213" s="100" t="str">
        <v/>
      </c>
      <c r="D213" s="102" t="str">
        <v/>
      </c>
      <c r="E213" s="102"/>
      <c r="F213" s="100"/>
      <c r="G213" s="102"/>
      <c r="H213" s="102"/>
      <c r="I213" s="323"/>
      <c r="J213" s="236"/>
      <c r="K213" s="236"/>
      <c r="L213" s="230"/>
    </row>
    <row r="214" spans="2:12" ht="15.75" customHeight="1" x14ac:dyDescent="0.3">
      <c r="B214" s="105"/>
      <c r="C214" s="100" t="str">
        <v/>
      </c>
      <c r="D214" s="100" t="str">
        <v/>
      </c>
      <c r="E214" s="102"/>
      <c r="F214" s="100"/>
      <c r="G214" s="104"/>
      <c r="H214" s="104"/>
      <c r="I214" s="323"/>
      <c r="J214" s="236"/>
      <c r="K214" s="236"/>
      <c r="L214" s="230"/>
    </row>
    <row r="215" spans="2:12" ht="15.75" customHeight="1" x14ac:dyDescent="0.3">
      <c r="B215" s="105"/>
      <c r="C215" s="100" t="str">
        <v/>
      </c>
      <c r="D215" s="100" t="str">
        <v/>
      </c>
      <c r="E215" s="102"/>
      <c r="F215" s="100"/>
      <c r="G215" s="102"/>
      <c r="H215" s="102"/>
      <c r="I215" s="323"/>
      <c r="J215" s="236"/>
      <c r="K215" s="236"/>
      <c r="L215" s="230"/>
    </row>
    <row r="216" spans="2:12" ht="15.75" customHeight="1" x14ac:dyDescent="0.3">
      <c r="B216" s="105"/>
      <c r="C216" s="100" t="str">
        <v/>
      </c>
      <c r="D216" s="100" t="str">
        <v/>
      </c>
      <c r="E216" s="102"/>
      <c r="F216" s="100"/>
      <c r="G216" s="102"/>
      <c r="H216" s="102"/>
      <c r="I216" s="323"/>
      <c r="J216" s="236"/>
      <c r="K216" s="236"/>
      <c r="L216" s="230"/>
    </row>
    <row r="217" spans="2:12" ht="15.75" customHeight="1" x14ac:dyDescent="0.3">
      <c r="B217" s="105"/>
      <c r="C217" s="100" t="str">
        <v/>
      </c>
      <c r="D217" s="100" t="str">
        <v/>
      </c>
      <c r="E217" s="102"/>
      <c r="F217" s="100"/>
      <c r="G217" s="102"/>
      <c r="H217" s="102"/>
      <c r="I217" s="323"/>
      <c r="J217" s="236"/>
      <c r="K217" s="236"/>
      <c r="L217" s="230"/>
    </row>
    <row r="218" spans="2:12" ht="15.75" customHeight="1" x14ac:dyDescent="0.3">
      <c r="B218" s="105"/>
      <c r="C218" s="100" t="str">
        <v/>
      </c>
      <c r="D218" s="100" t="str">
        <v/>
      </c>
      <c r="E218" s="102"/>
      <c r="F218" s="100"/>
      <c r="G218" s="102"/>
      <c r="H218" s="102"/>
      <c r="I218" s="323"/>
      <c r="J218" s="236"/>
      <c r="K218" s="236"/>
      <c r="L218" s="230"/>
    </row>
    <row r="219" spans="2:12" ht="15.75" customHeight="1" x14ac:dyDescent="0.3">
      <c r="B219" s="105"/>
      <c r="C219" s="100" t="str">
        <v/>
      </c>
      <c r="D219" s="100" t="str">
        <v/>
      </c>
      <c r="E219" s="102"/>
      <c r="F219" s="100"/>
      <c r="G219" s="102"/>
      <c r="H219" s="102"/>
      <c r="I219" s="323"/>
      <c r="J219" s="236"/>
      <c r="K219" s="236"/>
      <c r="L219" s="230"/>
    </row>
    <row r="220" spans="2:12" ht="14.25" customHeight="1" x14ac:dyDescent="0.3">
      <c r="B220" s="107"/>
      <c r="C220" s="100" t="str">
        <v/>
      </c>
      <c r="D220" s="106" t="str">
        <v/>
      </c>
      <c r="E220" s="102"/>
      <c r="F220" s="100"/>
      <c r="G220" s="106"/>
      <c r="H220" s="106"/>
      <c r="I220" s="323"/>
      <c r="J220" s="236"/>
      <c r="K220" s="236"/>
      <c r="L220" s="230"/>
    </row>
    <row r="221" spans="2:12" ht="14.25" customHeight="1" x14ac:dyDescent="0.3">
      <c r="B221" s="107"/>
      <c r="C221" s="106" t="str">
        <v/>
      </c>
      <c r="D221" s="106" t="str">
        <v/>
      </c>
      <c r="E221" s="106"/>
      <c r="F221" s="106"/>
      <c r="G221" s="106"/>
      <c r="H221" s="106"/>
      <c r="I221" s="323"/>
      <c r="J221" s="236"/>
      <c r="K221" s="236"/>
      <c r="L221" s="230"/>
    </row>
    <row r="222" spans="2:12" ht="14.25" customHeight="1" x14ac:dyDescent="0.3">
      <c r="B222" s="107"/>
      <c r="C222" s="106" t="str">
        <v/>
      </c>
      <c r="D222" s="106" t="str">
        <v/>
      </c>
      <c r="E222" s="106"/>
      <c r="F222" s="106"/>
      <c r="G222" s="106"/>
      <c r="H222" s="106"/>
      <c r="I222" s="323"/>
      <c r="J222" s="236"/>
      <c r="K222" s="236"/>
      <c r="L222" s="230"/>
    </row>
    <row r="223" spans="2:12" ht="14.25" customHeight="1" x14ac:dyDescent="0.3">
      <c r="B223" s="107"/>
      <c r="C223" s="106" t="str">
        <v/>
      </c>
      <c r="D223" s="106" t="str">
        <v/>
      </c>
      <c r="E223" s="106"/>
      <c r="F223" s="106"/>
      <c r="G223" s="106"/>
      <c r="H223" s="106"/>
      <c r="I223" s="323"/>
      <c r="J223" s="236"/>
      <c r="K223" s="236"/>
      <c r="L223" s="230"/>
    </row>
    <row r="224" spans="2:12" ht="14.25" customHeight="1" x14ac:dyDescent="0.3">
      <c r="B224" s="107"/>
      <c r="C224" s="106" t="str">
        <v/>
      </c>
      <c r="D224" s="106" t="str">
        <v/>
      </c>
      <c r="E224" s="106"/>
      <c r="F224" s="106"/>
      <c r="G224" s="106"/>
      <c r="H224" s="106"/>
      <c r="I224" s="323"/>
      <c r="J224" s="236"/>
      <c r="K224" s="236"/>
      <c r="L224" s="230"/>
    </row>
    <row r="225" spans="2:12" ht="14.25" customHeight="1" x14ac:dyDescent="0.3">
      <c r="B225" s="107"/>
      <c r="C225" s="106" t="str">
        <v/>
      </c>
      <c r="D225" s="106" t="str">
        <v/>
      </c>
      <c r="E225" s="106"/>
      <c r="F225" s="106"/>
      <c r="G225" s="106"/>
      <c r="H225" s="106"/>
      <c r="I225" s="323"/>
      <c r="J225" s="236"/>
      <c r="K225" s="236"/>
      <c r="L225" s="230"/>
    </row>
    <row r="226" spans="2:12" ht="14.25" customHeight="1" x14ac:dyDescent="0.3">
      <c r="B226" s="107"/>
      <c r="C226" s="106" t="str">
        <v/>
      </c>
      <c r="D226" s="106" t="str">
        <v/>
      </c>
      <c r="E226" s="106"/>
      <c r="F226" s="106"/>
      <c r="G226" s="106"/>
      <c r="H226" s="106"/>
      <c r="I226" s="323"/>
      <c r="J226" s="236"/>
      <c r="K226" s="236"/>
      <c r="L226" s="230"/>
    </row>
    <row r="227" spans="2:12" ht="14.25" customHeight="1" x14ac:dyDescent="0.3">
      <c r="B227" s="107"/>
      <c r="C227" s="106" t="str">
        <v/>
      </c>
      <c r="D227" s="106" t="str">
        <v/>
      </c>
      <c r="E227" s="106"/>
      <c r="F227" s="106"/>
      <c r="G227" s="106"/>
      <c r="H227" s="106"/>
      <c r="I227" s="323"/>
      <c r="J227" s="236"/>
      <c r="K227" s="236"/>
      <c r="L227" s="230"/>
    </row>
    <row r="228" spans="2:12" ht="14.25" customHeight="1" x14ac:dyDescent="0.3">
      <c r="B228" s="107"/>
      <c r="C228" s="106" t="str">
        <v/>
      </c>
      <c r="D228" s="106" t="str">
        <v/>
      </c>
      <c r="E228" s="106"/>
      <c r="F228" s="106"/>
      <c r="G228" s="106"/>
      <c r="H228" s="106"/>
      <c r="I228" s="323"/>
      <c r="J228" s="236"/>
      <c r="K228" s="236"/>
      <c r="L228" s="230"/>
    </row>
    <row r="229" spans="2:12" ht="14.25" customHeight="1" x14ac:dyDescent="0.3">
      <c r="B229" s="107"/>
      <c r="C229" s="106" t="str">
        <v/>
      </c>
      <c r="D229" s="106" t="str">
        <v/>
      </c>
      <c r="E229" s="106"/>
      <c r="F229" s="106"/>
      <c r="G229" s="106"/>
      <c r="H229" s="106"/>
      <c r="I229" s="323"/>
      <c r="J229" s="236"/>
      <c r="K229" s="236"/>
      <c r="L229" s="230"/>
    </row>
    <row r="230" spans="2:12" ht="14.25" customHeight="1" x14ac:dyDescent="0.3">
      <c r="B230" s="107"/>
      <c r="C230" s="106" t="str">
        <v/>
      </c>
      <c r="D230" s="106" t="str">
        <v/>
      </c>
      <c r="E230" s="106"/>
      <c r="F230" s="106"/>
      <c r="G230" s="106"/>
      <c r="H230" s="106"/>
      <c r="I230" s="323"/>
      <c r="J230" s="236"/>
      <c r="K230" s="236"/>
      <c r="L230" s="230"/>
    </row>
    <row r="231" spans="2:12" ht="14.25" customHeight="1" x14ac:dyDescent="0.3">
      <c r="B231" s="107"/>
      <c r="C231" s="106" t="str">
        <v/>
      </c>
      <c r="D231" s="106" t="str">
        <v/>
      </c>
      <c r="E231" s="106"/>
      <c r="F231" s="106"/>
      <c r="G231" s="106"/>
      <c r="H231" s="106"/>
      <c r="I231" s="323"/>
      <c r="J231" s="236"/>
      <c r="K231" s="236"/>
      <c r="L231" s="230"/>
    </row>
    <row r="232" spans="2:12" ht="14.25" customHeight="1" x14ac:dyDescent="0.3">
      <c r="B232" s="107"/>
      <c r="C232" s="106" t="str">
        <v/>
      </c>
      <c r="D232" s="106" t="str">
        <v/>
      </c>
      <c r="E232" s="106"/>
      <c r="F232" s="106"/>
      <c r="G232" s="106"/>
      <c r="H232" s="106"/>
      <c r="I232" s="323"/>
      <c r="J232" s="236"/>
      <c r="K232" s="236"/>
      <c r="L232" s="230"/>
    </row>
    <row r="233" spans="2:12" ht="14.25" customHeight="1" x14ac:dyDescent="0.3">
      <c r="B233" s="107"/>
      <c r="C233" s="106" t="str">
        <v/>
      </c>
      <c r="D233" s="106" t="str">
        <v/>
      </c>
      <c r="E233" s="106"/>
      <c r="F233" s="106"/>
      <c r="G233" s="106"/>
      <c r="H233" s="106"/>
      <c r="I233" s="323"/>
      <c r="J233" s="236"/>
      <c r="K233" s="236"/>
      <c r="L233" s="230"/>
    </row>
    <row r="234" spans="2:12" ht="14.25" customHeight="1" x14ac:dyDescent="0.3">
      <c r="B234" s="107"/>
      <c r="C234" s="106" t="str">
        <v/>
      </c>
      <c r="D234" s="106" t="str">
        <v/>
      </c>
      <c r="E234" s="106"/>
      <c r="F234" s="106"/>
      <c r="G234" s="106"/>
      <c r="H234" s="106"/>
      <c r="I234" s="323"/>
      <c r="J234" s="236"/>
      <c r="K234" s="236"/>
      <c r="L234" s="230"/>
    </row>
    <row r="235" spans="2:12" ht="14.25" customHeight="1" x14ac:dyDescent="0.3">
      <c r="B235" s="107"/>
      <c r="C235" s="106" t="str">
        <v/>
      </c>
      <c r="D235" s="106" t="str">
        <v/>
      </c>
      <c r="E235" s="106"/>
      <c r="F235" s="106"/>
      <c r="G235" s="106"/>
      <c r="H235" s="106"/>
      <c r="I235" s="323"/>
      <c r="J235" s="236"/>
      <c r="K235" s="236"/>
      <c r="L235" s="230"/>
    </row>
    <row r="236" spans="2:12" ht="14.25" customHeight="1" x14ac:dyDescent="0.3">
      <c r="B236" s="107"/>
      <c r="C236" s="106" t="str">
        <v/>
      </c>
      <c r="D236" s="106" t="str">
        <v/>
      </c>
      <c r="E236" s="106"/>
      <c r="F236" s="106"/>
      <c r="G236" s="106"/>
      <c r="H236" s="106"/>
      <c r="I236" s="323"/>
      <c r="J236" s="236"/>
      <c r="K236" s="236"/>
      <c r="L236" s="230"/>
    </row>
    <row r="237" spans="2:12" ht="14.25" customHeight="1" x14ac:dyDescent="0.3">
      <c r="B237" s="107"/>
      <c r="C237" s="106" t="str">
        <v/>
      </c>
      <c r="D237" s="106" t="str">
        <v/>
      </c>
      <c r="E237" s="106"/>
      <c r="F237" s="106"/>
      <c r="G237" s="106"/>
      <c r="H237" s="106"/>
      <c r="I237" s="323"/>
      <c r="J237" s="236"/>
      <c r="K237" s="236"/>
      <c r="L237" s="230"/>
    </row>
    <row r="238" spans="2:12" ht="14.25" customHeight="1" x14ac:dyDescent="0.3">
      <c r="B238" s="107"/>
      <c r="C238" s="106" t="str">
        <v/>
      </c>
      <c r="D238" s="106" t="str">
        <v/>
      </c>
      <c r="E238" s="106"/>
      <c r="F238" s="106"/>
      <c r="G238" s="106"/>
      <c r="H238" s="106"/>
      <c r="I238" s="323"/>
      <c r="J238" s="236"/>
      <c r="K238" s="236"/>
      <c r="L238" s="230"/>
    </row>
    <row r="239" spans="2:12" ht="14.25" customHeight="1" x14ac:dyDescent="0.3">
      <c r="B239" s="107"/>
      <c r="C239" s="106" t="str">
        <v/>
      </c>
      <c r="D239" s="106" t="str">
        <v/>
      </c>
      <c r="E239" s="106"/>
      <c r="F239" s="106"/>
      <c r="G239" s="106"/>
      <c r="H239" s="106"/>
      <c r="I239" s="323"/>
      <c r="J239" s="236"/>
      <c r="K239" s="236"/>
      <c r="L239" s="230"/>
    </row>
    <row r="240" spans="2:12" ht="14.25" customHeight="1" x14ac:dyDescent="0.3">
      <c r="B240" s="107"/>
      <c r="C240" s="106" t="str">
        <v/>
      </c>
      <c r="D240" s="106" t="str">
        <v/>
      </c>
      <c r="E240" s="106"/>
      <c r="F240" s="106"/>
      <c r="G240" s="106"/>
      <c r="H240" s="106"/>
      <c r="I240" s="323"/>
      <c r="J240" s="236"/>
      <c r="K240" s="236"/>
      <c r="L240" s="230"/>
    </row>
    <row r="241" spans="1:13" ht="14.25" customHeight="1" x14ac:dyDescent="0.3">
      <c r="B241" s="107"/>
      <c r="C241" s="106" t="str">
        <v/>
      </c>
      <c r="D241" s="106" t="str">
        <v/>
      </c>
      <c r="E241" s="106"/>
      <c r="F241" s="106"/>
      <c r="G241" s="106"/>
      <c r="H241" s="106"/>
      <c r="I241" s="323"/>
      <c r="J241" s="236"/>
      <c r="K241" s="236"/>
      <c r="L241" s="230"/>
    </row>
    <row r="242" spans="1:13" ht="14.25" customHeight="1" x14ac:dyDescent="0.3">
      <c r="B242" s="108" t="s">
        <v>73</v>
      </c>
      <c r="C242" s="106">
        <f t="shared" ref="C242:F242" ca="1" si="7">SUM(C212:C241)</f>
        <v>0</v>
      </c>
      <c r="D242" s="106">
        <f t="shared" ca="1" si="7"/>
        <v>0</v>
      </c>
      <c r="E242" s="106">
        <f t="shared" ca="1" si="7"/>
        <v>0</v>
      </c>
      <c r="F242" s="106">
        <f t="shared" ca="1" si="7"/>
        <v>0</v>
      </c>
      <c r="G242" s="106">
        <f t="shared" ref="G242:H242" si="8">SUM(G212:G226)</f>
        <v>0</v>
      </c>
      <c r="H242" s="106">
        <f t="shared" si="8"/>
        <v>0</v>
      </c>
      <c r="I242" s="323"/>
      <c r="J242" s="236"/>
      <c r="K242" s="236"/>
      <c r="L242" s="230"/>
    </row>
    <row r="243" spans="1:13" ht="14.25" customHeight="1" x14ac:dyDescent="0.3">
      <c r="B243" s="109" t="s">
        <v>74</v>
      </c>
    </row>
    <row r="244" spans="1:13" ht="14.25" customHeight="1" x14ac:dyDescent="0.3"/>
    <row r="245" spans="1:13" ht="14.25" customHeight="1" x14ac:dyDescent="0.3">
      <c r="B245" s="314" t="str">
        <f>IF(Settings!$B$6&lt;&gt;0,Settings!$B$6,"")</f>
        <v/>
      </c>
      <c r="C245" s="314"/>
      <c r="D245" s="314"/>
    </row>
    <row r="246" spans="1:13" ht="14.25" customHeight="1" x14ac:dyDescent="0.3">
      <c r="B246" s="316" t="s">
        <v>75</v>
      </c>
      <c r="C246" s="316"/>
      <c r="D246" s="316"/>
    </row>
    <row r="247" spans="1:13" ht="14.25" customHeight="1" x14ac:dyDescent="0.3">
      <c r="G247" s="91" t="s">
        <v>76</v>
      </c>
      <c r="H247" s="314" t="str">
        <f>IF(Settings!$B$8&lt;&gt;0,Settings!$B$8,"")</f>
        <v/>
      </c>
      <c r="I247" s="314"/>
      <c r="J247" s="314"/>
      <c r="K247" s="314"/>
      <c r="L247" s="314"/>
    </row>
    <row r="248" spans="1:13" ht="14.25" customHeight="1" x14ac:dyDescent="0.3">
      <c r="H248" s="315" t="s">
        <v>77</v>
      </c>
      <c r="I248" s="315"/>
      <c r="J248" s="315"/>
      <c r="K248" s="315"/>
      <c r="L248" s="315"/>
    </row>
    <row r="249" spans="1:13" ht="14.25" customHeight="1" x14ac:dyDescent="0.3"/>
    <row r="250" spans="1:13" ht="14.25" customHeight="1" x14ac:dyDescent="0.3"/>
    <row r="251" spans="1:13" ht="14.25" customHeight="1" x14ac:dyDescent="0.3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</row>
    <row r="252" spans="1:13" ht="14.25" customHeight="1" x14ac:dyDescent="0.3"/>
    <row r="253" spans="1:13" ht="14.25" customHeight="1" x14ac:dyDescent="0.3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</row>
    <row r="254" spans="1:13" ht="14.25" customHeight="1" x14ac:dyDescent="0.3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</row>
    <row r="255" spans="1:13" ht="14.25" customHeight="1" x14ac:dyDescent="0.3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</row>
    <row r="256" spans="1:13" ht="14.25" customHeight="1" x14ac:dyDescent="0.3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</row>
    <row r="257" spans="1:13" ht="14.25" customHeight="1" x14ac:dyDescent="0.3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</row>
    <row r="258" spans="1:13" ht="14.25" customHeight="1" x14ac:dyDescent="0.3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</row>
    <row r="259" spans="1:13" ht="14.25" customHeight="1" x14ac:dyDescent="0.3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</row>
    <row r="260" spans="1:13" ht="14.25" customHeight="1" x14ac:dyDescent="0.3">
      <c r="G260" s="67" t="s">
        <v>55</v>
      </c>
    </row>
    <row r="261" spans="1:13" ht="14.25" customHeight="1" x14ac:dyDescent="0.3">
      <c r="E261" s="91" t="s">
        <v>56</v>
      </c>
      <c r="G261" s="314"/>
      <c r="H261" s="314"/>
      <c r="I261" s="93" t="s">
        <v>57</v>
      </c>
      <c r="J261" s="314" t="str">
        <f>IF(Settings!$B$1&lt;&gt;0,Settings!$B$1,"")</f>
        <v/>
      </c>
      <c r="K261" s="314"/>
    </row>
    <row r="262" spans="1:13" ht="14.25" customHeight="1" x14ac:dyDescent="0.3"/>
    <row r="263" spans="1:13" ht="14.25" customHeight="1" x14ac:dyDescent="0.3">
      <c r="B263" s="94" t="s">
        <v>8</v>
      </c>
      <c r="C263" s="95"/>
      <c r="D263" s="96" t="str">
        <f>IF(Settings!$B$5&lt;&gt;0,Settings!$B$5,"")</f>
        <v/>
      </c>
      <c r="E263" s="95"/>
      <c r="F263" s="91" t="s">
        <v>58</v>
      </c>
      <c r="H263" s="324" t="str">
        <f>IF(Settings!$B$7&lt;&gt;0,Settings!$B$7,"")</f>
        <v/>
      </c>
      <c r="I263" s="260"/>
      <c r="J263" s="260"/>
      <c r="K263" s="260"/>
      <c r="L263" s="260"/>
    </row>
    <row r="264" spans="1:13" ht="14.25" customHeight="1" x14ac:dyDescent="0.3"/>
    <row r="265" spans="1:13" ht="14.25" customHeight="1" x14ac:dyDescent="0.3">
      <c r="B265" s="91" t="s">
        <v>59</v>
      </c>
      <c r="C265" s="95"/>
      <c r="D265" s="92" t="str">
        <f>IF(Settings!$B$4&lt;&gt;0,Settings!$B$4,"")</f>
        <v/>
      </c>
      <c r="E265" s="95"/>
      <c r="F265" s="91" t="s">
        <v>4</v>
      </c>
      <c r="G265" s="324" t="str">
        <f>IF(Settings!$H$2&lt;&gt;0,Settings!$H$2,"")</f>
        <v/>
      </c>
      <c r="H265" s="260"/>
      <c r="I265" s="260"/>
      <c r="J265" s="91" t="s">
        <v>5</v>
      </c>
      <c r="K265" s="324" t="str">
        <f>IF(Settings!$H$3&lt;&gt;0,Settings!$H$3,"")</f>
        <v/>
      </c>
      <c r="L265" s="260"/>
    </row>
    <row r="266" spans="1:13" ht="14.25" customHeight="1" x14ac:dyDescent="0.3"/>
    <row r="267" spans="1:13" ht="14.25" customHeight="1" x14ac:dyDescent="0.3">
      <c r="B267" s="91" t="s">
        <v>60</v>
      </c>
      <c r="D267" s="96">
        <f>SUM(H267,L267)</f>
        <v>0</v>
      </c>
      <c r="G267" s="93" t="s">
        <v>61</v>
      </c>
      <c r="H267" s="92">
        <f>H15</f>
        <v>0</v>
      </c>
      <c r="K267" s="93" t="s">
        <v>62</v>
      </c>
      <c r="L267" s="92">
        <f>L15</f>
        <v>0</v>
      </c>
    </row>
    <row r="268" spans="1:13" ht="14.25" customHeight="1" x14ac:dyDescent="0.3"/>
    <row r="269" spans="1:13" ht="14.25" customHeight="1" x14ac:dyDescent="0.3">
      <c r="B269" s="91" t="s">
        <v>63</v>
      </c>
      <c r="D269" s="97" t="e">
        <f ca="1">(E305+G305)/C305</f>
        <v>#DIV/0!</v>
      </c>
      <c r="G269" s="91" t="s">
        <v>64</v>
      </c>
      <c r="K269" s="97" t="e">
        <f ca="1">(F305+H305)/D305</f>
        <v>#DIV/0!</v>
      </c>
    </row>
    <row r="270" spans="1:13" ht="14.25" customHeight="1" x14ac:dyDescent="0.3">
      <c r="B270" s="92"/>
    </row>
    <row r="271" spans="1:13" ht="14.25" customHeight="1" x14ac:dyDescent="0.3">
      <c r="B271" s="325" t="s">
        <v>65</v>
      </c>
      <c r="C271" s="317" t="s">
        <v>66</v>
      </c>
      <c r="D271" s="318"/>
      <c r="E271" s="322" t="s">
        <v>67</v>
      </c>
      <c r="F271" s="236"/>
      <c r="G271" s="236"/>
      <c r="H271" s="230"/>
      <c r="I271" s="328" t="s">
        <v>68</v>
      </c>
      <c r="J271" s="263"/>
      <c r="K271" s="263"/>
      <c r="L271" s="318"/>
    </row>
    <row r="272" spans="1:13" ht="14.25" customHeight="1" x14ac:dyDescent="0.3">
      <c r="B272" s="326"/>
      <c r="C272" s="319"/>
      <c r="D272" s="239"/>
      <c r="E272" s="322" t="s">
        <v>69</v>
      </c>
      <c r="F272" s="230"/>
      <c r="G272" s="322" t="s">
        <v>70</v>
      </c>
      <c r="H272" s="230"/>
      <c r="I272" s="319"/>
      <c r="J272" s="241"/>
      <c r="K272" s="241"/>
      <c r="L272" s="239"/>
    </row>
    <row r="273" spans="2:12" ht="14.25" customHeight="1" x14ac:dyDescent="0.3">
      <c r="B273" s="327"/>
      <c r="C273" s="320"/>
      <c r="D273" s="321"/>
      <c r="E273" s="98"/>
      <c r="F273" s="98"/>
      <c r="G273" s="98"/>
      <c r="H273" s="98"/>
      <c r="I273" s="320"/>
      <c r="J273" s="260"/>
      <c r="K273" s="260"/>
      <c r="L273" s="321"/>
    </row>
    <row r="274" spans="2:12" ht="14.25" customHeight="1" x14ac:dyDescent="0.3">
      <c r="B274" s="107"/>
      <c r="C274" s="100" t="s">
        <v>71</v>
      </c>
      <c r="D274" s="100" t="s">
        <v>72</v>
      </c>
      <c r="E274" s="100" t="s">
        <v>71</v>
      </c>
      <c r="F274" s="100" t="s">
        <v>72</v>
      </c>
      <c r="G274" s="100" t="s">
        <v>71</v>
      </c>
      <c r="H274" s="100" t="s">
        <v>72</v>
      </c>
      <c r="I274" s="323"/>
      <c r="J274" s="236"/>
      <c r="K274" s="236"/>
      <c r="L274" s="230"/>
    </row>
    <row r="275" spans="2:12" ht="15.75" customHeight="1" x14ac:dyDescent="0.3">
      <c r="B275" s="105" t="str">
        <f ca="1">IFERROR(__xludf.DUMMYFUNCTION("ARRAY_CONSTRAIN(
  TRANSPOSE(
    IFERROR(
      FILTER(Attendance!E6:BU6, (Attendance!E6:BU6&lt;&gt;"""") * (MONTH(Attendance!E6:BU6)=4))
    )
  ),
  15, 1
)
"),"")</f>
        <v/>
      </c>
      <c r="C275" s="100" t="str">
        <f t="array" ref="C275:C304" ca="1">IF(B275:B304&lt;&gt;"", COUNTIF(Attendance!B7:B66,"M"), "")</f>
        <v/>
      </c>
      <c r="D275" s="100" t="str">
        <f t="array" ref="D275:D304" ca="1">IF(B275:B304&lt;&gt;"", COUNTIF(Attendance!B7:B66,"F"), "")</f>
        <v/>
      </c>
      <c r="E275" s="103" t="str">
        <f ca="1">IFERROR(__xludf.DUMMYFUNCTION("TRANSPOSE(
  IFERROR(
    FILTER(
      Attendance!E68:BU68,
      (Attendance!E6:BU6&lt;&gt;"""")*(MONTH(Attendance!E6:BU6)=4)
    )
  )
)"),"")</f>
        <v/>
      </c>
      <c r="F275" s="79" t="str">
        <f ca="1">IFERROR(__xludf.DUMMYFUNCTION("TRANSPOSE(
  IFERROR(
    FILTER(
      Attendance!E69:BU69,
      (Attendance!E6:BU6&lt;&gt;"""")*(MONTH(Attendance!E6:BU6)=4)
    )
  )
)"),"")</f>
        <v/>
      </c>
      <c r="G275" s="102"/>
      <c r="H275" s="102"/>
      <c r="I275" s="323"/>
      <c r="J275" s="236"/>
      <c r="K275" s="236"/>
      <c r="L275" s="230"/>
    </row>
    <row r="276" spans="2:12" ht="15.75" customHeight="1" x14ac:dyDescent="0.3">
      <c r="B276" s="105"/>
      <c r="C276" s="100" t="str">
        <v/>
      </c>
      <c r="D276" s="102" t="str">
        <v/>
      </c>
      <c r="E276" s="100"/>
      <c r="F276" s="100"/>
      <c r="G276" s="102"/>
      <c r="H276" s="102"/>
      <c r="I276" s="323"/>
      <c r="J276" s="236"/>
      <c r="K276" s="236"/>
      <c r="L276" s="230"/>
    </row>
    <row r="277" spans="2:12" ht="15.75" customHeight="1" x14ac:dyDescent="0.3">
      <c r="B277" s="105"/>
      <c r="C277" s="100" t="str">
        <v/>
      </c>
      <c r="D277" s="100" t="str">
        <v/>
      </c>
      <c r="E277" s="100"/>
      <c r="F277" s="100"/>
      <c r="G277" s="104"/>
      <c r="H277" s="104"/>
      <c r="I277" s="323"/>
      <c r="J277" s="236"/>
      <c r="K277" s="236"/>
      <c r="L277" s="230"/>
    </row>
    <row r="278" spans="2:12" ht="15.75" customHeight="1" x14ac:dyDescent="0.3">
      <c r="B278" s="105"/>
      <c r="C278" s="100" t="str">
        <v/>
      </c>
      <c r="D278" s="100" t="str">
        <v/>
      </c>
      <c r="E278" s="100"/>
      <c r="F278" s="100"/>
      <c r="G278" s="102"/>
      <c r="H278" s="102"/>
      <c r="I278" s="323"/>
      <c r="J278" s="236"/>
      <c r="K278" s="236"/>
      <c r="L278" s="230"/>
    </row>
    <row r="279" spans="2:12" ht="15.75" customHeight="1" x14ac:dyDescent="0.3">
      <c r="B279" s="105"/>
      <c r="C279" s="100" t="str">
        <v/>
      </c>
      <c r="D279" s="100" t="str">
        <v/>
      </c>
      <c r="E279" s="100"/>
      <c r="F279" s="100"/>
      <c r="G279" s="102"/>
      <c r="H279" s="102"/>
      <c r="I279" s="323"/>
      <c r="J279" s="236"/>
      <c r="K279" s="236"/>
      <c r="L279" s="230"/>
    </row>
    <row r="280" spans="2:12" ht="15.75" customHeight="1" x14ac:dyDescent="0.3">
      <c r="B280" s="105"/>
      <c r="C280" s="100" t="str">
        <v/>
      </c>
      <c r="D280" s="100" t="str">
        <v/>
      </c>
      <c r="E280" s="106"/>
      <c r="F280" s="106"/>
      <c r="G280" s="102"/>
      <c r="H280" s="102"/>
      <c r="I280" s="323"/>
      <c r="J280" s="236"/>
      <c r="K280" s="236"/>
      <c r="L280" s="230"/>
    </row>
    <row r="281" spans="2:12" ht="15.75" customHeight="1" x14ac:dyDescent="0.3">
      <c r="B281" s="105"/>
      <c r="C281" s="100" t="str">
        <v/>
      </c>
      <c r="D281" s="100" t="str">
        <v/>
      </c>
      <c r="E281" s="106"/>
      <c r="F281" s="106"/>
      <c r="G281" s="102"/>
      <c r="H281" s="102"/>
      <c r="I281" s="323"/>
      <c r="J281" s="236"/>
      <c r="K281" s="236"/>
      <c r="L281" s="230"/>
    </row>
    <row r="282" spans="2:12" ht="15.75" customHeight="1" x14ac:dyDescent="0.3">
      <c r="B282" s="105"/>
      <c r="C282" s="100" t="str">
        <v/>
      </c>
      <c r="D282" s="100" t="str">
        <v/>
      </c>
      <c r="E282" s="106"/>
      <c r="F282" s="106"/>
      <c r="G282" s="102"/>
      <c r="H282" s="102"/>
      <c r="I282" s="323"/>
      <c r="J282" s="236"/>
      <c r="K282" s="236"/>
      <c r="L282" s="230"/>
    </row>
    <row r="283" spans="2:12" ht="14.25" customHeight="1" x14ac:dyDescent="0.3">
      <c r="B283" s="107"/>
      <c r="C283" s="100" t="str">
        <v/>
      </c>
      <c r="D283" s="106" t="str">
        <v/>
      </c>
      <c r="E283" s="106"/>
      <c r="F283" s="106"/>
      <c r="G283" s="106"/>
      <c r="H283" s="106"/>
      <c r="I283" s="323"/>
      <c r="J283" s="236"/>
      <c r="K283" s="236"/>
      <c r="L283" s="230"/>
    </row>
    <row r="284" spans="2:12" ht="14.25" customHeight="1" x14ac:dyDescent="0.3">
      <c r="B284" s="107"/>
      <c r="C284" s="106" t="str">
        <v/>
      </c>
      <c r="D284" s="106" t="str">
        <v/>
      </c>
      <c r="E284" s="106"/>
      <c r="F284" s="106"/>
      <c r="G284" s="106"/>
      <c r="H284" s="106"/>
      <c r="I284" s="323"/>
      <c r="J284" s="236"/>
      <c r="K284" s="236"/>
      <c r="L284" s="230"/>
    </row>
    <row r="285" spans="2:12" ht="14.25" customHeight="1" x14ac:dyDescent="0.3">
      <c r="B285" s="107"/>
      <c r="C285" s="106" t="str">
        <v/>
      </c>
      <c r="D285" s="106" t="str">
        <v/>
      </c>
      <c r="E285" s="106"/>
      <c r="F285" s="106"/>
      <c r="G285" s="106"/>
      <c r="H285" s="106"/>
      <c r="I285" s="323"/>
      <c r="J285" s="236"/>
      <c r="K285" s="236"/>
      <c r="L285" s="230"/>
    </row>
    <row r="286" spans="2:12" ht="14.25" customHeight="1" x14ac:dyDescent="0.3">
      <c r="B286" s="107"/>
      <c r="C286" s="106" t="str">
        <v/>
      </c>
      <c r="D286" s="106" t="str">
        <v/>
      </c>
      <c r="E286" s="106"/>
      <c r="F286" s="106"/>
      <c r="G286" s="106"/>
      <c r="H286" s="106"/>
      <c r="I286" s="323"/>
      <c r="J286" s="236"/>
      <c r="K286" s="236"/>
      <c r="L286" s="230"/>
    </row>
    <row r="287" spans="2:12" ht="14.25" customHeight="1" x14ac:dyDescent="0.3">
      <c r="B287" s="107"/>
      <c r="C287" s="106" t="str">
        <v/>
      </c>
      <c r="D287" s="106" t="str">
        <v/>
      </c>
      <c r="E287" s="106"/>
      <c r="F287" s="106"/>
      <c r="G287" s="106"/>
      <c r="H287" s="106"/>
      <c r="I287" s="323"/>
      <c r="J287" s="236"/>
      <c r="K287" s="236"/>
      <c r="L287" s="230"/>
    </row>
    <row r="288" spans="2:12" ht="14.25" customHeight="1" x14ac:dyDescent="0.3">
      <c r="B288" s="107"/>
      <c r="C288" s="106" t="str">
        <v/>
      </c>
      <c r="D288" s="106" t="str">
        <v/>
      </c>
      <c r="E288" s="106"/>
      <c r="F288" s="106"/>
      <c r="G288" s="106"/>
      <c r="H288" s="106"/>
      <c r="I288" s="323"/>
      <c r="J288" s="236"/>
      <c r="K288" s="236"/>
      <c r="L288" s="230"/>
    </row>
    <row r="289" spans="2:12" ht="14.25" customHeight="1" x14ac:dyDescent="0.3">
      <c r="B289" s="107"/>
      <c r="C289" s="106" t="str">
        <v/>
      </c>
      <c r="D289" s="106" t="str">
        <v/>
      </c>
      <c r="E289" s="106"/>
      <c r="F289" s="106"/>
      <c r="G289" s="106"/>
      <c r="H289" s="106"/>
      <c r="I289" s="323"/>
      <c r="J289" s="236"/>
      <c r="K289" s="236"/>
      <c r="L289" s="230"/>
    </row>
    <row r="290" spans="2:12" ht="14.25" customHeight="1" x14ac:dyDescent="0.3">
      <c r="B290" s="107"/>
      <c r="C290" s="106" t="str">
        <v/>
      </c>
      <c r="D290" s="106" t="str">
        <v/>
      </c>
      <c r="E290" s="106"/>
      <c r="F290" s="106"/>
      <c r="G290" s="106"/>
      <c r="H290" s="106"/>
      <c r="I290" s="323"/>
      <c r="J290" s="236"/>
      <c r="K290" s="236"/>
      <c r="L290" s="230"/>
    </row>
    <row r="291" spans="2:12" ht="14.25" customHeight="1" x14ac:dyDescent="0.3">
      <c r="B291" s="107"/>
      <c r="C291" s="106" t="str">
        <v/>
      </c>
      <c r="D291" s="106" t="str">
        <v/>
      </c>
      <c r="E291" s="106"/>
      <c r="F291" s="106"/>
      <c r="G291" s="106"/>
      <c r="H291" s="106"/>
      <c r="I291" s="323"/>
      <c r="J291" s="236"/>
      <c r="K291" s="236"/>
      <c r="L291" s="230"/>
    </row>
    <row r="292" spans="2:12" ht="14.25" customHeight="1" x14ac:dyDescent="0.3">
      <c r="B292" s="107"/>
      <c r="C292" s="106" t="str">
        <v/>
      </c>
      <c r="D292" s="106" t="str">
        <v/>
      </c>
      <c r="E292" s="106"/>
      <c r="F292" s="106"/>
      <c r="G292" s="106"/>
      <c r="H292" s="106"/>
      <c r="I292" s="323"/>
      <c r="J292" s="236"/>
      <c r="K292" s="236"/>
      <c r="L292" s="230"/>
    </row>
    <row r="293" spans="2:12" ht="14.25" customHeight="1" x14ac:dyDescent="0.3">
      <c r="B293" s="107"/>
      <c r="C293" s="106" t="str">
        <v/>
      </c>
      <c r="D293" s="106" t="str">
        <v/>
      </c>
      <c r="E293" s="106"/>
      <c r="F293" s="106"/>
      <c r="G293" s="106"/>
      <c r="H293" s="106"/>
      <c r="I293" s="323"/>
      <c r="J293" s="236"/>
      <c r="K293" s="236"/>
      <c r="L293" s="230"/>
    </row>
    <row r="294" spans="2:12" ht="14.25" customHeight="1" x14ac:dyDescent="0.3">
      <c r="B294" s="107"/>
      <c r="C294" s="106" t="str">
        <v/>
      </c>
      <c r="D294" s="106" t="str">
        <v/>
      </c>
      <c r="E294" s="106"/>
      <c r="F294" s="106"/>
      <c r="G294" s="106"/>
      <c r="H294" s="106"/>
      <c r="I294" s="323"/>
      <c r="J294" s="236"/>
      <c r="K294" s="236"/>
      <c r="L294" s="230"/>
    </row>
    <row r="295" spans="2:12" ht="14.25" customHeight="1" x14ac:dyDescent="0.3">
      <c r="B295" s="107"/>
      <c r="C295" s="106" t="str">
        <v/>
      </c>
      <c r="D295" s="106" t="str">
        <v/>
      </c>
      <c r="E295" s="106"/>
      <c r="F295" s="106"/>
      <c r="G295" s="106"/>
      <c r="H295" s="106"/>
      <c r="I295" s="323"/>
      <c r="J295" s="236"/>
      <c r="K295" s="236"/>
      <c r="L295" s="230"/>
    </row>
    <row r="296" spans="2:12" ht="14.25" customHeight="1" x14ac:dyDescent="0.3">
      <c r="B296" s="107"/>
      <c r="C296" s="106" t="str">
        <v/>
      </c>
      <c r="D296" s="106" t="str">
        <v/>
      </c>
      <c r="E296" s="106"/>
      <c r="F296" s="106"/>
      <c r="G296" s="106"/>
      <c r="H296" s="106"/>
      <c r="I296" s="323"/>
      <c r="J296" s="236"/>
      <c r="K296" s="236"/>
      <c r="L296" s="230"/>
    </row>
    <row r="297" spans="2:12" ht="14.25" customHeight="1" x14ac:dyDescent="0.3">
      <c r="B297" s="107"/>
      <c r="C297" s="106" t="str">
        <v/>
      </c>
      <c r="D297" s="106" t="str">
        <v/>
      </c>
      <c r="E297" s="106"/>
      <c r="F297" s="106"/>
      <c r="G297" s="106"/>
      <c r="H297" s="106"/>
      <c r="I297" s="323"/>
      <c r="J297" s="236"/>
      <c r="K297" s="236"/>
      <c r="L297" s="230"/>
    </row>
    <row r="298" spans="2:12" ht="14.25" customHeight="1" x14ac:dyDescent="0.3">
      <c r="B298" s="107"/>
      <c r="C298" s="106" t="str">
        <v/>
      </c>
      <c r="D298" s="106" t="str">
        <v/>
      </c>
      <c r="E298" s="106"/>
      <c r="F298" s="106"/>
      <c r="G298" s="106"/>
      <c r="H298" s="106"/>
      <c r="I298" s="323"/>
      <c r="J298" s="236"/>
      <c r="K298" s="236"/>
      <c r="L298" s="230"/>
    </row>
    <row r="299" spans="2:12" ht="14.25" customHeight="1" x14ac:dyDescent="0.3">
      <c r="B299" s="107"/>
      <c r="C299" s="106" t="str">
        <v/>
      </c>
      <c r="D299" s="106" t="str">
        <v/>
      </c>
      <c r="E299" s="106"/>
      <c r="F299" s="106"/>
      <c r="G299" s="106"/>
      <c r="H299" s="106"/>
      <c r="I299" s="323"/>
      <c r="J299" s="236"/>
      <c r="K299" s="236"/>
      <c r="L299" s="230"/>
    </row>
    <row r="300" spans="2:12" ht="14.25" customHeight="1" x14ac:dyDescent="0.3">
      <c r="B300" s="107"/>
      <c r="C300" s="106" t="str">
        <v/>
      </c>
      <c r="D300" s="106" t="str">
        <v/>
      </c>
      <c r="E300" s="106"/>
      <c r="F300" s="106"/>
      <c r="G300" s="106"/>
      <c r="H300" s="106"/>
      <c r="I300" s="323"/>
      <c r="J300" s="236"/>
      <c r="K300" s="236"/>
      <c r="L300" s="230"/>
    </row>
    <row r="301" spans="2:12" ht="14.25" customHeight="1" x14ac:dyDescent="0.3">
      <c r="B301" s="107"/>
      <c r="C301" s="106" t="str">
        <v/>
      </c>
      <c r="D301" s="106" t="str">
        <v/>
      </c>
      <c r="E301" s="106"/>
      <c r="F301" s="106"/>
      <c r="G301" s="106"/>
      <c r="H301" s="106"/>
      <c r="I301" s="323"/>
      <c r="J301" s="236"/>
      <c r="K301" s="236"/>
      <c r="L301" s="230"/>
    </row>
    <row r="302" spans="2:12" ht="14.25" customHeight="1" x14ac:dyDescent="0.3">
      <c r="B302" s="107"/>
      <c r="C302" s="106" t="str">
        <v/>
      </c>
      <c r="D302" s="106" t="str">
        <v/>
      </c>
      <c r="E302" s="106"/>
      <c r="F302" s="106"/>
      <c r="G302" s="106"/>
      <c r="H302" s="106"/>
      <c r="I302" s="323"/>
      <c r="J302" s="236"/>
      <c r="K302" s="236"/>
      <c r="L302" s="230"/>
    </row>
    <row r="303" spans="2:12" ht="14.25" customHeight="1" x14ac:dyDescent="0.3">
      <c r="B303" s="107"/>
      <c r="C303" s="106" t="str">
        <v/>
      </c>
      <c r="D303" s="106" t="str">
        <v/>
      </c>
      <c r="E303" s="106"/>
      <c r="F303" s="106"/>
      <c r="G303" s="106"/>
      <c r="H303" s="106"/>
      <c r="I303" s="323"/>
      <c r="J303" s="236"/>
      <c r="K303" s="236"/>
      <c r="L303" s="230"/>
    </row>
    <row r="304" spans="2:12" ht="14.25" customHeight="1" x14ac:dyDescent="0.3">
      <c r="B304" s="107"/>
      <c r="C304" s="106" t="str">
        <v/>
      </c>
      <c r="D304" s="106" t="str">
        <v/>
      </c>
      <c r="E304" s="106"/>
      <c r="F304" s="106"/>
      <c r="G304" s="106"/>
      <c r="H304" s="106"/>
      <c r="I304" s="323"/>
      <c r="J304" s="236"/>
      <c r="K304" s="236"/>
      <c r="L304" s="230"/>
    </row>
    <row r="305" spans="1:13" ht="14.25" customHeight="1" x14ac:dyDescent="0.3">
      <c r="B305" s="108" t="s">
        <v>73</v>
      </c>
      <c r="C305" s="106">
        <f t="shared" ref="C305:F305" ca="1" si="9">SUM(C275:C304)</f>
        <v>0</v>
      </c>
      <c r="D305" s="106">
        <f t="shared" ca="1" si="9"/>
        <v>0</v>
      </c>
      <c r="E305" s="106">
        <f t="shared" ca="1" si="9"/>
        <v>0</v>
      </c>
      <c r="F305" s="106">
        <f t="shared" ca="1" si="9"/>
        <v>0</v>
      </c>
      <c r="G305" s="106">
        <f t="shared" ref="G305:H305" si="10">SUM(G275:G289)</f>
        <v>0</v>
      </c>
      <c r="H305" s="106">
        <f t="shared" si="10"/>
        <v>0</v>
      </c>
      <c r="I305" s="323"/>
      <c r="J305" s="236"/>
      <c r="K305" s="236"/>
      <c r="L305" s="230"/>
    </row>
    <row r="306" spans="1:13" ht="14.25" customHeight="1" x14ac:dyDescent="0.3">
      <c r="B306" s="109" t="s">
        <v>74</v>
      </c>
    </row>
    <row r="307" spans="1:13" ht="14.25" customHeight="1" x14ac:dyDescent="0.3"/>
    <row r="308" spans="1:13" ht="14.25" customHeight="1" x14ac:dyDescent="0.3">
      <c r="B308" s="314" t="str">
        <f>IF(Settings!$B$6&lt;&gt;0,Settings!$B$6,"")</f>
        <v/>
      </c>
      <c r="C308" s="314"/>
      <c r="D308" s="314"/>
    </row>
    <row r="309" spans="1:13" ht="14.25" customHeight="1" x14ac:dyDescent="0.3">
      <c r="B309" s="316" t="s">
        <v>75</v>
      </c>
      <c r="C309" s="316"/>
      <c r="D309" s="316"/>
    </row>
    <row r="310" spans="1:13" ht="14.25" customHeight="1" x14ac:dyDescent="0.3">
      <c r="G310" s="91" t="s">
        <v>76</v>
      </c>
      <c r="H310" s="314" t="str">
        <f>IF(Settings!$B$8&lt;&gt;0,Settings!$B$8,"")</f>
        <v/>
      </c>
      <c r="I310" s="314"/>
      <c r="J310" s="314"/>
      <c r="K310" s="314"/>
      <c r="L310" s="314"/>
    </row>
    <row r="311" spans="1:13" ht="14.25" customHeight="1" x14ac:dyDescent="0.3">
      <c r="H311" s="315" t="s">
        <v>77</v>
      </c>
      <c r="I311" s="315"/>
      <c r="J311" s="315"/>
      <c r="K311" s="315"/>
      <c r="L311" s="315"/>
    </row>
    <row r="312" spans="1:13" ht="14.25" customHeight="1" x14ac:dyDescent="0.3"/>
    <row r="313" spans="1:13" ht="14.25" customHeight="1" x14ac:dyDescent="0.3"/>
    <row r="314" spans="1:13" ht="14.25" customHeight="1" x14ac:dyDescent="0.3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</row>
    <row r="315" spans="1:13" ht="14.25" customHeight="1" x14ac:dyDescent="0.3"/>
    <row r="316" spans="1:13" ht="14.25" customHeight="1" x14ac:dyDescent="0.3"/>
    <row r="317" spans="1:13" ht="14.25" customHeight="1" x14ac:dyDescent="0.3"/>
    <row r="318" spans="1:13" ht="14.25" customHeight="1" x14ac:dyDescent="0.3"/>
    <row r="319" spans="1:13" ht="14.25" customHeight="1" x14ac:dyDescent="0.3"/>
    <row r="320" spans="1:13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235">
    <mergeCell ref="G261:H261"/>
    <mergeCell ref="J261:K261"/>
    <mergeCell ref="E272:F272"/>
    <mergeCell ref="G272:H272"/>
    <mergeCell ref="H263:L263"/>
    <mergeCell ref="G265:I265"/>
    <mergeCell ref="K265:L265"/>
    <mergeCell ref="B271:B273"/>
    <mergeCell ref="C271:D273"/>
    <mergeCell ref="E271:H271"/>
    <mergeCell ref="I271:L273"/>
    <mergeCell ref="I303:L303"/>
    <mergeCell ref="I304:L304"/>
    <mergeCell ref="I305:L305"/>
    <mergeCell ref="I295:L295"/>
    <mergeCell ref="I296:L296"/>
    <mergeCell ref="I297:L297"/>
    <mergeCell ref="I298:L298"/>
    <mergeCell ref="I299:L299"/>
    <mergeCell ref="I300:L300"/>
    <mergeCell ref="I301:L301"/>
    <mergeCell ref="I302:L302"/>
    <mergeCell ref="I224:L224"/>
    <mergeCell ref="I225:L225"/>
    <mergeCell ref="I226:L226"/>
    <mergeCell ref="I227:L227"/>
    <mergeCell ref="I228:L228"/>
    <mergeCell ref="I229:L229"/>
    <mergeCell ref="I230:L230"/>
    <mergeCell ref="I231:L231"/>
    <mergeCell ref="I232:L232"/>
    <mergeCell ref="I233:L233"/>
    <mergeCell ref="I234:L234"/>
    <mergeCell ref="I235:L235"/>
    <mergeCell ref="I236:L236"/>
    <mergeCell ref="I237:L237"/>
    <mergeCell ref="I238:L238"/>
    <mergeCell ref="I239:L239"/>
    <mergeCell ref="I240:L240"/>
    <mergeCell ref="I241:L241"/>
    <mergeCell ref="I242:L242"/>
    <mergeCell ref="I274:L274"/>
    <mergeCell ref="I275:L275"/>
    <mergeCell ref="I276:L276"/>
    <mergeCell ref="I277:L277"/>
    <mergeCell ref="I222:L222"/>
    <mergeCell ref="I223:L223"/>
    <mergeCell ref="I288:L288"/>
    <mergeCell ref="I289:L289"/>
    <mergeCell ref="I290:L290"/>
    <mergeCell ref="I291:L291"/>
    <mergeCell ref="I292:L292"/>
    <mergeCell ref="I293:L293"/>
    <mergeCell ref="I294:L294"/>
    <mergeCell ref="I278:L278"/>
    <mergeCell ref="I279:L279"/>
    <mergeCell ref="I280:L280"/>
    <mergeCell ref="I281:L281"/>
    <mergeCell ref="I282:L282"/>
    <mergeCell ref="I283:L283"/>
    <mergeCell ref="I284:L284"/>
    <mergeCell ref="I285:L285"/>
    <mergeCell ref="I286:L286"/>
    <mergeCell ref="I287:L287"/>
    <mergeCell ref="I213:L213"/>
    <mergeCell ref="I214:L214"/>
    <mergeCell ref="I215:L215"/>
    <mergeCell ref="I216:L216"/>
    <mergeCell ref="I217:L217"/>
    <mergeCell ref="I218:L218"/>
    <mergeCell ref="I219:L219"/>
    <mergeCell ref="I220:L220"/>
    <mergeCell ref="I221:L221"/>
    <mergeCell ref="I171:L171"/>
    <mergeCell ref="I172:L172"/>
    <mergeCell ref="I173:L173"/>
    <mergeCell ref="I174:L174"/>
    <mergeCell ref="I175:L175"/>
    <mergeCell ref="I176:L176"/>
    <mergeCell ref="I177:L177"/>
    <mergeCell ref="I178:L178"/>
    <mergeCell ref="I179:L179"/>
    <mergeCell ref="I162:L162"/>
    <mergeCell ref="I163:L163"/>
    <mergeCell ref="I164:L164"/>
    <mergeCell ref="I165:L165"/>
    <mergeCell ref="I166:L166"/>
    <mergeCell ref="I167:L167"/>
    <mergeCell ref="I168:L168"/>
    <mergeCell ref="I169:L169"/>
    <mergeCell ref="I170:L170"/>
    <mergeCell ref="I153:L153"/>
    <mergeCell ref="I154:L154"/>
    <mergeCell ref="I155:L155"/>
    <mergeCell ref="I156:L156"/>
    <mergeCell ref="I157:L157"/>
    <mergeCell ref="I158:L158"/>
    <mergeCell ref="I159:L159"/>
    <mergeCell ref="I160:L160"/>
    <mergeCell ref="I161:L161"/>
    <mergeCell ref="B145:B147"/>
    <mergeCell ref="C145:D147"/>
    <mergeCell ref="E145:H145"/>
    <mergeCell ref="I145:L147"/>
    <mergeCell ref="I148:L148"/>
    <mergeCell ref="I149:L149"/>
    <mergeCell ref="I150:L150"/>
    <mergeCell ref="I151:L151"/>
    <mergeCell ref="I152:L152"/>
    <mergeCell ref="I115:L115"/>
    <mergeCell ref="I116:L116"/>
    <mergeCell ref="G135:H135"/>
    <mergeCell ref="J135:K135"/>
    <mergeCell ref="E146:F146"/>
    <mergeCell ref="G146:H146"/>
    <mergeCell ref="H137:L137"/>
    <mergeCell ref="G139:I139"/>
    <mergeCell ref="K139:L139"/>
    <mergeCell ref="I106:L106"/>
    <mergeCell ref="I107:L107"/>
    <mergeCell ref="I108:L108"/>
    <mergeCell ref="I109:L109"/>
    <mergeCell ref="I110:L110"/>
    <mergeCell ref="I111:L111"/>
    <mergeCell ref="I112:L112"/>
    <mergeCell ref="I113:L113"/>
    <mergeCell ref="I114:L114"/>
    <mergeCell ref="I97:L97"/>
    <mergeCell ref="I98:L98"/>
    <mergeCell ref="I99:L99"/>
    <mergeCell ref="I100:L100"/>
    <mergeCell ref="I101:L101"/>
    <mergeCell ref="I102:L102"/>
    <mergeCell ref="I103:L103"/>
    <mergeCell ref="I104:L104"/>
    <mergeCell ref="I105:L105"/>
    <mergeCell ref="I46:L46"/>
    <mergeCell ref="I47:L47"/>
    <mergeCell ref="I48:L48"/>
    <mergeCell ref="I49:L49"/>
    <mergeCell ref="I50:L50"/>
    <mergeCell ref="I51:L51"/>
    <mergeCell ref="I52:L52"/>
    <mergeCell ref="I82:L84"/>
    <mergeCell ref="I85:L85"/>
    <mergeCell ref="I37:L37"/>
    <mergeCell ref="I38:L38"/>
    <mergeCell ref="I39:L39"/>
    <mergeCell ref="I40:L40"/>
    <mergeCell ref="I41:L41"/>
    <mergeCell ref="I42:L42"/>
    <mergeCell ref="I43:L43"/>
    <mergeCell ref="I44:L44"/>
    <mergeCell ref="I45:L45"/>
    <mergeCell ref="I28:L28"/>
    <mergeCell ref="I29:L29"/>
    <mergeCell ref="I30:L30"/>
    <mergeCell ref="I31:L31"/>
    <mergeCell ref="I32:L32"/>
    <mergeCell ref="I33:L33"/>
    <mergeCell ref="I34:L34"/>
    <mergeCell ref="I35:L35"/>
    <mergeCell ref="I36:L36"/>
    <mergeCell ref="I53:L53"/>
    <mergeCell ref="G72:H72"/>
    <mergeCell ref="J72:K72"/>
    <mergeCell ref="H74:L74"/>
    <mergeCell ref="G76:I76"/>
    <mergeCell ref="K76:L76"/>
    <mergeCell ref="B82:B84"/>
    <mergeCell ref="G9:H9"/>
    <mergeCell ref="J9:K9"/>
    <mergeCell ref="H11:L11"/>
    <mergeCell ref="G13:I13"/>
    <mergeCell ref="K13:L13"/>
    <mergeCell ref="B19:B21"/>
    <mergeCell ref="C19:D21"/>
    <mergeCell ref="E19:H19"/>
    <mergeCell ref="I19:L21"/>
    <mergeCell ref="E20:F20"/>
    <mergeCell ref="G20:H20"/>
    <mergeCell ref="I22:L22"/>
    <mergeCell ref="I23:L23"/>
    <mergeCell ref="I24:L24"/>
    <mergeCell ref="I25:L25"/>
    <mergeCell ref="I26:L26"/>
    <mergeCell ref="I27:L27"/>
    <mergeCell ref="B119:D119"/>
    <mergeCell ref="B120:D120"/>
    <mergeCell ref="H122:L122"/>
    <mergeCell ref="H121:L121"/>
    <mergeCell ref="H59:L59"/>
    <mergeCell ref="H58:L58"/>
    <mergeCell ref="B56:D56"/>
    <mergeCell ref="B57:D57"/>
    <mergeCell ref="B182:D182"/>
    <mergeCell ref="C82:D84"/>
    <mergeCell ref="E82:H82"/>
    <mergeCell ref="E83:F83"/>
    <mergeCell ref="G83:H83"/>
    <mergeCell ref="I86:L86"/>
    <mergeCell ref="I87:L87"/>
    <mergeCell ref="I88:L88"/>
    <mergeCell ref="I89:L89"/>
    <mergeCell ref="I90:L90"/>
    <mergeCell ref="I91:L91"/>
    <mergeCell ref="I92:L92"/>
    <mergeCell ref="I93:L93"/>
    <mergeCell ref="I94:L94"/>
    <mergeCell ref="I95:L95"/>
    <mergeCell ref="I96:L96"/>
    <mergeCell ref="H310:L310"/>
    <mergeCell ref="H311:L311"/>
    <mergeCell ref="B183:D183"/>
    <mergeCell ref="H184:L184"/>
    <mergeCell ref="H185:L185"/>
    <mergeCell ref="H247:L247"/>
    <mergeCell ref="H248:L248"/>
    <mergeCell ref="B246:D246"/>
    <mergeCell ref="B245:D245"/>
    <mergeCell ref="B308:D308"/>
    <mergeCell ref="B309:D309"/>
    <mergeCell ref="G198:H198"/>
    <mergeCell ref="J198:K198"/>
    <mergeCell ref="H200:L200"/>
    <mergeCell ref="G202:I202"/>
    <mergeCell ref="K202:L202"/>
    <mergeCell ref="B208:B210"/>
    <mergeCell ref="C208:D210"/>
    <mergeCell ref="E208:H208"/>
    <mergeCell ref="E209:F209"/>
    <mergeCell ref="G209:H209"/>
    <mergeCell ref="I208:L210"/>
    <mergeCell ref="I211:L211"/>
    <mergeCell ref="I212:L212"/>
  </mergeCells>
  <pageMargins left="0.7" right="0.7" top="0.75" bottom="0.75" header="0" footer="0"/>
  <pageSetup paperSize="14" orientation="portrait"/>
  <rowBreaks count="4" manualBreakCount="4">
    <brk id="251" man="1"/>
    <brk id="188" man="1"/>
    <brk id="125" man="1"/>
    <brk id="62" man="1"/>
  </rowBreaks>
  <colBreaks count="1" manualBreakCount="1">
    <brk id="13" man="1"/>
  </col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1000"/>
  <sheetViews>
    <sheetView workbookViewId="0">
      <selection activeCell="H25" sqref="H25"/>
    </sheetView>
  </sheetViews>
  <sheetFormatPr defaultColWidth="14.44140625" defaultRowHeight="15" customHeight="1" x14ac:dyDescent="0.3"/>
  <cols>
    <col min="1" max="26" width="8" customWidth="1"/>
  </cols>
  <sheetData>
    <row r="1" spans="1:2" ht="14.25" customHeight="1" x14ac:dyDescent="0.3">
      <c r="A1" s="110">
        <v>100</v>
      </c>
      <c r="B1" s="111">
        <v>0.6</v>
      </c>
    </row>
    <row r="2" spans="1:2" ht="14.25" customHeight="1" x14ac:dyDescent="0.3">
      <c r="A2" s="62">
        <v>0</v>
      </c>
      <c r="B2" s="112">
        <v>5</v>
      </c>
    </row>
    <row r="3" spans="1:2" ht="14.25" customHeight="1" x14ac:dyDescent="0.3">
      <c r="A3" s="62">
        <v>1</v>
      </c>
      <c r="B3" s="112">
        <v>4</v>
      </c>
    </row>
    <row r="4" spans="1:2" ht="14.25" customHeight="1" x14ac:dyDescent="0.3">
      <c r="A4" s="62">
        <v>2</v>
      </c>
      <c r="B4" s="112">
        <v>4</v>
      </c>
    </row>
    <row r="5" spans="1:2" ht="14.25" customHeight="1" x14ac:dyDescent="0.3">
      <c r="A5" s="62">
        <v>3</v>
      </c>
      <c r="B5" s="112">
        <v>4</v>
      </c>
    </row>
    <row r="6" spans="1:2" ht="14.25" customHeight="1" x14ac:dyDescent="0.3">
      <c r="A6" s="62">
        <v>4</v>
      </c>
      <c r="B6" s="112">
        <v>4</v>
      </c>
    </row>
    <row r="7" spans="1:2" ht="14.25" customHeight="1" x14ac:dyDescent="0.3">
      <c r="A7" s="62">
        <v>5</v>
      </c>
      <c r="B7" s="112">
        <v>4</v>
      </c>
    </row>
    <row r="8" spans="1:2" ht="14.25" customHeight="1" x14ac:dyDescent="0.3">
      <c r="A8" s="62">
        <v>6</v>
      </c>
      <c r="B8" s="112">
        <v>3.9</v>
      </c>
    </row>
    <row r="9" spans="1:2" ht="14.25" customHeight="1" x14ac:dyDescent="0.3">
      <c r="A9" s="62">
        <v>7</v>
      </c>
      <c r="B9" s="112">
        <v>3.9</v>
      </c>
    </row>
    <row r="10" spans="1:2" ht="14.25" customHeight="1" x14ac:dyDescent="0.3">
      <c r="A10" s="62">
        <v>8</v>
      </c>
      <c r="B10" s="112">
        <v>3.9</v>
      </c>
    </row>
    <row r="11" spans="1:2" ht="14.25" customHeight="1" x14ac:dyDescent="0.3">
      <c r="A11" s="62">
        <v>9</v>
      </c>
      <c r="B11" s="112">
        <v>3.9</v>
      </c>
    </row>
    <row r="12" spans="1:2" ht="14.25" customHeight="1" x14ac:dyDescent="0.3">
      <c r="A12" s="62">
        <v>10</v>
      </c>
      <c r="B12" s="112">
        <v>3.9</v>
      </c>
    </row>
    <row r="13" spans="1:2" ht="14.25" customHeight="1" x14ac:dyDescent="0.3">
      <c r="A13" s="62">
        <v>11</v>
      </c>
      <c r="B13" s="112">
        <v>3.9</v>
      </c>
    </row>
    <row r="14" spans="1:2" ht="14.25" customHeight="1" x14ac:dyDescent="0.3">
      <c r="A14" s="62">
        <v>12</v>
      </c>
      <c r="B14" s="112">
        <v>3.8</v>
      </c>
    </row>
    <row r="15" spans="1:2" ht="14.25" customHeight="1" x14ac:dyDescent="0.3">
      <c r="A15" s="62">
        <v>13</v>
      </c>
      <c r="B15" s="112">
        <v>3.8</v>
      </c>
    </row>
    <row r="16" spans="1:2" ht="14.25" customHeight="1" x14ac:dyDescent="0.3">
      <c r="A16" s="62">
        <v>14</v>
      </c>
      <c r="B16" s="112">
        <v>3.8</v>
      </c>
    </row>
    <row r="17" spans="1:2" ht="14.25" customHeight="1" x14ac:dyDescent="0.3">
      <c r="A17" s="62">
        <v>15</v>
      </c>
      <c r="B17" s="112">
        <v>3.8</v>
      </c>
    </row>
    <row r="18" spans="1:2" ht="14.25" customHeight="1" x14ac:dyDescent="0.3">
      <c r="A18" s="62">
        <v>16</v>
      </c>
      <c r="B18" s="112">
        <v>3.8</v>
      </c>
    </row>
    <row r="19" spans="1:2" ht="14.25" customHeight="1" x14ac:dyDescent="0.3">
      <c r="A19" s="62">
        <v>17</v>
      </c>
      <c r="B19" s="112">
        <v>3.8</v>
      </c>
    </row>
    <row r="20" spans="1:2" ht="14.25" customHeight="1" x14ac:dyDescent="0.3">
      <c r="A20" s="62">
        <v>18</v>
      </c>
      <c r="B20" s="112">
        <v>3.7</v>
      </c>
    </row>
    <row r="21" spans="1:2" ht="14.25" customHeight="1" x14ac:dyDescent="0.3">
      <c r="A21" s="62">
        <v>19</v>
      </c>
      <c r="B21" s="112">
        <v>3.7</v>
      </c>
    </row>
    <row r="22" spans="1:2" ht="14.25" customHeight="1" x14ac:dyDescent="0.3">
      <c r="A22" s="62">
        <v>20</v>
      </c>
      <c r="B22" s="112">
        <v>3.7</v>
      </c>
    </row>
    <row r="23" spans="1:2" ht="14.25" customHeight="1" x14ac:dyDescent="0.3">
      <c r="A23" s="62">
        <v>21</v>
      </c>
      <c r="B23" s="112">
        <v>3.7</v>
      </c>
    </row>
    <row r="24" spans="1:2" ht="14.25" customHeight="1" x14ac:dyDescent="0.3">
      <c r="A24" s="62">
        <v>22</v>
      </c>
      <c r="B24" s="112">
        <v>3.7</v>
      </c>
    </row>
    <row r="25" spans="1:2" ht="14.25" customHeight="1" x14ac:dyDescent="0.3">
      <c r="A25" s="62">
        <v>23</v>
      </c>
      <c r="B25" s="112">
        <v>3.7</v>
      </c>
    </row>
    <row r="26" spans="1:2" ht="14.25" customHeight="1" x14ac:dyDescent="0.3">
      <c r="A26" s="62">
        <v>24</v>
      </c>
      <c r="B26" s="112">
        <v>3.6</v>
      </c>
    </row>
    <row r="27" spans="1:2" ht="14.25" customHeight="1" x14ac:dyDescent="0.3">
      <c r="A27" s="62">
        <v>25</v>
      </c>
      <c r="B27" s="112">
        <v>3.6</v>
      </c>
    </row>
    <row r="28" spans="1:2" ht="14.25" customHeight="1" x14ac:dyDescent="0.3">
      <c r="A28" s="62">
        <v>26</v>
      </c>
      <c r="B28" s="112">
        <v>3.6</v>
      </c>
    </row>
    <row r="29" spans="1:2" ht="14.25" customHeight="1" x14ac:dyDescent="0.3">
      <c r="A29" s="62">
        <v>27</v>
      </c>
      <c r="B29" s="112">
        <v>3.6</v>
      </c>
    </row>
    <row r="30" spans="1:2" ht="14.25" customHeight="1" x14ac:dyDescent="0.3">
      <c r="A30" s="62">
        <v>28</v>
      </c>
      <c r="B30" s="112">
        <v>3.6</v>
      </c>
    </row>
    <row r="31" spans="1:2" ht="14.25" customHeight="1" x14ac:dyDescent="0.3">
      <c r="A31" s="62">
        <v>29</v>
      </c>
      <c r="B31" s="112">
        <v>3.6</v>
      </c>
    </row>
    <row r="32" spans="1:2" ht="14.25" customHeight="1" x14ac:dyDescent="0.3">
      <c r="A32" s="62">
        <v>30</v>
      </c>
      <c r="B32" s="112">
        <v>3.5</v>
      </c>
    </row>
    <row r="33" spans="1:2" ht="14.25" customHeight="1" x14ac:dyDescent="0.3">
      <c r="A33" s="62">
        <v>31</v>
      </c>
      <c r="B33" s="112">
        <v>3.5</v>
      </c>
    </row>
    <row r="34" spans="1:2" ht="14.25" customHeight="1" x14ac:dyDescent="0.3">
      <c r="A34" s="62">
        <v>32</v>
      </c>
      <c r="B34" s="112">
        <v>3.5</v>
      </c>
    </row>
    <row r="35" spans="1:2" ht="14.25" customHeight="1" x14ac:dyDescent="0.3">
      <c r="A35" s="62">
        <v>33</v>
      </c>
      <c r="B35" s="112">
        <v>3.5</v>
      </c>
    </row>
    <row r="36" spans="1:2" ht="14.25" customHeight="1" x14ac:dyDescent="0.3">
      <c r="A36" s="62">
        <v>34</v>
      </c>
      <c r="B36" s="112">
        <v>3.5</v>
      </c>
    </row>
    <row r="37" spans="1:2" ht="14.25" customHeight="1" x14ac:dyDescent="0.3">
      <c r="A37" s="62">
        <v>35</v>
      </c>
      <c r="B37" s="112">
        <v>3.5</v>
      </c>
    </row>
    <row r="38" spans="1:2" ht="14.25" customHeight="1" x14ac:dyDescent="0.3">
      <c r="A38" s="62">
        <v>36</v>
      </c>
      <c r="B38" s="112">
        <v>3.4</v>
      </c>
    </row>
    <row r="39" spans="1:2" ht="14.25" customHeight="1" x14ac:dyDescent="0.3">
      <c r="A39" s="62">
        <v>37</v>
      </c>
      <c r="B39" s="112">
        <v>3.4</v>
      </c>
    </row>
    <row r="40" spans="1:2" ht="14.25" customHeight="1" x14ac:dyDescent="0.3">
      <c r="A40" s="62">
        <v>38</v>
      </c>
      <c r="B40" s="112">
        <v>3.4</v>
      </c>
    </row>
    <row r="41" spans="1:2" ht="14.25" customHeight="1" x14ac:dyDescent="0.3">
      <c r="A41" s="62">
        <v>39</v>
      </c>
      <c r="B41" s="112">
        <v>3.4</v>
      </c>
    </row>
    <row r="42" spans="1:2" ht="14.25" customHeight="1" x14ac:dyDescent="0.3">
      <c r="A42" s="62">
        <v>40</v>
      </c>
      <c r="B42" s="112">
        <v>3.4</v>
      </c>
    </row>
    <row r="43" spans="1:2" ht="14.25" customHeight="1" x14ac:dyDescent="0.3">
      <c r="A43" s="62">
        <v>41</v>
      </c>
      <c r="B43" s="112">
        <v>3.4</v>
      </c>
    </row>
    <row r="44" spans="1:2" ht="14.25" customHeight="1" x14ac:dyDescent="0.3">
      <c r="A44" s="62">
        <v>42</v>
      </c>
      <c r="B44" s="112">
        <v>3.3</v>
      </c>
    </row>
    <row r="45" spans="1:2" ht="14.25" customHeight="1" x14ac:dyDescent="0.3">
      <c r="A45" s="62">
        <v>43</v>
      </c>
      <c r="B45" s="112">
        <v>3.3</v>
      </c>
    </row>
    <row r="46" spans="1:2" ht="14.25" customHeight="1" x14ac:dyDescent="0.3">
      <c r="A46" s="62">
        <v>44</v>
      </c>
      <c r="B46" s="112">
        <v>3.3</v>
      </c>
    </row>
    <row r="47" spans="1:2" ht="14.25" customHeight="1" x14ac:dyDescent="0.3">
      <c r="A47" s="62">
        <v>45</v>
      </c>
      <c r="B47" s="112">
        <v>3.3</v>
      </c>
    </row>
    <row r="48" spans="1:2" ht="14.25" customHeight="1" x14ac:dyDescent="0.3">
      <c r="A48" s="62">
        <v>46</v>
      </c>
      <c r="B48" s="112">
        <v>3.3</v>
      </c>
    </row>
    <row r="49" spans="1:2" ht="14.25" customHeight="1" x14ac:dyDescent="0.3">
      <c r="A49" s="62">
        <v>47</v>
      </c>
      <c r="B49" s="112">
        <v>3.3</v>
      </c>
    </row>
    <row r="50" spans="1:2" ht="14.25" customHeight="1" x14ac:dyDescent="0.3">
      <c r="A50" s="62">
        <v>48</v>
      </c>
      <c r="B50" s="112">
        <v>3.2</v>
      </c>
    </row>
    <row r="51" spans="1:2" ht="14.25" customHeight="1" x14ac:dyDescent="0.3">
      <c r="A51" s="62">
        <v>49</v>
      </c>
      <c r="B51" s="112">
        <v>3.2</v>
      </c>
    </row>
    <row r="52" spans="1:2" ht="14.25" customHeight="1" x14ac:dyDescent="0.3">
      <c r="A52" s="62">
        <v>50</v>
      </c>
      <c r="B52" s="112">
        <v>3.2</v>
      </c>
    </row>
    <row r="53" spans="1:2" ht="14.25" customHeight="1" x14ac:dyDescent="0.3">
      <c r="A53" s="62">
        <v>51</v>
      </c>
      <c r="B53" s="112">
        <v>3.2</v>
      </c>
    </row>
    <row r="54" spans="1:2" ht="14.25" customHeight="1" x14ac:dyDescent="0.3">
      <c r="A54" s="62">
        <v>52</v>
      </c>
      <c r="B54" s="112">
        <v>3.2</v>
      </c>
    </row>
    <row r="55" spans="1:2" ht="14.25" customHeight="1" x14ac:dyDescent="0.3">
      <c r="A55" s="62">
        <v>53</v>
      </c>
      <c r="B55" s="112">
        <v>3.2</v>
      </c>
    </row>
    <row r="56" spans="1:2" ht="14.25" customHeight="1" x14ac:dyDescent="0.3">
      <c r="A56" s="62">
        <v>54</v>
      </c>
      <c r="B56" s="112">
        <v>3.1</v>
      </c>
    </row>
    <row r="57" spans="1:2" ht="14.25" customHeight="1" x14ac:dyDescent="0.3">
      <c r="A57" s="62">
        <v>55</v>
      </c>
      <c r="B57" s="112">
        <v>3.1</v>
      </c>
    </row>
    <row r="58" spans="1:2" ht="14.25" customHeight="1" x14ac:dyDescent="0.3">
      <c r="A58" s="62">
        <v>56</v>
      </c>
      <c r="B58" s="112">
        <v>3.1</v>
      </c>
    </row>
    <row r="59" spans="1:2" ht="14.25" customHeight="1" x14ac:dyDescent="0.3">
      <c r="A59" s="62">
        <v>57</v>
      </c>
      <c r="B59" s="112">
        <v>3.1</v>
      </c>
    </row>
    <row r="60" spans="1:2" ht="14.25" customHeight="1" x14ac:dyDescent="0.3">
      <c r="A60" s="62">
        <v>58</v>
      </c>
      <c r="B60" s="112">
        <v>3.1</v>
      </c>
    </row>
    <row r="61" spans="1:2" ht="14.25" customHeight="1" x14ac:dyDescent="0.3">
      <c r="A61" s="62">
        <v>59</v>
      </c>
      <c r="B61" s="112">
        <v>3.1</v>
      </c>
    </row>
    <row r="62" spans="1:2" ht="14.25" customHeight="1" x14ac:dyDescent="0.3">
      <c r="A62" s="62">
        <v>60</v>
      </c>
      <c r="B62" s="112">
        <v>3</v>
      </c>
    </row>
    <row r="63" spans="1:2" ht="14.25" customHeight="1" x14ac:dyDescent="0.3">
      <c r="A63" s="62">
        <v>61</v>
      </c>
      <c r="B63" s="112">
        <v>3</v>
      </c>
    </row>
    <row r="64" spans="1:2" ht="14.25" customHeight="1" x14ac:dyDescent="0.3">
      <c r="A64" s="62">
        <v>62</v>
      </c>
      <c r="B64" s="112">
        <v>2.9</v>
      </c>
    </row>
    <row r="65" spans="1:2" ht="14.25" customHeight="1" x14ac:dyDescent="0.3">
      <c r="A65" s="62">
        <v>63</v>
      </c>
      <c r="B65" s="112">
        <v>2.9</v>
      </c>
    </row>
    <row r="66" spans="1:2" ht="14.25" customHeight="1" x14ac:dyDescent="0.3">
      <c r="A66" s="62">
        <v>64</v>
      </c>
      <c r="B66" s="112">
        <v>2.8</v>
      </c>
    </row>
    <row r="67" spans="1:2" ht="14.25" customHeight="1" x14ac:dyDescent="0.3">
      <c r="A67" s="62">
        <v>65</v>
      </c>
      <c r="B67" s="112">
        <v>2.8</v>
      </c>
    </row>
    <row r="68" spans="1:2" ht="14.25" customHeight="1" x14ac:dyDescent="0.3">
      <c r="A68" s="62">
        <v>66</v>
      </c>
      <c r="B68" s="112">
        <v>2.7</v>
      </c>
    </row>
    <row r="69" spans="1:2" ht="14.25" customHeight="1" x14ac:dyDescent="0.3">
      <c r="A69" s="62">
        <v>67</v>
      </c>
      <c r="B69" s="112">
        <v>2.7</v>
      </c>
    </row>
    <row r="70" spans="1:2" ht="14.25" customHeight="1" x14ac:dyDescent="0.3">
      <c r="A70" s="62">
        <v>68</v>
      </c>
      <c r="B70" s="112">
        <v>2.6</v>
      </c>
    </row>
    <row r="71" spans="1:2" ht="14.25" customHeight="1" x14ac:dyDescent="0.3">
      <c r="A71" s="62">
        <v>69</v>
      </c>
      <c r="B71" s="112">
        <v>2.6</v>
      </c>
    </row>
    <row r="72" spans="1:2" ht="14.25" customHeight="1" x14ac:dyDescent="0.3">
      <c r="A72" s="62">
        <v>70</v>
      </c>
      <c r="B72" s="112">
        <v>2.5</v>
      </c>
    </row>
    <row r="73" spans="1:2" ht="14.25" customHeight="1" x14ac:dyDescent="0.3">
      <c r="A73" s="62">
        <v>71</v>
      </c>
      <c r="B73" s="112">
        <v>2.5</v>
      </c>
    </row>
    <row r="74" spans="1:2" ht="14.25" customHeight="1" x14ac:dyDescent="0.3">
      <c r="A74" s="62">
        <v>72</v>
      </c>
      <c r="B74" s="112">
        <v>2.4</v>
      </c>
    </row>
    <row r="75" spans="1:2" ht="14.25" customHeight="1" x14ac:dyDescent="0.3">
      <c r="A75" s="62">
        <v>73</v>
      </c>
      <c r="B75" s="112">
        <v>2.4</v>
      </c>
    </row>
    <row r="76" spans="1:2" ht="14.25" customHeight="1" x14ac:dyDescent="0.3">
      <c r="A76" s="62">
        <v>74</v>
      </c>
      <c r="B76" s="112">
        <v>2.2999999999999998</v>
      </c>
    </row>
    <row r="77" spans="1:2" ht="14.25" customHeight="1" x14ac:dyDescent="0.3">
      <c r="A77" s="62">
        <v>75</v>
      </c>
      <c r="B77" s="112">
        <v>2.2999999999999998</v>
      </c>
    </row>
    <row r="78" spans="1:2" ht="14.25" customHeight="1" x14ac:dyDescent="0.3">
      <c r="A78" s="62">
        <v>76</v>
      </c>
      <c r="B78" s="112">
        <v>2.2000000000000002</v>
      </c>
    </row>
    <row r="79" spans="1:2" ht="14.25" customHeight="1" x14ac:dyDescent="0.3">
      <c r="A79" s="62">
        <v>77</v>
      </c>
      <c r="B79" s="112">
        <v>2.2000000000000002</v>
      </c>
    </row>
    <row r="80" spans="1:2" ht="14.25" customHeight="1" x14ac:dyDescent="0.3">
      <c r="A80" s="62">
        <v>78</v>
      </c>
      <c r="B80" s="112">
        <v>2.1</v>
      </c>
    </row>
    <row r="81" spans="1:2" ht="14.25" customHeight="1" x14ac:dyDescent="0.3">
      <c r="A81" s="62">
        <v>79</v>
      </c>
      <c r="B81" s="112">
        <v>2.1</v>
      </c>
    </row>
    <row r="82" spans="1:2" ht="14.25" customHeight="1" x14ac:dyDescent="0.3">
      <c r="A82" s="62">
        <v>80</v>
      </c>
      <c r="B82" s="112">
        <v>2</v>
      </c>
    </row>
    <row r="83" spans="1:2" ht="14.25" customHeight="1" x14ac:dyDescent="0.3">
      <c r="A83" s="62">
        <v>81</v>
      </c>
      <c r="B83" s="112">
        <v>2</v>
      </c>
    </row>
    <row r="84" spans="1:2" ht="14.25" customHeight="1" x14ac:dyDescent="0.3">
      <c r="A84" s="62">
        <v>82</v>
      </c>
      <c r="B84" s="112">
        <v>1.9</v>
      </c>
    </row>
    <row r="85" spans="1:2" ht="14.25" customHeight="1" x14ac:dyDescent="0.3">
      <c r="A85" s="62">
        <v>83</v>
      </c>
      <c r="B85" s="112">
        <v>1.9</v>
      </c>
    </row>
    <row r="86" spans="1:2" ht="14.25" customHeight="1" x14ac:dyDescent="0.3">
      <c r="A86" s="62">
        <v>84</v>
      </c>
      <c r="B86" s="112">
        <v>1.8</v>
      </c>
    </row>
    <row r="87" spans="1:2" ht="14.25" customHeight="1" x14ac:dyDescent="0.3">
      <c r="A87" s="62">
        <v>85</v>
      </c>
      <c r="B87" s="112">
        <v>1.8</v>
      </c>
    </row>
    <row r="88" spans="1:2" ht="14.25" customHeight="1" x14ac:dyDescent="0.3">
      <c r="A88" s="62">
        <v>86</v>
      </c>
      <c r="B88" s="112">
        <v>1.7</v>
      </c>
    </row>
    <row r="89" spans="1:2" ht="14.25" customHeight="1" x14ac:dyDescent="0.3">
      <c r="A89" s="62">
        <v>87</v>
      </c>
      <c r="B89" s="112">
        <v>1.7</v>
      </c>
    </row>
    <row r="90" spans="1:2" ht="14.25" customHeight="1" x14ac:dyDescent="0.3">
      <c r="A90" s="62">
        <v>88</v>
      </c>
      <c r="B90" s="112">
        <v>1.6</v>
      </c>
    </row>
    <row r="91" spans="1:2" ht="14.25" customHeight="1" x14ac:dyDescent="0.3">
      <c r="A91" s="62">
        <v>89</v>
      </c>
      <c r="B91" s="112">
        <v>1.6</v>
      </c>
    </row>
    <row r="92" spans="1:2" ht="14.25" customHeight="1" x14ac:dyDescent="0.3">
      <c r="A92" s="62">
        <v>90</v>
      </c>
      <c r="B92" s="112">
        <v>1.5</v>
      </c>
    </row>
    <row r="93" spans="1:2" ht="14.25" customHeight="1" x14ac:dyDescent="0.3">
      <c r="A93" s="62">
        <v>91</v>
      </c>
      <c r="B93" s="112">
        <v>1.5</v>
      </c>
    </row>
    <row r="94" spans="1:2" ht="14.25" customHeight="1" x14ac:dyDescent="0.3">
      <c r="A94" s="62">
        <v>92</v>
      </c>
      <c r="B94" s="112">
        <v>1.4</v>
      </c>
    </row>
    <row r="95" spans="1:2" ht="14.25" customHeight="1" x14ac:dyDescent="0.3">
      <c r="A95" s="62">
        <v>93</v>
      </c>
      <c r="B95" s="112">
        <v>1.4</v>
      </c>
    </row>
    <row r="96" spans="1:2" ht="14.25" customHeight="1" x14ac:dyDescent="0.3">
      <c r="A96" s="62">
        <v>94</v>
      </c>
      <c r="B96" s="112">
        <v>1.3</v>
      </c>
    </row>
    <row r="97" spans="1:2" ht="14.25" customHeight="1" x14ac:dyDescent="0.3">
      <c r="A97" s="62">
        <v>95</v>
      </c>
      <c r="B97" s="112">
        <v>1.3</v>
      </c>
    </row>
    <row r="98" spans="1:2" ht="14.25" customHeight="1" x14ac:dyDescent="0.3">
      <c r="A98" s="62">
        <v>96</v>
      </c>
      <c r="B98" s="112">
        <v>1.2</v>
      </c>
    </row>
    <row r="99" spans="1:2" ht="14.25" customHeight="1" x14ac:dyDescent="0.3">
      <c r="A99" s="62">
        <v>97</v>
      </c>
      <c r="B99" s="112">
        <v>1.2</v>
      </c>
    </row>
    <row r="100" spans="1:2" ht="14.25" customHeight="1" x14ac:dyDescent="0.3">
      <c r="A100" s="62">
        <v>98</v>
      </c>
      <c r="B100" s="112">
        <v>1.1000000000000001</v>
      </c>
    </row>
    <row r="101" spans="1:2" ht="14.25" customHeight="1" x14ac:dyDescent="0.3">
      <c r="A101" s="62">
        <v>99</v>
      </c>
      <c r="B101" s="112">
        <v>1.1000000000000001</v>
      </c>
    </row>
    <row r="102" spans="1:2" ht="14.25" customHeight="1" x14ac:dyDescent="0.3">
      <c r="A102" s="62">
        <v>100</v>
      </c>
      <c r="B102" s="112">
        <v>1</v>
      </c>
    </row>
    <row r="103" spans="1:2" ht="14.25" customHeight="1" x14ac:dyDescent="0.3"/>
    <row r="104" spans="1:2" ht="14.25" customHeight="1" x14ac:dyDescent="0.3"/>
    <row r="105" spans="1:2" ht="14.25" customHeight="1" x14ac:dyDescent="0.3"/>
    <row r="106" spans="1:2" ht="14.25" customHeight="1" x14ac:dyDescent="0.3"/>
    <row r="107" spans="1:2" ht="14.25" customHeight="1" x14ac:dyDescent="0.3"/>
    <row r="108" spans="1:2" ht="14.25" customHeight="1" x14ac:dyDescent="0.3"/>
    <row r="109" spans="1:2" ht="14.25" customHeight="1" x14ac:dyDescent="0.3"/>
    <row r="110" spans="1:2" ht="14.25" customHeight="1" x14ac:dyDescent="0.3"/>
    <row r="111" spans="1:2" ht="14.25" customHeight="1" x14ac:dyDescent="0.3"/>
    <row r="112" spans="1: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Attendance</vt:lpstr>
      <vt:lpstr>Prelim</vt:lpstr>
      <vt:lpstr>Midterm</vt:lpstr>
      <vt:lpstr>SemiFinal</vt:lpstr>
      <vt:lpstr>Final</vt:lpstr>
      <vt:lpstr>Summary</vt:lpstr>
      <vt:lpstr>Month</vt:lpstr>
      <vt:lpstr>TRANSMUTATION_TABLE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</dc:creator>
  <cp:lastModifiedBy>Antz Work</cp:lastModifiedBy>
  <dcterms:created xsi:type="dcterms:W3CDTF">2009-11-08T01:58:51Z</dcterms:created>
  <dcterms:modified xsi:type="dcterms:W3CDTF">2026-09-28T08:03:57Z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0x01010010B6D6D8BC50824BBD13FB2DDECE07DE</vt:lpwstr>
  </property>
  <property fmtid="{D5CDD505-2E9C-101B-9397-08002B2CF9AE}" pid="3" name="_activity">
    <vt:lpwstr/>
  </property>
</Properties>
</file>